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de/Library/Mobile Documents/com~apple~CloudDocs/0-family share/00 KaSe Bot/02 CFO/00 bookkeeper/monthly/raw data/2025-12/"/>
    </mc:Choice>
  </mc:AlternateContent>
  <xr:revisionPtr revIDLastSave="0" documentId="13_ncr:1_{2F966EC7-4ECD-894A-97FE-919D722E1AD4}" xr6:coauthVersionLast="47" xr6:coauthVersionMax="47" xr10:uidLastSave="{00000000-0000-0000-0000-000000000000}"/>
  <bookViews>
    <workbookView xWindow="8620" yWindow="1660" windowWidth="39080" windowHeight="23660" activeTab="5" xr2:uid="{E158E54A-BAF6-6040-B57D-2E666DE4B2D3}"/>
  </bookViews>
  <sheets>
    <sheet name="All transactions" sheetId="9" r:id="rId1"/>
    <sheet name="ftcu" sheetId="2" r:id="rId2"/>
    <sheet name="amex" sheetId="3" r:id="rId3"/>
    <sheet name="usaa-cc" sheetId="4" r:id="rId4"/>
    <sheet name="boa-cc" sheetId="14" r:id="rId5"/>
    <sheet name="Payee Ref" sheetId="1" r:id="rId6"/>
    <sheet name="Sheet7" sheetId="13" r:id="rId7"/>
  </sheets>
  <externalReferences>
    <externalReference r:id="rId8"/>
    <externalReference r:id="rId9"/>
  </externalReferences>
  <definedNames>
    <definedName name="_xlnm._FilterDatabase" localSheetId="0" hidden="1">'All transactions'!$A$1:$F$2818</definedName>
    <definedName name="_xlnm._FilterDatabase" localSheetId="4" hidden="1">'boa-cc'!$A$1:$F$375</definedName>
    <definedName name="BudgetCategory">[1]!BudgetCategoryLookup[Budget Category Lookup]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6" i="14" l="1"/>
  <c r="E146" i="14"/>
  <c r="E311" i="14"/>
  <c r="E287" i="14"/>
  <c r="E340" i="14"/>
  <c r="E72" i="14"/>
  <c r="E61" i="14"/>
  <c r="E48" i="14"/>
  <c r="E46" i="14"/>
  <c r="E129" i="14"/>
  <c r="E120" i="14"/>
  <c r="E106" i="14"/>
  <c r="E243" i="14"/>
  <c r="E234" i="14"/>
  <c r="E215" i="14"/>
  <c r="E209" i="14"/>
  <c r="E210" i="14"/>
  <c r="E208" i="14"/>
  <c r="E206" i="14"/>
  <c r="E207" i="14"/>
  <c r="E178" i="14"/>
  <c r="E179" i="14"/>
  <c r="E42" i="14"/>
  <c r="E43" i="14"/>
  <c r="E40" i="14"/>
  <c r="E38" i="14"/>
  <c r="E37" i="14"/>
  <c r="E32" i="14"/>
  <c r="E27" i="14"/>
  <c r="E21" i="14"/>
  <c r="E13" i="14"/>
  <c r="E8" i="14"/>
  <c r="E6" i="14"/>
  <c r="E100" i="14"/>
  <c r="E101" i="14"/>
  <c r="E95" i="14"/>
  <c r="E88" i="14"/>
  <c r="E83" i="14"/>
  <c r="E80" i="14"/>
  <c r="E375" i="14"/>
  <c r="E370" i="14"/>
  <c r="E348" i="14"/>
  <c r="E347" i="14"/>
  <c r="E258" i="14"/>
  <c r="D156" i="14"/>
  <c r="D146" i="14"/>
  <c r="D311" i="14"/>
  <c r="D287" i="14"/>
  <c r="D340" i="14"/>
  <c r="D72" i="14"/>
  <c r="D61" i="14"/>
  <c r="D48" i="14"/>
  <c r="D46" i="14"/>
  <c r="D129" i="14"/>
  <c r="D120" i="14"/>
  <c r="D106" i="14"/>
  <c r="D243" i="14"/>
  <c r="D234" i="14"/>
  <c r="D215" i="14"/>
  <c r="D209" i="14"/>
  <c r="D210" i="14"/>
  <c r="D208" i="14"/>
  <c r="D206" i="14"/>
  <c r="D207" i="14"/>
  <c r="D178" i="14"/>
  <c r="D179" i="14"/>
  <c r="D42" i="14"/>
  <c r="D43" i="14"/>
  <c r="D40" i="14"/>
  <c r="D38" i="14"/>
  <c r="D37" i="14"/>
  <c r="D32" i="14"/>
  <c r="D27" i="14"/>
  <c r="D21" i="14"/>
  <c r="D13" i="14"/>
  <c r="D8" i="14"/>
  <c r="D6" i="14"/>
  <c r="D100" i="14"/>
  <c r="D101" i="14"/>
  <c r="D95" i="14"/>
  <c r="D88" i="14"/>
  <c r="D83" i="14"/>
  <c r="D80" i="14"/>
  <c r="D375" i="14"/>
  <c r="D370" i="14"/>
  <c r="D348" i="14"/>
  <c r="D347" i="14"/>
  <c r="D258" i="14"/>
  <c r="E1850" i="4"/>
  <c r="E1020" i="4"/>
  <c r="E1143" i="4"/>
  <c r="E374" i="4"/>
  <c r="E1073" i="4"/>
  <c r="E860" i="4"/>
  <c r="E637" i="4"/>
  <c r="E563" i="4"/>
  <c r="E1580" i="4"/>
  <c r="E518" i="4"/>
  <c r="E1028" i="4"/>
  <c r="E1247" i="4"/>
  <c r="E892" i="4"/>
  <c r="E1066" i="4"/>
  <c r="E1260" i="4"/>
  <c r="E1333" i="4"/>
  <c r="D1192" i="4"/>
  <c r="D858" i="4"/>
  <c r="D1469" i="4"/>
  <c r="D1552" i="4"/>
  <c r="D1257" i="4"/>
  <c r="D241" i="4"/>
  <c r="D243" i="4"/>
  <c r="D1450" i="4"/>
  <c r="D1466" i="4"/>
  <c r="D1412" i="4"/>
  <c r="D1374" i="4"/>
  <c r="D1449" i="4"/>
  <c r="D236" i="4"/>
  <c r="D1578" i="4"/>
  <c r="D1471" i="4"/>
  <c r="D1553" i="4"/>
  <c r="D1613" i="4"/>
  <c r="D1561" i="4"/>
  <c r="D1869" i="4"/>
  <c r="D876" i="4"/>
  <c r="D1702" i="4"/>
  <c r="D1147" i="4"/>
  <c r="D662" i="4"/>
  <c r="D447" i="4"/>
  <c r="D575" i="4"/>
  <c r="D847" i="4"/>
  <c r="D1106" i="4"/>
  <c r="D559" i="4"/>
  <c r="D469" i="4"/>
  <c r="D1721" i="4"/>
  <c r="D978" i="4"/>
  <c r="D993" i="4"/>
  <c r="D678" i="4"/>
  <c r="D1258" i="4"/>
  <c r="D1694" i="4"/>
  <c r="D567" i="4"/>
  <c r="D1622" i="4"/>
  <c r="D1175" i="4"/>
  <c r="D237" i="4"/>
  <c r="D425" i="4"/>
  <c r="D568" i="4"/>
  <c r="D339" i="4"/>
  <c r="D635" i="4"/>
  <c r="D636" i="4"/>
  <c r="D644" i="4"/>
  <c r="D1072" i="4"/>
  <c r="D484" i="4"/>
  <c r="D508" i="4"/>
  <c r="D507" i="4"/>
  <c r="D1092" i="4"/>
  <c r="D109" i="4"/>
  <c r="D562" i="4"/>
  <c r="D648" i="4"/>
  <c r="D962" i="4"/>
  <c r="D760" i="4"/>
  <c r="D1590" i="4"/>
  <c r="D563" i="4"/>
  <c r="D145" i="4"/>
  <c r="D546" i="4"/>
  <c r="D1188" i="4"/>
  <c r="D156" i="4"/>
  <c r="D1703" i="4"/>
  <c r="D859" i="4"/>
  <c r="D1217" i="4"/>
  <c r="D518" i="4"/>
  <c r="D124" i="4"/>
  <c r="D758" i="4"/>
  <c r="D420" i="4"/>
  <c r="D1004" i="4"/>
  <c r="D372" i="4"/>
  <c r="D770" i="4"/>
  <c r="D1006" i="4"/>
  <c r="D1247" i="4"/>
  <c r="D1016" i="4"/>
  <c r="D899" i="4"/>
  <c r="D1007" i="4"/>
  <c r="D998" i="4"/>
  <c r="D1008" i="4"/>
  <c r="D1009" i="4"/>
  <c r="D169" i="4"/>
  <c r="D1066" i="4"/>
  <c r="D640" i="4"/>
  <c r="D322" i="4"/>
  <c r="D1086" i="4"/>
  <c r="D994" i="4"/>
  <c r="D1638" i="4"/>
  <c r="D194" i="4"/>
  <c r="D1548" i="4"/>
  <c r="D976" i="4"/>
  <c r="D1333" i="4"/>
  <c r="D977" i="4"/>
  <c r="D1263" i="4"/>
  <c r="D1101" i="4"/>
  <c r="D1250" i="4"/>
  <c r="D1264" i="4"/>
  <c r="C111" i="2"/>
  <c r="E392" i="3"/>
  <c r="E218" i="3"/>
  <c r="E195" i="3"/>
  <c r="E178" i="3"/>
  <c r="D392" i="3"/>
  <c r="D178" i="3"/>
  <c r="D457" i="3"/>
  <c r="E11" i="2"/>
  <c r="E39" i="2"/>
  <c r="D93" i="2"/>
  <c r="D19" i="2"/>
  <c r="D63" i="2"/>
  <c r="E63" i="2"/>
  <c r="D15" i="2"/>
  <c r="D18" i="2"/>
  <c r="E101" i="2"/>
  <c r="D86" i="2"/>
  <c r="E86" i="2"/>
  <c r="E30" i="2"/>
  <c r="D34" i="2"/>
  <c r="E34" i="2"/>
  <c r="E31" i="2"/>
  <c r="D13" i="2"/>
  <c r="D83" i="2"/>
  <c r="D27" i="2"/>
  <c r="D100" i="2"/>
  <c r="E77" i="2"/>
  <c r="D29" i="2"/>
  <c r="E29" i="2"/>
  <c r="E38" i="2"/>
  <c r="D21" i="2"/>
  <c r="E21" i="2"/>
  <c r="D106" i="2"/>
  <c r="D78" i="2"/>
  <c r="D79" i="2"/>
  <c r="E79" i="2"/>
  <c r="D55" i="2"/>
  <c r="E55" i="2"/>
  <c r="D80" i="2"/>
  <c r="E72" i="2"/>
  <c r="E107" i="2"/>
  <c r="D103" i="2"/>
  <c r="E103" i="2"/>
  <c r="D110" i="2"/>
  <c r="E110" i="2"/>
  <c r="D56" i="2"/>
  <c r="D89" i="2"/>
  <c r="E87" i="2"/>
  <c r="D73" i="2"/>
  <c r="E73" i="2"/>
  <c r="D108" i="2"/>
  <c r="E108" i="2"/>
  <c r="E57" i="2"/>
  <c r="E94" i="2"/>
  <c r="D88" i="2"/>
  <c r="E88" i="2"/>
  <c r="D74" i="2"/>
  <c r="E74" i="2"/>
  <c r="E17" i="2"/>
  <c r="A653" i="1"/>
  <c r="D809" i="4" s="1"/>
  <c r="E423" i="3" l="1"/>
  <c r="D200" i="4"/>
  <c r="D251" i="14"/>
  <c r="D266" i="14"/>
  <c r="D281" i="14"/>
  <c r="D353" i="14"/>
  <c r="D367" i="14"/>
  <c r="D81" i="14"/>
  <c r="D98" i="14"/>
  <c r="D9" i="14"/>
  <c r="D26" i="14"/>
  <c r="D183" i="14"/>
  <c r="D195" i="14"/>
  <c r="D212" i="14"/>
  <c r="D224" i="14"/>
  <c r="D238" i="14"/>
  <c r="D107" i="14"/>
  <c r="D126" i="14"/>
  <c r="D47" i="14"/>
  <c r="D57" i="14"/>
  <c r="D73" i="14"/>
  <c r="D322" i="14"/>
  <c r="D337" i="14"/>
  <c r="D294" i="14"/>
  <c r="D306" i="14"/>
  <c r="D144" i="14"/>
  <c r="D160" i="14"/>
  <c r="D171" i="14"/>
  <c r="E271" i="14"/>
  <c r="E343" i="14"/>
  <c r="E356" i="14"/>
  <c r="E368" i="14"/>
  <c r="E84" i="14"/>
  <c r="E17" i="14"/>
  <c r="E28" i="14"/>
  <c r="E44" i="14"/>
  <c r="E184" i="14"/>
  <c r="E200" i="14"/>
  <c r="E228" i="14"/>
  <c r="E240" i="14"/>
  <c r="E111" i="14"/>
  <c r="E122" i="14"/>
  <c r="E49" i="14"/>
  <c r="E65" i="14"/>
  <c r="E315" i="14"/>
  <c r="E327" i="14"/>
  <c r="E299" i="14"/>
  <c r="E312" i="14"/>
  <c r="E155" i="14"/>
  <c r="E164" i="14"/>
  <c r="D101" i="4"/>
  <c r="D256" i="14"/>
  <c r="D268" i="14"/>
  <c r="D280" i="14"/>
  <c r="D354" i="14"/>
  <c r="D371" i="14"/>
  <c r="D97" i="14"/>
  <c r="D25" i="14"/>
  <c r="D182" i="14"/>
  <c r="D199" i="14"/>
  <c r="D211" i="14"/>
  <c r="D226" i="14"/>
  <c r="D108" i="14"/>
  <c r="D125" i="14"/>
  <c r="D56" i="14"/>
  <c r="D75" i="14"/>
  <c r="D326" i="14"/>
  <c r="D295" i="14"/>
  <c r="D309" i="14"/>
  <c r="D145" i="14"/>
  <c r="D159" i="14"/>
  <c r="D175" i="14"/>
  <c r="E257" i="14"/>
  <c r="E273" i="14"/>
  <c r="E342" i="14"/>
  <c r="E360" i="14"/>
  <c r="E87" i="14"/>
  <c r="E16" i="14"/>
  <c r="E188" i="14"/>
  <c r="E201" i="14"/>
  <c r="E214" i="14"/>
  <c r="E229" i="14"/>
  <c r="E239" i="14"/>
  <c r="E112" i="14"/>
  <c r="E121" i="14"/>
  <c r="E51" i="14"/>
  <c r="E64" i="14"/>
  <c r="E314" i="14"/>
  <c r="E330" i="14"/>
  <c r="E286" i="14"/>
  <c r="E298" i="14"/>
  <c r="E137" i="14"/>
  <c r="E154" i="14"/>
  <c r="E163" i="14"/>
  <c r="D255" i="14"/>
  <c r="D270" i="14"/>
  <c r="D283" i="14"/>
  <c r="D355" i="14"/>
  <c r="D82" i="14"/>
  <c r="D96" i="14"/>
  <c r="D11" i="14"/>
  <c r="D24" i="14"/>
  <c r="D186" i="14"/>
  <c r="D198" i="14"/>
  <c r="D225" i="14"/>
  <c r="D242" i="14"/>
  <c r="D109" i="14"/>
  <c r="D124" i="14"/>
  <c r="D45" i="14"/>
  <c r="D62" i="14"/>
  <c r="D74" i="14"/>
  <c r="D325" i="14"/>
  <c r="D339" i="14"/>
  <c r="D297" i="14"/>
  <c r="D310" i="14"/>
  <c r="D158" i="14"/>
  <c r="D174" i="14"/>
  <c r="E259" i="14"/>
  <c r="E272" i="14"/>
  <c r="E345" i="14"/>
  <c r="E359" i="14"/>
  <c r="E374" i="14"/>
  <c r="E86" i="14"/>
  <c r="E99" i="14"/>
  <c r="E15" i="14"/>
  <c r="E29" i="14"/>
  <c r="E187" i="14"/>
  <c r="E202" i="14"/>
  <c r="E216" i="14"/>
  <c r="E230" i="14"/>
  <c r="E244" i="14"/>
  <c r="E113" i="14"/>
  <c r="E128" i="14"/>
  <c r="E50" i="14"/>
  <c r="E63" i="14"/>
  <c r="E313" i="14"/>
  <c r="E329" i="14"/>
  <c r="E285" i="14"/>
  <c r="E300" i="14"/>
  <c r="E136" i="14"/>
  <c r="E153" i="14"/>
  <c r="E162" i="14"/>
  <c r="D254" i="14"/>
  <c r="D269" i="14"/>
  <c r="D344" i="14"/>
  <c r="D357" i="14"/>
  <c r="D369" i="14"/>
  <c r="D85" i="14"/>
  <c r="D18" i="14"/>
  <c r="D23" i="14"/>
  <c r="D39" i="14"/>
  <c r="D185" i="14"/>
  <c r="D197" i="14"/>
  <c r="D227" i="14"/>
  <c r="D241" i="14"/>
  <c r="D110" i="14"/>
  <c r="D123" i="14"/>
  <c r="D316" i="14"/>
  <c r="D328" i="14"/>
  <c r="D341" i="14"/>
  <c r="D296" i="14"/>
  <c r="D157" i="14"/>
  <c r="D173" i="14"/>
  <c r="E261" i="14"/>
  <c r="E274" i="14"/>
  <c r="E358" i="14"/>
  <c r="E373" i="14"/>
  <c r="E89" i="14"/>
  <c r="E7" i="14"/>
  <c r="E14" i="14"/>
  <c r="E30" i="14"/>
  <c r="E41" i="14"/>
  <c r="E191" i="14"/>
  <c r="E204" i="14"/>
  <c r="E221" i="14"/>
  <c r="E231" i="14"/>
  <c r="E246" i="14"/>
  <c r="E114" i="14"/>
  <c r="E127" i="14"/>
  <c r="E53" i="14"/>
  <c r="E67" i="14"/>
  <c r="E319" i="14"/>
  <c r="E333" i="14"/>
  <c r="E284" i="14"/>
  <c r="E305" i="14"/>
  <c r="E135" i="14"/>
  <c r="E152" i="14"/>
  <c r="E166" i="14"/>
  <c r="D271" i="14"/>
  <c r="D343" i="14"/>
  <c r="D356" i="14"/>
  <c r="D368" i="14"/>
  <c r="D84" i="14"/>
  <c r="D17" i="14"/>
  <c r="D28" i="14"/>
  <c r="D44" i="14"/>
  <c r="D184" i="14"/>
  <c r="D200" i="14"/>
  <c r="D228" i="14"/>
  <c r="D240" i="14"/>
  <c r="D111" i="14"/>
  <c r="D122" i="14"/>
  <c r="D49" i="14"/>
  <c r="D65" i="14"/>
  <c r="D315" i="14"/>
  <c r="D327" i="14"/>
  <c r="D299" i="14"/>
  <c r="D312" i="14"/>
  <c r="D155" i="14"/>
  <c r="D164" i="14"/>
  <c r="E250" i="14"/>
  <c r="E260" i="14"/>
  <c r="E275" i="14"/>
  <c r="E346" i="14"/>
  <c r="E361" i="14"/>
  <c r="E372" i="14"/>
  <c r="E31" i="14"/>
  <c r="E177" i="14"/>
  <c r="E190" i="14"/>
  <c r="E203" i="14"/>
  <c r="E220" i="14"/>
  <c r="E232" i="14"/>
  <c r="E245" i="14"/>
  <c r="E115" i="14"/>
  <c r="E52" i="14"/>
  <c r="E66" i="14"/>
  <c r="E318" i="14"/>
  <c r="E332" i="14"/>
  <c r="E288" i="14"/>
  <c r="E304" i="14"/>
  <c r="E138" i="14"/>
  <c r="E151" i="14"/>
  <c r="E165" i="14"/>
  <c r="D269" i="3"/>
  <c r="E207" i="4"/>
  <c r="D257" i="14"/>
  <c r="D273" i="14"/>
  <c r="D342" i="14"/>
  <c r="D360" i="14"/>
  <c r="D87" i="14"/>
  <c r="D16" i="14"/>
  <c r="D188" i="14"/>
  <c r="D201" i="14"/>
  <c r="D214" i="14"/>
  <c r="D229" i="14"/>
  <c r="D239" i="14"/>
  <c r="D112" i="14"/>
  <c r="D121" i="14"/>
  <c r="D51" i="14"/>
  <c r="D64" i="14"/>
  <c r="D314" i="14"/>
  <c r="D330" i="14"/>
  <c r="D286" i="14"/>
  <c r="D298" i="14"/>
  <c r="D137" i="14"/>
  <c r="D154" i="14"/>
  <c r="D163" i="14"/>
  <c r="E249" i="14"/>
  <c r="E264" i="14"/>
  <c r="E276" i="14"/>
  <c r="E349" i="14"/>
  <c r="E362" i="14"/>
  <c r="E77" i="14"/>
  <c r="E90" i="14"/>
  <c r="E5" i="14"/>
  <c r="E12" i="14"/>
  <c r="E176" i="14"/>
  <c r="E189" i="14"/>
  <c r="E205" i="14"/>
  <c r="E219" i="14"/>
  <c r="E233" i="14"/>
  <c r="E102" i="14"/>
  <c r="E117" i="14"/>
  <c r="E131" i="14"/>
  <c r="E55" i="14"/>
  <c r="E69" i="14"/>
  <c r="E317" i="14"/>
  <c r="E331" i="14"/>
  <c r="E292" i="14"/>
  <c r="E303" i="14"/>
  <c r="E139" i="14"/>
  <c r="E150" i="14"/>
  <c r="E169" i="14"/>
  <c r="D218" i="3"/>
  <c r="E7" i="4"/>
  <c r="D259" i="14"/>
  <c r="D272" i="14"/>
  <c r="D345" i="14"/>
  <c r="D359" i="14"/>
  <c r="D374" i="14"/>
  <c r="D86" i="14"/>
  <c r="D99" i="14"/>
  <c r="D15" i="14"/>
  <c r="D29" i="14"/>
  <c r="D187" i="14"/>
  <c r="D202" i="14"/>
  <c r="D216" i="14"/>
  <c r="D230" i="14"/>
  <c r="D244" i="14"/>
  <c r="D113" i="14"/>
  <c r="D128" i="14"/>
  <c r="D50" i="14"/>
  <c r="D63" i="14"/>
  <c r="D313" i="14"/>
  <c r="D329" i="14"/>
  <c r="D285" i="14"/>
  <c r="D300" i="14"/>
  <c r="D136" i="14"/>
  <c r="D153" i="14"/>
  <c r="D162" i="14"/>
  <c r="E248" i="14"/>
  <c r="E263" i="14"/>
  <c r="E277" i="14"/>
  <c r="E363" i="14"/>
  <c r="E76" i="14"/>
  <c r="E93" i="14"/>
  <c r="E4" i="14"/>
  <c r="E20" i="14"/>
  <c r="E34" i="14"/>
  <c r="E192" i="14"/>
  <c r="E218" i="14"/>
  <c r="E235" i="14"/>
  <c r="E103" i="14"/>
  <c r="E116" i="14"/>
  <c r="E130" i="14"/>
  <c r="E54" i="14"/>
  <c r="E68" i="14"/>
  <c r="E320" i="14"/>
  <c r="E334" i="14"/>
  <c r="E291" i="14"/>
  <c r="E302" i="14"/>
  <c r="E141" i="14"/>
  <c r="E149" i="14"/>
  <c r="E168" i="14"/>
  <c r="D1617" i="4"/>
  <c r="D7" i="4"/>
  <c r="D261" i="14"/>
  <c r="D274" i="14"/>
  <c r="D358" i="14"/>
  <c r="D373" i="14"/>
  <c r="D89" i="14"/>
  <c r="D7" i="14"/>
  <c r="D14" i="14"/>
  <c r="D30" i="14"/>
  <c r="D41" i="14"/>
  <c r="D191" i="14"/>
  <c r="D204" i="14"/>
  <c r="D221" i="14"/>
  <c r="D231" i="14"/>
  <c r="D246" i="14"/>
  <c r="D114" i="14"/>
  <c r="D127" i="14"/>
  <c r="D53" i="14"/>
  <c r="D67" i="14"/>
  <c r="D319" i="14"/>
  <c r="D333" i="14"/>
  <c r="D284" i="14"/>
  <c r="D305" i="14"/>
  <c r="D135" i="14"/>
  <c r="D152" i="14"/>
  <c r="D166" i="14"/>
  <c r="E247" i="14"/>
  <c r="E262" i="14"/>
  <c r="E279" i="14"/>
  <c r="E352" i="14"/>
  <c r="E366" i="14"/>
  <c r="E78" i="14"/>
  <c r="E92" i="14"/>
  <c r="E3" i="14"/>
  <c r="E19" i="14"/>
  <c r="E33" i="14"/>
  <c r="E193" i="14"/>
  <c r="E217" i="14"/>
  <c r="E104" i="14"/>
  <c r="E118" i="14"/>
  <c r="E134" i="14"/>
  <c r="E60" i="14"/>
  <c r="E321" i="14"/>
  <c r="E335" i="14"/>
  <c r="E290" i="14"/>
  <c r="E301" i="14"/>
  <c r="E140" i="14"/>
  <c r="E148" i="14"/>
  <c r="E167" i="14"/>
  <c r="D423" i="3"/>
  <c r="D250" i="14"/>
  <c r="D260" i="14"/>
  <c r="D275" i="14"/>
  <c r="D346" i="14"/>
  <c r="D361" i="14"/>
  <c r="D372" i="14"/>
  <c r="D31" i="14"/>
  <c r="D177" i="14"/>
  <c r="D190" i="14"/>
  <c r="D203" i="14"/>
  <c r="D220" i="14"/>
  <c r="D232" i="14"/>
  <c r="D245" i="14"/>
  <c r="D115" i="14"/>
  <c r="D52" i="14"/>
  <c r="D66" i="14"/>
  <c r="D318" i="14"/>
  <c r="D332" i="14"/>
  <c r="D288" i="14"/>
  <c r="D304" i="14"/>
  <c r="D138" i="14"/>
  <c r="D151" i="14"/>
  <c r="D165" i="14"/>
  <c r="E253" i="14"/>
  <c r="E265" i="14"/>
  <c r="E278" i="14"/>
  <c r="E351" i="14"/>
  <c r="E365" i="14"/>
  <c r="E79" i="14"/>
  <c r="E91" i="14"/>
  <c r="E2" i="14"/>
  <c r="E22" i="14"/>
  <c r="E35" i="14"/>
  <c r="E181" i="14"/>
  <c r="E194" i="14"/>
  <c r="E222" i="14"/>
  <c r="E237" i="14"/>
  <c r="E105" i="14"/>
  <c r="E133" i="14"/>
  <c r="E59" i="14"/>
  <c r="E71" i="14"/>
  <c r="E324" i="14"/>
  <c r="E336" i="14"/>
  <c r="E289" i="14"/>
  <c r="E308" i="14"/>
  <c r="E143" i="14"/>
  <c r="E147" i="14"/>
  <c r="E170" i="14"/>
  <c r="E457" i="3"/>
  <c r="D249" i="14"/>
  <c r="D264" i="14"/>
  <c r="D276" i="14"/>
  <c r="D349" i="14"/>
  <c r="D362" i="14"/>
  <c r="D77" i="14"/>
  <c r="D90" i="14"/>
  <c r="D5" i="14"/>
  <c r="D12" i="14"/>
  <c r="D176" i="14"/>
  <c r="D189" i="14"/>
  <c r="D205" i="14"/>
  <c r="D219" i="14"/>
  <c r="D233" i="14"/>
  <c r="D102" i="14"/>
  <c r="D117" i="14"/>
  <c r="D131" i="14"/>
  <c r="D55" i="14"/>
  <c r="D69" i="14"/>
  <c r="D317" i="14"/>
  <c r="D331" i="14"/>
  <c r="D292" i="14"/>
  <c r="D303" i="14"/>
  <c r="D139" i="14"/>
  <c r="D150" i="14"/>
  <c r="D169" i="14"/>
  <c r="E252" i="14"/>
  <c r="E267" i="14"/>
  <c r="E282" i="14"/>
  <c r="E350" i="14"/>
  <c r="E364" i="14"/>
  <c r="E94" i="14"/>
  <c r="E10" i="14"/>
  <c r="E36" i="14"/>
  <c r="E180" i="14"/>
  <c r="E196" i="14"/>
  <c r="E213" i="14"/>
  <c r="E223" i="14"/>
  <c r="E236" i="14"/>
  <c r="E119" i="14"/>
  <c r="E132" i="14"/>
  <c r="E58" i="14"/>
  <c r="E70" i="14"/>
  <c r="E323" i="14"/>
  <c r="E338" i="14"/>
  <c r="E293" i="14"/>
  <c r="E307" i="14"/>
  <c r="E142" i="14"/>
  <c r="E161" i="14"/>
  <c r="E172" i="14"/>
  <c r="D248" i="14"/>
  <c r="D263" i="14"/>
  <c r="D277" i="14"/>
  <c r="D363" i="14"/>
  <c r="D76" i="14"/>
  <c r="D93" i="14"/>
  <c r="D4" i="14"/>
  <c r="D20" i="14"/>
  <c r="D34" i="14"/>
  <c r="D192" i="14"/>
  <c r="D218" i="14"/>
  <c r="D235" i="14"/>
  <c r="D103" i="14"/>
  <c r="D116" i="14"/>
  <c r="D130" i="14"/>
  <c r="D54" i="14"/>
  <c r="D68" i="14"/>
  <c r="D320" i="14"/>
  <c r="D334" i="14"/>
  <c r="D291" i="14"/>
  <c r="D302" i="14"/>
  <c r="D141" i="14"/>
  <c r="D149" i="14"/>
  <c r="D168" i="14"/>
  <c r="E251" i="14"/>
  <c r="E266" i="14"/>
  <c r="E281" i="14"/>
  <c r="E353" i="14"/>
  <c r="E367" i="14"/>
  <c r="E81" i="14"/>
  <c r="E98" i="14"/>
  <c r="E9" i="14"/>
  <c r="E26" i="14"/>
  <c r="E183" i="14"/>
  <c r="E195" i="14"/>
  <c r="E212" i="14"/>
  <c r="E224" i="14"/>
  <c r="E238" i="14"/>
  <c r="E107" i="14"/>
  <c r="E126" i="14"/>
  <c r="E47" i="14"/>
  <c r="E57" i="14"/>
  <c r="E73" i="14"/>
  <c r="E322" i="14"/>
  <c r="E337" i="14"/>
  <c r="E294" i="14"/>
  <c r="E306" i="14"/>
  <c r="E144" i="14"/>
  <c r="E160" i="14"/>
  <c r="E171" i="14"/>
  <c r="D247" i="14"/>
  <c r="D262" i="14"/>
  <c r="D279" i="14"/>
  <c r="D352" i="14"/>
  <c r="D366" i="14"/>
  <c r="D78" i="14"/>
  <c r="D92" i="14"/>
  <c r="D3" i="14"/>
  <c r="D19" i="14"/>
  <c r="D33" i="14"/>
  <c r="D193" i="14"/>
  <c r="D217" i="14"/>
  <c r="D104" i="14"/>
  <c r="D118" i="14"/>
  <c r="D134" i="14"/>
  <c r="D60" i="14"/>
  <c r="D321" i="14"/>
  <c r="D335" i="14"/>
  <c r="D290" i="14"/>
  <c r="D301" i="14"/>
  <c r="D140" i="14"/>
  <c r="D148" i="14"/>
  <c r="D167" i="14"/>
  <c r="E256" i="14"/>
  <c r="E268" i="14"/>
  <c r="E280" i="14"/>
  <c r="E354" i="14"/>
  <c r="E371" i="14"/>
  <c r="E97" i="14"/>
  <c r="E25" i="14"/>
  <c r="E182" i="14"/>
  <c r="E199" i="14"/>
  <c r="E211" i="14"/>
  <c r="E226" i="14"/>
  <c r="E108" i="14"/>
  <c r="E125" i="14"/>
  <c r="E56" i="14"/>
  <c r="E75" i="14"/>
  <c r="E326" i="14"/>
  <c r="E295" i="14"/>
  <c r="E309" i="14"/>
  <c r="E145" i="14"/>
  <c r="E159" i="14"/>
  <c r="E175" i="14"/>
  <c r="D253" i="14"/>
  <c r="D265" i="14"/>
  <c r="D278" i="14"/>
  <c r="D351" i="14"/>
  <c r="D365" i="14"/>
  <c r="D79" i="14"/>
  <c r="D91" i="14"/>
  <c r="D2" i="14"/>
  <c r="D22" i="14"/>
  <c r="D35" i="14"/>
  <c r="D181" i="14"/>
  <c r="D194" i="14"/>
  <c r="D222" i="14"/>
  <c r="D237" i="14"/>
  <c r="D105" i="14"/>
  <c r="D133" i="14"/>
  <c r="D59" i="14"/>
  <c r="D71" i="14"/>
  <c r="D324" i="14"/>
  <c r="D336" i="14"/>
  <c r="D289" i="14"/>
  <c r="D308" i="14"/>
  <c r="D143" i="14"/>
  <c r="D147" i="14"/>
  <c r="D170" i="14"/>
  <c r="E255" i="14"/>
  <c r="E270" i="14"/>
  <c r="E283" i="14"/>
  <c r="E355" i="14"/>
  <c r="E82" i="14"/>
  <c r="E96" i="14"/>
  <c r="E11" i="14"/>
  <c r="E24" i="14"/>
  <c r="E186" i="14"/>
  <c r="E198" i="14"/>
  <c r="E225" i="14"/>
  <c r="E242" i="14"/>
  <c r="E109" i="14"/>
  <c r="E124" i="14"/>
  <c r="E45" i="14"/>
  <c r="E62" i="14"/>
  <c r="E74" i="14"/>
  <c r="E325" i="14"/>
  <c r="E339" i="14"/>
  <c r="E297" i="14"/>
  <c r="E310" i="14"/>
  <c r="E158" i="14"/>
  <c r="E174" i="14"/>
  <c r="D1335" i="4"/>
  <c r="D252" i="14"/>
  <c r="D267" i="14"/>
  <c r="D282" i="14"/>
  <c r="D350" i="14"/>
  <c r="D364" i="14"/>
  <c r="D94" i="14"/>
  <c r="D10" i="14"/>
  <c r="D36" i="14"/>
  <c r="D180" i="14"/>
  <c r="D196" i="14"/>
  <c r="D213" i="14"/>
  <c r="D223" i="14"/>
  <c r="D236" i="14"/>
  <c r="D119" i="14"/>
  <c r="D132" i="14"/>
  <c r="D58" i="14"/>
  <c r="D70" i="14"/>
  <c r="D323" i="14"/>
  <c r="D338" i="14"/>
  <c r="D293" i="14"/>
  <c r="D307" i="14"/>
  <c r="D142" i="14"/>
  <c r="D161" i="14"/>
  <c r="D172" i="14"/>
  <c r="E254" i="14"/>
  <c r="E269" i="14"/>
  <c r="E344" i="14"/>
  <c r="E357" i="14"/>
  <c r="E369" i="14"/>
  <c r="E85" i="14"/>
  <c r="E18" i="14"/>
  <c r="E23" i="14"/>
  <c r="E39" i="14"/>
  <c r="E185" i="14"/>
  <c r="E197" i="14"/>
  <c r="E227" i="14"/>
  <c r="E241" i="14"/>
  <c r="E110" i="14"/>
  <c r="E123" i="14"/>
  <c r="E316" i="14"/>
  <c r="E328" i="14"/>
  <c r="E341" i="14"/>
  <c r="E296" i="14"/>
  <c r="E157" i="14"/>
  <c r="E173" i="14"/>
  <c r="D1122" i="4"/>
  <c r="D1684" i="4"/>
  <c r="D1452" i="4"/>
  <c r="D64" i="4"/>
  <c r="D601" i="4"/>
  <c r="D1591" i="4"/>
  <c r="E1882" i="4"/>
  <c r="E1335" i="4"/>
  <c r="E50" i="4"/>
  <c r="E1600" i="4"/>
  <c r="E1606" i="4"/>
  <c r="E1848" i="4"/>
  <c r="E178" i="4"/>
  <c r="E1599" i="4"/>
  <c r="E652" i="4"/>
  <c r="D15" i="4"/>
  <c r="D690" i="4"/>
  <c r="D1848" i="4"/>
  <c r="D1805" i="4"/>
  <c r="D51" i="4"/>
  <c r="D439" i="4"/>
  <c r="E1809" i="4"/>
  <c r="D1809" i="4"/>
  <c r="D1317" i="4"/>
  <c r="D443" i="4"/>
  <c r="D1600" i="4"/>
  <c r="E8" i="4"/>
  <c r="E1468" i="4"/>
  <c r="E111" i="4"/>
  <c r="E1144" i="4"/>
  <c r="D1951" i="4"/>
  <c r="D10" i="4"/>
  <c r="D1468" i="4"/>
  <c r="D1040" i="4"/>
  <c r="E9" i="4"/>
  <c r="E1723" i="4"/>
  <c r="E64" i="4"/>
  <c r="E17" i="4"/>
  <c r="D1950" i="4"/>
  <c r="D1625" i="4"/>
  <c r="D1808" i="4"/>
  <c r="D1849" i="4"/>
  <c r="D1393" i="4"/>
  <c r="D442" i="4"/>
  <c r="E1784" i="4"/>
  <c r="E51" i="4"/>
  <c r="D1883" i="4"/>
  <c r="D1723" i="4"/>
  <c r="D688" i="4"/>
  <c r="D1601" i="4"/>
  <c r="D1599" i="4"/>
  <c r="E1122" i="4"/>
  <c r="E1926" i="4"/>
  <c r="E1393" i="4"/>
  <c r="D1882" i="4"/>
  <c r="D1834" i="4"/>
  <c r="D206" i="4"/>
  <c r="D437" i="4"/>
  <c r="E1617" i="4"/>
  <c r="E1397" i="4"/>
  <c r="E446" i="4"/>
  <c r="D1606" i="4"/>
  <c r="D1789" i="4"/>
  <c r="D503" i="4"/>
  <c r="D50" i="4"/>
  <c r="D446" i="4"/>
  <c r="D441" i="4"/>
  <c r="E690" i="4"/>
  <c r="E1396" i="4"/>
  <c r="E445" i="4"/>
  <c r="D1330" i="4"/>
  <c r="D652" i="4"/>
  <c r="E1625" i="4"/>
  <c r="E1452" i="4"/>
  <c r="E1378" i="4"/>
  <c r="D17" i="4"/>
  <c r="D1784" i="4"/>
  <c r="D98" i="4"/>
  <c r="D1200" i="4"/>
  <c r="D8" i="4"/>
  <c r="D228" i="4"/>
  <c r="D1926" i="4"/>
  <c r="D1034" i="4"/>
  <c r="D291" i="4"/>
  <c r="D1144" i="4"/>
  <c r="E1789" i="4"/>
  <c r="E1317" i="4"/>
  <c r="E601" i="4"/>
  <c r="D9" i="4"/>
  <c r="D1683" i="4"/>
  <c r="D1397" i="4"/>
  <c r="D178" i="4"/>
  <c r="D445" i="4"/>
  <c r="D440" i="4"/>
  <c r="D408" i="4"/>
  <c r="E1040" i="4"/>
  <c r="E1601" i="4"/>
  <c r="D1396" i="4"/>
  <c r="D1378" i="4"/>
  <c r="E1951" i="4"/>
  <c r="D3" i="4"/>
  <c r="D1893" i="4"/>
  <c r="D207" i="4"/>
  <c r="E1330" i="4"/>
  <c r="E1849" i="4"/>
  <c r="E441" i="4"/>
  <c r="D1455" i="4"/>
  <c r="D111" i="4"/>
  <c r="D1908" i="4"/>
  <c r="D906" i="4"/>
  <c r="E1883" i="4"/>
  <c r="E1683" i="4"/>
  <c r="E688" i="4"/>
  <c r="E1591" i="4"/>
  <c r="D37" i="2"/>
  <c r="E60" i="2"/>
  <c r="E269" i="3"/>
  <c r="D1260" i="4"/>
  <c r="D892" i="4"/>
  <c r="D1028" i="4"/>
  <c r="D1580" i="4"/>
  <c r="D637" i="4"/>
  <c r="D860" i="4"/>
  <c r="D1073" i="4"/>
  <c r="D374" i="4"/>
  <c r="D1143" i="4"/>
  <c r="D961" i="4"/>
  <c r="D1475" i="4"/>
  <c r="D1550" i="4"/>
  <c r="E1262" i="4"/>
  <c r="E168" i="4"/>
  <c r="E1005" i="4"/>
  <c r="E885" i="4"/>
  <c r="E861" i="4"/>
  <c r="E506" i="4"/>
  <c r="E700" i="4"/>
  <c r="E1162" i="4"/>
  <c r="E537" i="4"/>
  <c r="E1702" i="4"/>
  <c r="E1519" i="4"/>
  <c r="E1243" i="4"/>
  <c r="E573" i="4"/>
  <c r="E1471" i="4"/>
  <c r="E1516" i="4"/>
  <c r="E1524" i="4"/>
  <c r="E1872" i="4"/>
  <c r="E1469" i="4"/>
  <c r="D1030" i="4"/>
  <c r="D1027" i="4"/>
  <c r="D1070" i="4"/>
  <c r="D1315" i="4"/>
  <c r="D874" i="4"/>
  <c r="D1582" i="4"/>
  <c r="D137" i="4"/>
  <c r="D1153" i="4"/>
  <c r="D1169" i="4"/>
  <c r="D1438" i="4"/>
  <c r="D1654" i="4"/>
  <c r="D1500" i="4"/>
  <c r="D1357" i="4"/>
  <c r="D56" i="4"/>
  <c r="D1861" i="4"/>
  <c r="E1548" i="4"/>
  <c r="E1009" i="4"/>
  <c r="E770" i="4"/>
  <c r="E859" i="4"/>
  <c r="E760" i="4"/>
  <c r="E484" i="4"/>
  <c r="E237" i="4"/>
  <c r="E978" i="4"/>
  <c r="E662" i="4"/>
  <c r="E158" i="4"/>
  <c r="E376" i="4"/>
  <c r="E1572" i="4"/>
  <c r="E107" i="4"/>
  <c r="E858" i="4"/>
  <c r="D1018" i="4"/>
  <c r="D514" i="4"/>
  <c r="D212" i="4"/>
  <c r="E194" i="4"/>
  <c r="E1030" i="4"/>
  <c r="E1027" i="4"/>
  <c r="E1070" i="4"/>
  <c r="E1315" i="4"/>
  <c r="E874" i="4"/>
  <c r="E1582" i="4"/>
  <c r="E137" i="4"/>
  <c r="E1153" i="4"/>
  <c r="E1871" i="4"/>
  <c r="E160" i="4"/>
  <c r="E1492" i="4"/>
  <c r="E1257" i="4"/>
  <c r="E109" i="2"/>
  <c r="E43" i="2"/>
  <c r="D82" i="2"/>
  <c r="D195" i="3"/>
  <c r="D1680" i="4"/>
  <c r="D1140" i="4"/>
  <c r="D693" i="4"/>
  <c r="D542" i="4"/>
  <c r="D1249" i="4"/>
  <c r="D505" i="4"/>
  <c r="D1229" i="4"/>
  <c r="D496" i="4"/>
  <c r="D1491" i="4"/>
  <c r="D1020" i="4"/>
  <c r="D1850" i="4"/>
  <c r="D1699" i="4"/>
  <c r="D158" i="4"/>
  <c r="D1516" i="4"/>
  <c r="D1470" i="4"/>
  <c r="D1328" i="4"/>
  <c r="E1638" i="4"/>
  <c r="E1008" i="4"/>
  <c r="E372" i="4"/>
  <c r="E1703" i="4"/>
  <c r="E962" i="4"/>
  <c r="E1072" i="4"/>
  <c r="E1175" i="4"/>
  <c r="E1721" i="4"/>
  <c r="E1147" i="4"/>
  <c r="E1448" i="4"/>
  <c r="E1489" i="4"/>
  <c r="E750" i="4"/>
  <c r="E1192" i="4"/>
  <c r="D87" i="2"/>
  <c r="D109" i="2"/>
  <c r="E27" i="2"/>
  <c r="E41" i="2"/>
  <c r="D248" i="3"/>
  <c r="D500" i="4"/>
  <c r="D1700" i="4"/>
  <c r="D1029" i="4"/>
  <c r="D535" i="4"/>
  <c r="D1381" i="4"/>
  <c r="D938" i="4"/>
  <c r="D596" i="4"/>
  <c r="D1447" i="4"/>
  <c r="D557" i="4"/>
  <c r="D160" i="4"/>
  <c r="D376" i="4"/>
  <c r="D1566" i="4"/>
  <c r="E1680" i="4"/>
  <c r="E1140" i="4"/>
  <c r="E693" i="4"/>
  <c r="E542" i="4"/>
  <c r="E1249" i="4"/>
  <c r="E505" i="4"/>
  <c r="E1229" i="4"/>
  <c r="E496" i="4"/>
  <c r="E1491" i="4"/>
  <c r="E876" i="4"/>
  <c r="E1553" i="4"/>
  <c r="E1495" i="4"/>
  <c r="E243" i="4"/>
  <c r="E1861" i="4"/>
  <c r="D1448" i="4"/>
  <c r="D1519" i="4"/>
  <c r="D1484" i="4"/>
  <c r="D486" i="4"/>
  <c r="E500" i="4"/>
  <c r="E1700" i="4"/>
  <c r="E1029" i="4"/>
  <c r="E535" i="4"/>
  <c r="E1381" i="4"/>
  <c r="E938" i="4"/>
  <c r="E596" i="4"/>
  <c r="E1447" i="4"/>
  <c r="E557" i="4"/>
  <c r="E1581" i="4"/>
  <c r="E1578" i="4"/>
  <c r="E1412" i="4"/>
  <c r="E1552" i="4"/>
  <c r="D1871" i="4"/>
  <c r="D1941" i="4"/>
  <c r="D1495" i="4"/>
  <c r="D1489" i="4"/>
  <c r="D1524" i="4"/>
  <c r="D1243" i="4"/>
  <c r="D1392" i="4"/>
  <c r="E1264" i="4"/>
  <c r="E994" i="4"/>
  <c r="E998" i="4"/>
  <c r="E1004" i="4"/>
  <c r="E156" i="4"/>
  <c r="E648" i="4"/>
  <c r="E644" i="4"/>
  <c r="E1622" i="4"/>
  <c r="E469" i="4"/>
  <c r="E1869" i="4"/>
  <c r="E1289" i="4"/>
  <c r="E1466" i="4"/>
  <c r="E1563" i="4"/>
  <c r="E212" i="4"/>
  <c r="D1572" i="4"/>
  <c r="D1872" i="4"/>
  <c r="D1400" i="4"/>
  <c r="E1250" i="4"/>
  <c r="E1086" i="4"/>
  <c r="E1007" i="4"/>
  <c r="E420" i="4"/>
  <c r="E1188" i="4"/>
  <c r="E562" i="4"/>
  <c r="E636" i="4"/>
  <c r="E567" i="4"/>
  <c r="E559" i="4"/>
  <c r="E1523" i="4"/>
  <c r="E1550" i="4"/>
  <c r="E1328" i="4"/>
  <c r="D1023" i="4"/>
  <c r="D764" i="4"/>
  <c r="D595" i="4"/>
  <c r="D541" i="4"/>
  <c r="D108" i="4"/>
  <c r="D492" i="4"/>
  <c r="D1311" i="4"/>
  <c r="D1612" i="4"/>
  <c r="D1581" i="4"/>
  <c r="D1289" i="4"/>
  <c r="D1492" i="4"/>
  <c r="D107" i="4"/>
  <c r="D1515" i="4"/>
  <c r="E1101" i="4"/>
  <c r="E322" i="4"/>
  <c r="E899" i="4"/>
  <c r="E758" i="4"/>
  <c r="E546" i="4"/>
  <c r="E109" i="4"/>
  <c r="E635" i="4"/>
  <c r="E1694" i="4"/>
  <c r="E1106" i="4"/>
  <c r="E1561" i="4"/>
  <c r="E236" i="4"/>
  <c r="E1475" i="4"/>
  <c r="E241" i="4"/>
  <c r="D573" i="4"/>
  <c r="E1263" i="4"/>
  <c r="E1023" i="4"/>
  <c r="E764" i="4"/>
  <c r="E595" i="4"/>
  <c r="E541" i="4"/>
  <c r="E108" i="4"/>
  <c r="E492" i="4"/>
  <c r="E1311" i="4"/>
  <c r="E1612" i="4"/>
  <c r="E1549" i="4"/>
  <c r="E1654" i="4"/>
  <c r="E1449" i="4"/>
  <c r="E1450" i="4"/>
  <c r="E56" i="4"/>
  <c r="E486" i="4"/>
  <c r="E977" i="4"/>
  <c r="E640" i="4"/>
  <c r="E1016" i="4"/>
  <c r="E124" i="4"/>
  <c r="E145" i="4"/>
  <c r="E1092" i="4"/>
  <c r="E339" i="4"/>
  <c r="E1258" i="4"/>
  <c r="E847" i="4"/>
  <c r="E961" i="4"/>
  <c r="E1699" i="4"/>
  <c r="E1357" i="4"/>
  <c r="E514" i="4"/>
  <c r="E1392" i="4"/>
  <c r="E507" i="4"/>
  <c r="E678" i="4"/>
  <c r="E1613" i="4"/>
  <c r="E1374" i="4"/>
  <c r="E1018" i="4"/>
  <c r="E1470" i="4"/>
  <c r="E1400" i="4"/>
  <c r="E568" i="4"/>
  <c r="E575" i="4"/>
  <c r="D57" i="2"/>
  <c r="D107" i="2"/>
  <c r="D38" i="2"/>
  <c r="D30" i="2"/>
  <c r="D10" i="2"/>
  <c r="E248" i="3"/>
  <c r="D1262" i="4"/>
  <c r="D168" i="4"/>
  <c r="D1005" i="4"/>
  <c r="D885" i="4"/>
  <c r="D861" i="4"/>
  <c r="D506" i="4"/>
  <c r="D700" i="4"/>
  <c r="D1162" i="4"/>
  <c r="D537" i="4"/>
  <c r="D1549" i="4"/>
  <c r="D1523" i="4"/>
  <c r="D1563" i="4"/>
  <c r="D750" i="4"/>
  <c r="E976" i="4"/>
  <c r="E169" i="4"/>
  <c r="E1006" i="4"/>
  <c r="E1217" i="4"/>
  <c r="E1590" i="4"/>
  <c r="E508" i="4"/>
  <c r="E425" i="4"/>
  <c r="E993" i="4"/>
  <c r="E447" i="4"/>
  <c r="E1169" i="4"/>
  <c r="E1438" i="4"/>
  <c r="E1941" i="4"/>
  <c r="E1500" i="4"/>
  <c r="E1566" i="4"/>
  <c r="E1484" i="4"/>
  <c r="E1515" i="4"/>
  <c r="D13" i="4"/>
  <c r="D4" i="4"/>
  <c r="D1382" i="4"/>
  <c r="D1394" i="4"/>
  <c r="D958" i="4"/>
  <c r="D117" i="4"/>
  <c r="D444" i="4"/>
  <c r="D187" i="4"/>
  <c r="D1368" i="4"/>
  <c r="D438" i="4"/>
  <c r="E13" i="4"/>
  <c r="E4" i="4"/>
  <c r="E1382" i="4"/>
  <c r="E1394" i="4"/>
  <c r="E958" i="4"/>
  <c r="E117" i="4"/>
  <c r="E444" i="4"/>
  <c r="E187" i="4"/>
  <c r="E1368" i="4"/>
  <c r="E438" i="4"/>
  <c r="E228" i="4"/>
  <c r="E1808" i="4"/>
  <c r="E206" i="4"/>
  <c r="E1908" i="4"/>
  <c r="E15" i="4"/>
  <c r="E442" i="4"/>
  <c r="D12" i="4"/>
  <c r="D1472" i="4"/>
  <c r="D1454" i="4"/>
  <c r="D1829" i="4"/>
  <c r="D382" i="4"/>
  <c r="D829" i="4"/>
  <c r="E2" i="4"/>
  <c r="E1472" i="4"/>
  <c r="E1632" i="4"/>
  <c r="E1454" i="4"/>
  <c r="E1829" i="4"/>
  <c r="E382" i="4"/>
  <c r="E829" i="4"/>
  <c r="E1946" i="4"/>
  <c r="E1455" i="4"/>
  <c r="E101" i="4"/>
  <c r="E906" i="4"/>
  <c r="D2" i="4"/>
  <c r="D1632" i="4"/>
  <c r="D1946" i="4"/>
  <c r="E12" i="4"/>
  <c r="D19" i="4"/>
  <c r="D16" i="4"/>
  <c r="D1605" i="4"/>
  <c r="D1453" i="4"/>
  <c r="D926" i="4"/>
  <c r="D52" i="4"/>
  <c r="D1160" i="4"/>
  <c r="D1418" i="4"/>
  <c r="D1223" i="4"/>
  <c r="E19" i="4"/>
  <c r="E16" i="4"/>
  <c r="E1605" i="4"/>
  <c r="E1453" i="4"/>
  <c r="E926" i="4"/>
  <c r="E52" i="4"/>
  <c r="E1160" i="4"/>
  <c r="E1418" i="4"/>
  <c r="E1223" i="4"/>
  <c r="D11" i="4"/>
  <c r="D14" i="4"/>
  <c r="D1685" i="4"/>
  <c r="D1782" i="4"/>
  <c r="D1451" i="4"/>
  <c r="D90" i="4"/>
  <c r="D1604" i="4"/>
  <c r="D1603" i="4"/>
  <c r="D1839" i="4"/>
  <c r="D1504" i="4"/>
  <c r="E11" i="4"/>
  <c r="E14" i="4"/>
  <c r="E1685" i="4"/>
  <c r="E1782" i="4"/>
  <c r="E1451" i="4"/>
  <c r="E90" i="4"/>
  <c r="E1604" i="4"/>
  <c r="E1603" i="4"/>
  <c r="E1839" i="4"/>
  <c r="E1504" i="4"/>
  <c r="E1893" i="4"/>
  <c r="E200" i="4"/>
  <c r="E98" i="4"/>
  <c r="E1200" i="4"/>
  <c r="E291" i="4"/>
  <c r="E10" i="4"/>
  <c r="E3" i="4"/>
  <c r="E1834" i="4"/>
  <c r="E439" i="4"/>
  <c r="E437" i="4"/>
  <c r="D6" i="4"/>
  <c r="D1300" i="4"/>
  <c r="D1164" i="4"/>
  <c r="D1673" i="4"/>
  <c r="D1923" i="4"/>
  <c r="D436" i="4"/>
  <c r="E6" i="4"/>
  <c r="E1300" i="4"/>
  <c r="E1164" i="4"/>
  <c r="E1673" i="4"/>
  <c r="E1923" i="4"/>
  <c r="E436" i="4"/>
  <c r="E1950" i="4"/>
  <c r="E1684" i="4"/>
  <c r="E503" i="4"/>
  <c r="E1805" i="4"/>
  <c r="E1034" i="4"/>
  <c r="E443" i="4"/>
  <c r="E440" i="4"/>
  <c r="E408" i="4"/>
  <c r="D18" i="4"/>
  <c r="D1284" i="4"/>
  <c r="D1621" i="4"/>
  <c r="D1219" i="4"/>
  <c r="D1395" i="4"/>
  <c r="D1841" i="4"/>
  <c r="D77" i="4"/>
  <c r="D256" i="4"/>
  <c r="D1602" i="4"/>
  <c r="D489" i="4"/>
  <c r="D865" i="4"/>
  <c r="E18" i="4"/>
  <c r="E1284" i="4"/>
  <c r="E1621" i="4"/>
  <c r="E1219" i="4"/>
  <c r="E1395" i="4"/>
  <c r="E1841" i="4"/>
  <c r="E77" i="4"/>
  <c r="E256" i="4"/>
  <c r="E1602" i="4"/>
  <c r="E489" i="4"/>
  <c r="E865" i="4"/>
  <c r="D1364" i="4"/>
  <c r="D1594" i="4"/>
  <c r="D1797" i="4"/>
  <c r="D1710" i="4"/>
  <c r="D1478" i="4"/>
  <c r="D1517" i="4"/>
  <c r="D1539" i="4"/>
  <c r="D1556" i="4"/>
  <c r="D1954" i="4"/>
  <c r="D1341" i="4"/>
  <c r="D889" i="4"/>
  <c r="D1527" i="4"/>
  <c r="D341" i="4"/>
  <c r="D1013" i="4"/>
  <c r="D1398" i="4"/>
  <c r="D418" i="4"/>
  <c r="D1675" i="4"/>
  <c r="D105" i="4"/>
  <c r="D610" i="4"/>
  <c r="D1541" i="4"/>
  <c r="D1313" i="4"/>
  <c r="D1233" i="4"/>
  <c r="D1953" i="4"/>
  <c r="D1372" i="4"/>
  <c r="D1117" i="4"/>
  <c r="D1062" i="4"/>
  <c r="D1031" i="4"/>
  <c r="D1924" i="4"/>
  <c r="D1899" i="4"/>
  <c r="D1630" i="4"/>
  <c r="D1912" i="4"/>
  <c r="D1547" i="4"/>
  <c r="D171" i="4"/>
  <c r="D167" i="4"/>
  <c r="D125" i="4"/>
  <c r="D855" i="4"/>
  <c r="D21" i="4"/>
  <c r="D407" i="4"/>
  <c r="D719" i="4"/>
  <c r="D455" i="4"/>
  <c r="D163" i="4"/>
  <c r="D1132" i="4"/>
  <c r="D40" i="4"/>
  <c r="D1043" i="4"/>
  <c r="D1172" i="4"/>
  <c r="D332" i="4"/>
  <c r="D365" i="4"/>
  <c r="D1512" i="4"/>
  <c r="D31" i="4"/>
  <c r="D285" i="4"/>
  <c r="D1619" i="4"/>
  <c r="D1637" i="4"/>
  <c r="D1544" i="4"/>
  <c r="D903" i="4"/>
  <c r="D520" i="4"/>
  <c r="D1560" i="4"/>
  <c r="D953" i="4"/>
  <c r="D1235" i="4"/>
  <c r="D54" i="4"/>
  <c r="D1555" i="4"/>
  <c r="D345" i="4"/>
  <c r="D1111" i="4"/>
  <c r="D67" i="4"/>
  <c r="D1141" i="4"/>
  <c r="D1358" i="4"/>
  <c r="D1407" i="4"/>
  <c r="D1857" i="4"/>
  <c r="D1490" i="4"/>
  <c r="D180" i="4"/>
  <c r="D590" i="4"/>
  <c r="D969" i="4"/>
  <c r="D488" i="4"/>
  <c r="D1915" i="4"/>
  <c r="D1846" i="4"/>
  <c r="D1945" i="4"/>
  <c r="D1911" i="4"/>
  <c r="D1508" i="4"/>
  <c r="D278" i="4"/>
  <c r="D199" i="4"/>
  <c r="D1898" i="4"/>
  <c r="D1287" i="4"/>
  <c r="D1457" i="4"/>
  <c r="D1038" i="4"/>
  <c r="D1081" i="4"/>
  <c r="D391" i="4"/>
  <c r="D453" i="4"/>
  <c r="D711" i="4"/>
  <c r="D353" i="4"/>
  <c r="D1206" i="4"/>
  <c r="D1421" i="4"/>
  <c r="D128" i="4"/>
  <c r="D97" i="4"/>
  <c r="D929" i="4"/>
  <c r="D30" i="4"/>
  <c r="D1167" i="4"/>
  <c r="D1803" i="4"/>
  <c r="D1187" i="4"/>
  <c r="D1798" i="4"/>
  <c r="D1518" i="4"/>
  <c r="D773" i="4"/>
  <c r="D1718" i="4"/>
  <c r="D127" i="4"/>
  <c r="D1537" i="4"/>
  <c r="D1459" i="4"/>
  <c r="D1944" i="4"/>
  <c r="D1641" i="4"/>
  <c r="D81" i="4"/>
  <c r="D890" i="4"/>
  <c r="D1170" i="4"/>
  <c r="D71" i="4"/>
  <c r="D609" i="4"/>
  <c r="D375" i="4"/>
  <c r="D460" i="4"/>
  <c r="D363" i="4"/>
  <c r="D954" i="4"/>
  <c r="D1135" i="4"/>
  <c r="D1051" i="4"/>
  <c r="D1709" i="4"/>
  <c r="D1177" i="4"/>
  <c r="D1626" i="4"/>
  <c r="D1557" i="4"/>
  <c r="D338" i="4"/>
  <c r="D238" i="4"/>
  <c r="D1629" i="4"/>
  <c r="D1120" i="4"/>
  <c r="D146" i="4"/>
  <c r="D1252" i="4"/>
  <c r="D1510" i="4"/>
  <c r="D487" i="4"/>
  <c r="D1456" i="4"/>
  <c r="D1598" i="4"/>
  <c r="D114" i="4"/>
  <c r="D886" i="4"/>
  <c r="D1129" i="4"/>
  <c r="D1225" i="4"/>
  <c r="D352" i="4"/>
  <c r="D259" i="4"/>
  <c r="D1267" i="4"/>
  <c r="D328" i="4"/>
  <c r="D681" i="4"/>
  <c r="D957" i="4"/>
  <c r="D1479" i="4"/>
  <c r="D1802" i="4"/>
  <c r="D1299" i="4"/>
  <c r="D1437" i="4"/>
  <c r="D186" i="4"/>
  <c r="D58" i="4"/>
  <c r="D1403" i="4"/>
  <c r="D1644" i="4"/>
  <c r="D582" i="4"/>
  <c r="D1678" i="4"/>
  <c r="D288" i="4"/>
  <c r="D1367" i="4"/>
  <c r="D66" i="4"/>
  <c r="D122" i="4"/>
  <c r="D597" i="4"/>
  <c r="D211" i="4"/>
  <c r="D1059" i="4"/>
  <c r="D701" i="4"/>
  <c r="D311" i="4"/>
  <c r="D1856" i="4"/>
  <c r="D599" i="4"/>
  <c r="D1588" i="4"/>
  <c r="D955" i="4"/>
  <c r="D1877" i="4"/>
  <c r="D1310" i="4"/>
  <c r="D1199" i="4"/>
  <c r="D1525" i="4"/>
  <c r="D240" i="4"/>
  <c r="D1231" i="4"/>
  <c r="D153" i="4"/>
  <c r="D174" i="4"/>
  <c r="D121" i="4"/>
  <c r="D990" i="4"/>
  <c r="D459" i="4"/>
  <c r="D949" i="4"/>
  <c r="D946" i="4"/>
  <c r="D982" i="4"/>
  <c r="D1084" i="4"/>
  <c r="D1914" i="4"/>
  <c r="D224" i="4"/>
  <c r="D1652" i="4"/>
  <c r="D247" i="4"/>
  <c r="D679" i="4"/>
  <c r="D1022" i="4"/>
  <c r="D895" i="4"/>
  <c r="D334" i="4"/>
  <c r="D340" i="4"/>
  <c r="D1176" i="4"/>
  <c r="D882" i="4"/>
  <c r="D1823" i="4"/>
  <c r="D1032" i="4"/>
  <c r="D104" i="4"/>
  <c r="D82" i="4"/>
  <c r="D775" i="4"/>
  <c r="D1349" i="4"/>
  <c r="D289" i="4"/>
  <c r="D1255" i="4"/>
  <c r="D634" i="4"/>
  <c r="D416" i="4"/>
  <c r="D1446" i="4"/>
  <c r="D888" i="4"/>
  <c r="D166" i="4"/>
  <c r="D1707" i="4"/>
  <c r="D502" i="4"/>
  <c r="D63" i="4"/>
  <c r="D23" i="4"/>
  <c r="D550" i="4"/>
  <c r="D901" i="4"/>
  <c r="D380" i="4"/>
  <c r="D1336" i="4"/>
  <c r="D333" i="4"/>
  <c r="D1036" i="4"/>
  <c r="D164" i="4"/>
  <c r="D986" i="4"/>
  <c r="D37" i="4"/>
  <c r="D714" i="4"/>
  <c r="D1822" i="4"/>
  <c r="D1224" i="4"/>
  <c r="D831" i="4"/>
  <c r="D1266" i="4"/>
  <c r="D120" i="4"/>
  <c r="D331" i="4"/>
  <c r="D1340" i="4"/>
  <c r="D1443" i="4"/>
  <c r="D1149" i="4"/>
  <c r="D1583" i="4"/>
  <c r="D887" i="4"/>
  <c r="D1894" i="4"/>
  <c r="D323" i="4"/>
  <c r="D628" i="4"/>
  <c r="D1316" i="4"/>
  <c r="D1574" i="4"/>
  <c r="D103" i="4"/>
  <c r="D60" i="4"/>
  <c r="D1440" i="4"/>
  <c r="D1514" i="4"/>
  <c r="D461" i="4"/>
  <c r="D1321" i="4"/>
  <c r="D1107" i="4"/>
  <c r="D1503" i="4"/>
  <c r="D1365" i="4"/>
  <c r="D364" i="4"/>
  <c r="D150" i="4"/>
  <c r="D869" i="4"/>
  <c r="D1047" i="4"/>
  <c r="D602" i="4"/>
  <c r="D22" i="4"/>
  <c r="D908" i="4"/>
  <c r="D1104" i="4"/>
  <c r="D143" i="4"/>
  <c r="D1832" i="4"/>
  <c r="D797" i="4"/>
  <c r="D1082" i="4"/>
  <c r="D951" i="4"/>
  <c r="D404" i="4"/>
  <c r="D215" i="4"/>
  <c r="D1076" i="4"/>
  <c r="D356" i="4"/>
  <c r="D255" i="4"/>
  <c r="D223" i="4"/>
  <c r="D1651" i="4"/>
  <c r="D398" i="4"/>
  <c r="D251" i="4"/>
  <c r="D1540" i="4"/>
  <c r="D1012" i="4"/>
  <c r="D1386" i="4"/>
  <c r="D468" i="4"/>
  <c r="D616" i="4"/>
  <c r="D293" i="4"/>
  <c r="D1467" i="4"/>
  <c r="D897" i="4"/>
  <c r="D551" i="4"/>
  <c r="D1887" i="4"/>
  <c r="D314" i="4"/>
  <c r="D728" i="4"/>
  <c r="D462" i="4"/>
  <c r="D1661" i="4"/>
  <c r="D956" i="4"/>
  <c r="D1046" i="4"/>
  <c r="D1922" i="4"/>
  <c r="D1948" i="4"/>
  <c r="D266" i="4"/>
  <c r="D226" i="4"/>
  <c r="D198" i="4"/>
  <c r="D320" i="4"/>
  <c r="D1901" i="4"/>
  <c r="D1435" i="4"/>
  <c r="D1168" i="4"/>
  <c r="D718" i="4"/>
  <c r="D402" i="4"/>
  <c r="D1128" i="4"/>
  <c r="D46" i="4"/>
  <c r="D709" i="4"/>
  <c r="D378" i="4"/>
  <c r="D1265" i="4"/>
  <c r="D676" i="4"/>
  <c r="D871" i="4"/>
  <c r="D1801" i="4"/>
  <c r="D1246" i="4"/>
  <c r="D1301" i="4"/>
  <c r="D839" i="4"/>
  <c r="D65" i="4"/>
  <c r="D1722" i="4"/>
  <c r="D465" i="4"/>
  <c r="D1800" i="4"/>
  <c r="D394" i="4"/>
  <c r="D1682" i="4"/>
  <c r="D1889" i="4"/>
  <c r="D1305" i="4"/>
  <c r="D917" i="4"/>
  <c r="D294" i="4"/>
  <c r="D1387" i="4"/>
  <c r="D390" i="4"/>
  <c r="D1858" i="4"/>
  <c r="D1274" i="4"/>
  <c r="D776" i="4"/>
  <c r="D1417" i="4"/>
  <c r="D210" i="4"/>
  <c r="D1186" i="4"/>
  <c r="D173" i="4"/>
  <c r="D373" i="4"/>
  <c r="D48" i="4"/>
  <c r="D1058" i="4"/>
  <c r="D83" i="4"/>
  <c r="D1156" i="4"/>
  <c r="D1631" i="4"/>
  <c r="D565" i="4"/>
  <c r="D1045" i="4"/>
  <c r="D846" i="4"/>
  <c r="D260" i="4"/>
  <c r="D1133" i="4"/>
  <c r="D1103" i="4"/>
  <c r="D1577" i="4"/>
  <c r="D1320" i="4"/>
  <c r="D264" i="4"/>
  <c r="D1434" i="4"/>
  <c r="D406" i="4"/>
  <c r="D1080" i="4"/>
  <c r="D1078" i="4"/>
  <c r="D1833" i="4"/>
  <c r="D45" i="4"/>
  <c r="D253" i="4"/>
  <c r="D221" i="4"/>
  <c r="D1406" i="4"/>
  <c r="D131" i="4"/>
  <c r="D300" i="4"/>
  <c r="D1275" i="4"/>
  <c r="D759" i="4"/>
  <c r="D1098" i="4"/>
  <c r="D1870" i="4"/>
  <c r="D1205" i="4"/>
  <c r="D1482" i="4"/>
  <c r="D1796" i="4"/>
  <c r="D473" i="4"/>
  <c r="D943" i="4"/>
  <c r="D309" i="4"/>
  <c r="D1705" i="4"/>
  <c r="D1624" i="4"/>
  <c r="D862" i="4"/>
  <c r="D337" i="4"/>
  <c r="D1121" i="4"/>
  <c r="D34" i="4"/>
  <c r="D515" i="4"/>
  <c r="D130" i="4"/>
  <c r="D762" i="4"/>
  <c r="D1520" i="4"/>
  <c r="D27" i="4"/>
  <c r="D140" i="4"/>
  <c r="D699" i="4"/>
  <c r="D702" i="4"/>
  <c r="D1322" i="4"/>
  <c r="D1534" i="4"/>
  <c r="D1052" i="4"/>
  <c r="D1717" i="4"/>
  <c r="D1332" i="4"/>
  <c r="D250" i="4"/>
  <c r="D280" i="4"/>
  <c r="D1261" i="4"/>
  <c r="D154" i="4"/>
  <c r="D900" i="4"/>
  <c r="D73" i="4"/>
  <c r="D879" i="4"/>
  <c r="D1952" i="4"/>
  <c r="D989" i="4"/>
  <c r="D720" i="4"/>
  <c r="D283" i="4"/>
  <c r="D1130" i="4"/>
  <c r="D981" i="4"/>
  <c r="D1909" i="4"/>
  <c r="D184" i="4"/>
  <c r="D1094" i="4"/>
  <c r="D1668" i="4"/>
  <c r="D671" i="4"/>
  <c r="D819" i="4"/>
  <c r="D193" i="4"/>
  <c r="D1786" i="4"/>
  <c r="D1477" i="4"/>
  <c r="D1868" i="4"/>
  <c r="D1017" i="4"/>
  <c r="D1667" i="4"/>
  <c r="D479" i="4"/>
  <c r="D1114" i="4"/>
  <c r="D1286" i="4"/>
  <c r="D110" i="4"/>
  <c r="D556" i="4"/>
  <c r="D393" i="4"/>
  <c r="D1024" i="4"/>
  <c r="D1334" i="4"/>
  <c r="D1545" i="4"/>
  <c r="D1011" i="4"/>
  <c r="D608" i="4"/>
  <c r="D95" i="4"/>
  <c r="D383" i="4"/>
  <c r="D201" i="4"/>
  <c r="D1854" i="4"/>
  <c r="D1404" i="4"/>
  <c r="D547" i="4"/>
  <c r="D1530" i="4"/>
  <c r="D1546" i="4"/>
  <c r="D26" i="4"/>
  <c r="D1526" i="4"/>
  <c r="D1376" i="4"/>
  <c r="D1947" i="4"/>
  <c r="D342" i="4"/>
  <c r="D1715" i="4"/>
  <c r="D139" i="4"/>
  <c r="D884" i="4"/>
  <c r="D1884" i="4"/>
  <c r="D62" i="4"/>
  <c r="D1037" i="4"/>
  <c r="D113" i="4"/>
  <c r="D1660" i="4"/>
  <c r="D399" i="4"/>
  <c r="D43" i="4"/>
  <c r="D517" i="4"/>
  <c r="D257" i="4"/>
  <c r="D1635" i="4"/>
  <c r="D670" i="4"/>
  <c r="D817" i="4"/>
  <c r="D192" i="4"/>
  <c r="D1481" i="4"/>
  <c r="D647" i="4"/>
  <c r="D513" i="4"/>
  <c r="D1921" i="4"/>
  <c r="D853" i="4"/>
  <c r="D1521" i="4"/>
  <c r="D1344" i="4"/>
  <c r="D421" i="4"/>
  <c r="D102" i="4"/>
  <c r="D615" i="4"/>
  <c r="D336" i="4"/>
  <c r="D1925" i="4"/>
  <c r="D1688" i="4"/>
  <c r="D1698" i="4"/>
  <c r="D106" i="4"/>
  <c r="D927" i="4"/>
  <c r="D1543" i="4"/>
  <c r="D368" i="4"/>
  <c r="D999" i="4"/>
  <c r="D1385" i="4"/>
  <c r="D1377" i="4"/>
  <c r="D1535" i="4"/>
  <c r="D1339" i="4"/>
  <c r="D1538" i="4"/>
  <c r="D870" i="4"/>
  <c r="D1441" i="4"/>
  <c r="D249" i="4"/>
  <c r="D1241" i="4"/>
  <c r="D292" i="4"/>
  <c r="D854" i="4"/>
  <c r="D466" i="4"/>
  <c r="D70" i="4"/>
  <c r="D1949" i="4"/>
  <c r="D646" i="4"/>
  <c r="D458" i="4"/>
  <c r="D947" i="4"/>
  <c r="D983" i="4"/>
  <c r="D713" i="4"/>
  <c r="D316" i="4"/>
  <c r="D1324" i="4"/>
  <c r="D219" i="4"/>
  <c r="D1701" i="4"/>
  <c r="D687" i="4"/>
  <c r="D832" i="4"/>
  <c r="D1196" i="4"/>
  <c r="D1799" i="4"/>
  <c r="D233" i="4"/>
  <c r="D1195" i="4"/>
  <c r="D25" i="4"/>
  <c r="D1226" i="4"/>
  <c r="D179" i="4"/>
  <c r="D1323" i="4"/>
  <c r="D1061" i="4"/>
  <c r="D632" i="4"/>
  <c r="D939" i="4"/>
  <c r="D290" i="4"/>
  <c r="D767" i="4"/>
  <c r="D284" i="4"/>
  <c r="D697" i="4"/>
  <c r="D85" i="4"/>
  <c r="D196" i="4"/>
  <c r="D1270" i="4"/>
  <c r="D1584" i="4"/>
  <c r="D282" i="4"/>
  <c r="D1312" i="4"/>
  <c r="D1419" i="4"/>
  <c r="D777" i="4"/>
  <c r="D1597" i="4"/>
  <c r="D1810" i="4"/>
  <c r="D485" i="4"/>
  <c r="D1108" i="4"/>
  <c r="D248" i="4"/>
  <c r="D1792" i="4"/>
  <c r="D878" i="4"/>
  <c r="D620" i="4"/>
  <c r="D252" i="4"/>
  <c r="D1488" i="4"/>
  <c r="D1610" i="4"/>
  <c r="D165" i="4"/>
  <c r="D115" i="4"/>
  <c r="D985" i="4"/>
  <c r="D401" i="4"/>
  <c r="D1075" i="4"/>
  <c r="D355" i="4"/>
  <c r="D1329" i="4"/>
  <c r="D270" i="4"/>
  <c r="D1445" i="4"/>
  <c r="D669" i="4"/>
  <c r="E750" i="3"/>
  <c r="E569" i="4"/>
  <c r="E754" i="4"/>
  <c r="E1116" i="4"/>
  <c r="E1115" i="4"/>
  <c r="E244" i="4"/>
  <c r="E1473" i="4"/>
  <c r="E772" i="4"/>
  <c r="E1366" i="4"/>
  <c r="E366" i="4"/>
  <c r="E528" i="4"/>
  <c r="E638" i="4"/>
  <c r="E970" i="4"/>
  <c r="E657" i="4"/>
  <c r="E1203" i="4"/>
  <c r="E1090" i="4"/>
  <c r="E1145" i="4"/>
  <c r="E235" i="4"/>
  <c r="E1656" i="4"/>
  <c r="E1202" i="4"/>
  <c r="E521" i="4"/>
  <c r="E239" i="4"/>
  <c r="E621" i="4"/>
  <c r="E1352" i="4"/>
  <c r="E1139" i="4"/>
  <c r="E414" i="4"/>
  <c r="E1942" i="4"/>
  <c r="E997" i="4"/>
  <c r="E1496" i="4"/>
  <c r="E1337" i="4"/>
  <c r="E751" i="4"/>
  <c r="E891" i="4"/>
  <c r="E1379" i="4"/>
  <c r="E659" i="4"/>
  <c r="E830" i="4"/>
  <c r="E894" i="4"/>
  <c r="E661" i="4"/>
  <c r="E619" i="4"/>
  <c r="E763" i="4"/>
  <c r="E1714" i="4"/>
  <c r="E837" i="4"/>
  <c r="E1102" i="4"/>
  <c r="E734" i="4"/>
  <c r="E649" i="4"/>
  <c r="E533" i="4"/>
  <c r="E325" i="4"/>
  <c r="E1291" i="4"/>
  <c r="E866" i="4"/>
  <c r="E1234" i="4"/>
  <c r="E265" i="4"/>
  <c r="E905" i="4"/>
  <c r="E29" i="4"/>
  <c r="E1318" i="4"/>
  <c r="E739" i="4"/>
  <c r="E629" i="4"/>
  <c r="E1354" i="4"/>
  <c r="E1697" i="4"/>
  <c r="E783" i="4"/>
  <c r="E580" i="4"/>
  <c r="E395" i="4"/>
  <c r="E581" i="4"/>
  <c r="E536" i="4"/>
  <c r="E1706" i="4"/>
  <c r="E995" i="4"/>
  <c r="E1414" i="4"/>
  <c r="E1867" i="4"/>
  <c r="E749" i="4"/>
  <c r="E1573" i="4"/>
  <c r="E327" i="4"/>
  <c r="E1787" i="4"/>
  <c r="E88" i="4"/>
  <c r="E1681" i="4"/>
  <c r="E1730" i="4"/>
  <c r="E1161" i="4"/>
  <c r="E1746" i="4"/>
  <c r="E324" i="4"/>
  <c r="E1760" i="4"/>
  <c r="E752" i="4"/>
  <c r="E181" i="4"/>
  <c r="E774" i="4"/>
  <c r="E834" i="4"/>
  <c r="E577" i="4"/>
  <c r="E347" i="4"/>
  <c r="E778" i="4"/>
  <c r="E614" i="4"/>
  <c r="E966" i="4"/>
  <c r="E429" i="4"/>
  <c r="E856" i="4"/>
  <c r="E731" i="4"/>
  <c r="E802" i="4"/>
  <c r="E1152" i="4"/>
  <c r="E1314" i="4"/>
  <c r="E504" i="4"/>
  <c r="E1522" i="4"/>
  <c r="E928" i="4"/>
  <c r="E1010" i="4"/>
  <c r="E554" i="4"/>
  <c r="E588" i="4"/>
  <c r="E904" i="4"/>
  <c r="E1154" i="4"/>
  <c r="E1620" i="4"/>
  <c r="E1256" i="4"/>
  <c r="E877" i="4"/>
  <c r="E1825" i="4"/>
  <c r="E1645" i="4"/>
  <c r="E863" i="4"/>
  <c r="E604" i="4"/>
  <c r="E524" i="4"/>
  <c r="E1402" i="4"/>
  <c r="E1359" i="4"/>
  <c r="E1483" i="4"/>
  <c r="E603" i="4"/>
  <c r="E896" i="4"/>
  <c r="E933" i="4"/>
  <c r="E1138" i="4"/>
  <c r="E724" i="4"/>
  <c r="E579" i="4"/>
  <c r="E1136" i="4"/>
  <c r="E477" i="4"/>
  <c r="E779" i="4"/>
  <c r="E975" i="4"/>
  <c r="E655" i="4"/>
  <c r="E538" i="4"/>
  <c r="E28" i="4"/>
  <c r="E1113" i="4"/>
  <c r="E576" i="4"/>
  <c r="E1410" i="4"/>
  <c r="E1498" i="4"/>
  <c r="E1383" i="4"/>
  <c r="E1623" i="4"/>
  <c r="E1155" i="4"/>
  <c r="E1159" i="4"/>
  <c r="E782" i="4"/>
  <c r="E1880" i="4"/>
  <c r="E1415" i="4"/>
  <c r="E177" i="4"/>
  <c r="E695" i="4"/>
  <c r="E1886" i="4"/>
  <c r="E544" i="4"/>
  <c r="E656" i="4"/>
  <c r="E727" i="4"/>
  <c r="E755" i="4"/>
  <c r="E740" i="4"/>
  <c r="E578" i="4"/>
  <c r="E1586" i="4"/>
  <c r="E275" i="4"/>
  <c r="E157" i="4"/>
  <c r="E627" i="4"/>
  <c r="E412" i="4"/>
  <c r="E1087" i="4"/>
  <c r="E689" i="4"/>
  <c r="E971" i="4"/>
  <c r="E1091" i="4"/>
  <c r="E1112" i="4"/>
  <c r="E893" i="4"/>
  <c r="E1097" i="4"/>
  <c r="E369" i="4"/>
  <c r="E176" i="4"/>
  <c r="E570" i="4"/>
  <c r="E786" i="4"/>
  <c r="E1245" i="4"/>
  <c r="E598" i="4"/>
  <c r="E1259" i="4"/>
  <c r="E1536" i="4"/>
  <c r="E936" i="4"/>
  <c r="E1123" i="4"/>
  <c r="E930" i="4"/>
  <c r="E301" i="4"/>
  <c r="E448" i="4"/>
  <c r="E564" i="4"/>
  <c r="E1325" i="4"/>
  <c r="E1895" i="4"/>
  <c r="E1044" i="4"/>
  <c r="E1713" i="4"/>
  <c r="E968" i="4"/>
  <c r="E867" i="4"/>
  <c r="E1712" i="4"/>
  <c r="E1827" i="4"/>
  <c r="E1844" i="4"/>
  <c r="E1851" i="4"/>
  <c r="E1207" i="4"/>
  <c r="E1642" i="4"/>
  <c r="E1708" i="4"/>
  <c r="E1732" i="4"/>
  <c r="E1943" i="4"/>
  <c r="E1749" i="4"/>
  <c r="E1755" i="4"/>
  <c r="E1763" i="4"/>
  <c r="E1916" i="4"/>
  <c r="E1777" i="4"/>
  <c r="E898" i="4"/>
  <c r="E1892" i="4"/>
  <c r="E1282" i="4"/>
  <c r="E706" i="4"/>
  <c r="E1554" i="4"/>
  <c r="E1347" i="4"/>
  <c r="E1476" i="4"/>
  <c r="E433" i="4"/>
  <c r="E1593" i="4"/>
  <c r="E857" i="4"/>
  <c r="E183" i="4"/>
  <c r="E491" i="4"/>
  <c r="E312" i="4"/>
  <c r="E835" i="4"/>
  <c r="E1355" i="4"/>
  <c r="E529" i="4"/>
  <c r="E1696" i="4"/>
  <c r="E838" i="4"/>
  <c r="E733" i="4"/>
  <c r="E1089" i="4"/>
  <c r="E182" i="4"/>
  <c r="E1239" i="4"/>
  <c r="E915" i="4"/>
  <c r="E935" i="4"/>
  <c r="E1096" i="4"/>
  <c r="E494" i="4"/>
  <c r="E287" i="4"/>
  <c r="E1003" i="4"/>
  <c r="E1048" i="4"/>
  <c r="E766" i="4"/>
  <c r="E1212" i="4"/>
  <c r="E1213" i="4"/>
  <c r="E303" i="4"/>
  <c r="E572" i="4"/>
  <c r="E1783" i="4"/>
  <c r="E1251" i="4"/>
  <c r="E600" i="4"/>
  <c r="E499" i="4"/>
  <c r="E1575" i="4"/>
  <c r="E848" i="4"/>
  <c r="E756" i="4"/>
  <c r="E1308" i="4"/>
  <c r="E510" i="4"/>
  <c r="E269" i="4"/>
  <c r="E262" i="4"/>
  <c r="E426" i="4"/>
  <c r="E1220" i="4"/>
  <c r="E560" i="4"/>
  <c r="E1002" i="4"/>
  <c r="E213" i="4"/>
  <c r="E1640" i="4"/>
  <c r="E423" i="4"/>
  <c r="E843" i="4"/>
  <c r="E633" i="4"/>
  <c r="E1021" i="4"/>
  <c r="E996" i="4"/>
  <c r="E747" i="4"/>
  <c r="E845" i="4"/>
  <c r="E742" i="4"/>
  <c r="E1157" i="4"/>
  <c r="E1296" i="4"/>
  <c r="E1054" i="4"/>
  <c r="E1384" i="4"/>
  <c r="E1209" i="4"/>
  <c r="E552" i="4"/>
  <c r="E1806" i="4"/>
  <c r="E1399" i="4"/>
  <c r="E392" i="4"/>
  <c r="E118" i="4"/>
  <c r="E1215" i="4"/>
  <c r="E611" i="4"/>
  <c r="E1569" i="4"/>
  <c r="E1485" i="4"/>
  <c r="E422" i="4"/>
  <c r="E1885" i="4"/>
  <c r="E1790" i="4"/>
  <c r="E1589" i="4"/>
  <c r="E242" i="4"/>
  <c r="E272" i="4"/>
  <c r="E1562" i="4"/>
  <c r="E1240" i="4"/>
  <c r="E1411" i="4"/>
  <c r="E919" i="4"/>
  <c r="E1903" i="4"/>
  <c r="E1734" i="4"/>
  <c r="E1741" i="4"/>
  <c r="E790" i="4"/>
  <c r="E1940" i="4"/>
  <c r="E793" i="4"/>
  <c r="E1193" i="4"/>
  <c r="E1779" i="4"/>
  <c r="E1576" i="4"/>
  <c r="E1840" i="4"/>
  <c r="E132" i="4"/>
  <c r="E134" i="4"/>
  <c r="E1658" i="4"/>
  <c r="E195" i="4"/>
  <c r="E1388" i="4"/>
  <c r="E1937" i="4"/>
  <c r="E1425" i="4"/>
  <c r="E307" i="4"/>
  <c r="E807" i="4"/>
  <c r="E815" i="4"/>
  <c r="E826" i="4"/>
  <c r="E246" i="4"/>
  <c r="E470" i="4"/>
  <c r="E687" i="4"/>
  <c r="E120" i="4"/>
  <c r="E1445" i="4"/>
  <c r="E1266" i="4"/>
  <c r="E270" i="4"/>
  <c r="E224" i="4"/>
  <c r="E202" i="4"/>
  <c r="E1356" i="4"/>
  <c r="E931" i="4"/>
  <c r="E1390" i="4"/>
  <c r="E722" i="4"/>
  <c r="E618" i="4"/>
  <c r="E745" i="4"/>
  <c r="E768" i="4"/>
  <c r="E605" i="4"/>
  <c r="E909" i="4"/>
  <c r="E411" i="4"/>
  <c r="E474" i="4"/>
  <c r="E548" i="4"/>
  <c r="E757" i="4"/>
  <c r="E482" i="4"/>
  <c r="E495" i="4"/>
  <c r="E913" i="4"/>
  <c r="E801" i="4"/>
  <c r="E497" i="4"/>
  <c r="E925" i="4"/>
  <c r="E916" i="4"/>
  <c r="E329" i="4"/>
  <c r="E1458" i="4"/>
  <c r="E389" i="4"/>
  <c r="E1124" i="4"/>
  <c r="E1371" i="4"/>
  <c r="E1666" i="4"/>
  <c r="E1303" i="4"/>
  <c r="E1646" i="4"/>
  <c r="E1278" i="4"/>
  <c r="E1853" i="4"/>
  <c r="E1189" i="4"/>
  <c r="E1254" i="4"/>
  <c r="E932" i="4"/>
  <c r="E1204" i="4"/>
  <c r="E1201" i="4"/>
  <c r="E991" i="4"/>
  <c r="E1342" i="4"/>
  <c r="E172" i="4"/>
  <c r="E1060" i="4"/>
  <c r="E539" i="4"/>
  <c r="E419" i="4"/>
  <c r="E833" i="4"/>
  <c r="E493" i="4"/>
  <c r="E1000" i="4"/>
  <c r="E725" i="4"/>
  <c r="E313" i="4"/>
  <c r="E531" i="4"/>
  <c r="E511" i="4"/>
  <c r="E914" i="4"/>
  <c r="E268" i="4"/>
  <c r="E1041" i="4"/>
  <c r="E907" i="4"/>
  <c r="E1093" i="4"/>
  <c r="E934" i="4"/>
  <c r="E643" i="4"/>
  <c r="E852" i="4"/>
  <c r="E1828" i="4"/>
  <c r="E631" i="4"/>
  <c r="E1859" i="4"/>
  <c r="E1211" i="4"/>
  <c r="E736" i="4"/>
  <c r="E1607" i="4"/>
  <c r="E1173" i="4"/>
  <c r="E1214" i="4"/>
  <c r="E1306" i="4"/>
  <c r="E744" i="4"/>
  <c r="E1273" i="4"/>
  <c r="E1056" i="4"/>
  <c r="E344" i="4"/>
  <c r="E379" i="4"/>
  <c r="E1501" i="4"/>
  <c r="E1824" i="4"/>
  <c r="E1100" i="4"/>
  <c r="E1842" i="4"/>
  <c r="E33" i="4"/>
  <c r="E204" i="4"/>
  <c r="E593" i="4"/>
  <c r="E920" i="4"/>
  <c r="E1811" i="4"/>
  <c r="E1735" i="4"/>
  <c r="E1711" i="4"/>
  <c r="E1750" i="4"/>
  <c r="E1756" i="4"/>
  <c r="E1900" i="4"/>
  <c r="E1771" i="4"/>
  <c r="E1780" i="4"/>
  <c r="E1363" i="4"/>
  <c r="E972" i="4"/>
  <c r="E873" i="4"/>
  <c r="E346" i="4"/>
  <c r="E1659" i="4"/>
  <c r="E432" i="4"/>
  <c r="E1074" i="4"/>
  <c r="E1025" i="4"/>
  <c r="E525" i="4"/>
  <c r="E428" i="4"/>
  <c r="E305" i="4"/>
  <c r="E741" i="4"/>
  <c r="E1232" i="4"/>
  <c r="E409" i="4"/>
  <c r="E410" i="4"/>
  <c r="E1253" i="4"/>
  <c r="E654" i="4"/>
  <c r="E561" i="4"/>
  <c r="E1197" i="4"/>
  <c r="E1055" i="4"/>
  <c r="E1307" i="4"/>
  <c r="E658" i="4"/>
  <c r="E483" i="4"/>
  <c r="E534" i="4"/>
  <c r="E522" i="4"/>
  <c r="E147" i="4"/>
  <c r="E188" i="4"/>
  <c r="E1319" i="4"/>
  <c r="E417" i="4"/>
  <c r="E1244" i="4"/>
  <c r="E765" i="4"/>
  <c r="E1360" i="4"/>
  <c r="E1615" i="4"/>
  <c r="E1608" i="4"/>
  <c r="E1302" i="4"/>
  <c r="E424" i="4"/>
  <c r="E591" i="4"/>
  <c r="E1304" i="4"/>
  <c r="E729" i="4"/>
  <c r="E1671" i="4"/>
  <c r="E959" i="4"/>
  <c r="E1326" i="4"/>
  <c r="E1693" i="4"/>
  <c r="E1019" i="4"/>
  <c r="E295" i="4"/>
  <c r="E498" i="4"/>
  <c r="E230" i="4"/>
  <c r="E1821" i="4"/>
  <c r="E1348" i="4"/>
  <c r="E1125" i="4"/>
  <c r="E1142" i="4"/>
  <c r="E726" i="4"/>
  <c r="E753" i="4"/>
  <c r="E509" i="4"/>
  <c r="E940" i="4"/>
  <c r="E1669" i="4"/>
  <c r="E941" i="4"/>
  <c r="E1110" i="4"/>
  <c r="E234" i="4"/>
  <c r="E692" i="4"/>
  <c r="E836" i="4"/>
  <c r="E1185" i="4"/>
  <c r="E302" i="4"/>
  <c r="E594" i="4"/>
  <c r="E555" i="4"/>
  <c r="E1118" i="4"/>
  <c r="E1069" i="4"/>
  <c r="E490" i="4"/>
  <c r="E1134" i="4"/>
  <c r="E321" i="4"/>
  <c r="E1507" i="4"/>
  <c r="E1564" i="4"/>
  <c r="E1670" i="4"/>
  <c r="E1137" i="4"/>
  <c r="E1609" i="4"/>
  <c r="E1361" i="4"/>
  <c r="E431" i="4"/>
  <c r="E704" i="4"/>
  <c r="E1788" i="4"/>
  <c r="E1791" i="4"/>
  <c r="E1497" i="4"/>
  <c r="E872" i="4"/>
  <c r="E746" i="4"/>
  <c r="E1053" i="4"/>
  <c r="E623" i="4"/>
  <c r="E1676" i="4"/>
  <c r="E435" i="4"/>
  <c r="E1026" i="4"/>
  <c r="E849" i="4"/>
  <c r="E973" i="4"/>
  <c r="E1413" i="4"/>
  <c r="E851" i="4"/>
  <c r="E304" i="4"/>
  <c r="E545" i="4"/>
  <c r="E691" i="4"/>
  <c r="E1565" i="4"/>
  <c r="E276" i="4"/>
  <c r="E1567" i="4"/>
  <c r="E1035" i="4"/>
  <c r="E910" i="4"/>
  <c r="E532" i="4"/>
  <c r="E844" i="4"/>
  <c r="E413" i="4"/>
  <c r="E148" i="4"/>
  <c r="E642" i="4"/>
  <c r="E348" i="4"/>
  <c r="E1444" i="4"/>
  <c r="E1420" i="4"/>
  <c r="E1198" i="4"/>
  <c r="E306" i="4"/>
  <c r="E1830" i="4"/>
  <c r="E1285" i="4"/>
  <c r="E780" i="4"/>
  <c r="E1643" i="4"/>
  <c r="E1351" i="4"/>
  <c r="E141" i="4"/>
  <c r="E388" i="4"/>
  <c r="E1852" i="4"/>
  <c r="E587" i="4"/>
  <c r="E343" i="4"/>
  <c r="E1183" i="4"/>
  <c r="E613" i="4"/>
  <c r="E1191" i="4"/>
  <c r="E464" i="4"/>
  <c r="E170" i="4"/>
  <c r="E1148" i="4"/>
  <c r="E1375" i="4"/>
  <c r="E1532" i="4"/>
  <c r="E1292" i="4"/>
  <c r="E1596" i="4"/>
  <c r="E161" i="4"/>
  <c r="E1835" i="4"/>
  <c r="E1737" i="4"/>
  <c r="E1743" i="4"/>
  <c r="E1039" i="4"/>
  <c r="E1759" i="4"/>
  <c r="E1766" i="4"/>
  <c r="E1772" i="4"/>
  <c r="E1531" i="4"/>
  <c r="E875" i="4"/>
  <c r="E558" i="4"/>
  <c r="E527" i="4"/>
  <c r="E622" i="4"/>
  <c r="E381" i="4"/>
  <c r="E371" i="4"/>
  <c r="E784" i="4"/>
  <c r="E1401" i="4"/>
  <c r="E980" i="4"/>
  <c r="E1691" i="4"/>
  <c r="E1228" i="4"/>
  <c r="E384" i="4"/>
  <c r="E732" i="4"/>
  <c r="E1439" i="4"/>
  <c r="E1088" i="4"/>
  <c r="E1509" i="4"/>
  <c r="E911" i="4"/>
  <c r="E267" i="4"/>
  <c r="E310" i="4"/>
  <c r="E185" i="4"/>
  <c r="E1460" i="4"/>
  <c r="E842" i="4"/>
  <c r="E1614" i="4"/>
  <c r="E519" i="4"/>
  <c r="E1690" i="4"/>
  <c r="E1049" i="4"/>
  <c r="E1679" i="4"/>
  <c r="E1422" i="4"/>
  <c r="E1888" i="4"/>
  <c r="E737" i="4"/>
  <c r="E1628" i="4"/>
  <c r="E463" i="4"/>
  <c r="E1416" i="4"/>
  <c r="E1506" i="4"/>
  <c r="E1505" i="4"/>
  <c r="E967" i="4"/>
  <c r="E427" i="4"/>
  <c r="E1864" i="4"/>
  <c r="E785" i="4"/>
  <c r="E641" i="4"/>
  <c r="E1150" i="4"/>
  <c r="E1057" i="4"/>
  <c r="E1280" i="4"/>
  <c r="E1876" i="4"/>
  <c r="E396" i="4"/>
  <c r="E1727" i="4"/>
  <c r="E1738" i="4"/>
  <c r="E151" i="4"/>
  <c r="E1753" i="4"/>
  <c r="E1866" i="4"/>
  <c r="E1767" i="4"/>
  <c r="E1773" i="4"/>
  <c r="E1461" i="4"/>
  <c r="E279" i="4"/>
  <c r="E99" i="4"/>
  <c r="E1033" i="4"/>
  <c r="E1595" i="4"/>
  <c r="E918" i="4"/>
  <c r="E589" i="4"/>
  <c r="E1881" i="4"/>
  <c r="E1276" i="4"/>
  <c r="E1913" i="4"/>
  <c r="E526" i="4"/>
  <c r="E850" i="4"/>
  <c r="E698" i="4"/>
  <c r="E1686" i="4"/>
  <c r="E1272" i="4"/>
  <c r="E1001" i="4"/>
  <c r="E974" i="4"/>
  <c r="E639" i="4"/>
  <c r="E261" i="4"/>
  <c r="E1063" i="4"/>
  <c r="E1095" i="4"/>
  <c r="E277" i="4"/>
  <c r="E1442" i="4"/>
  <c r="E530" i="4"/>
  <c r="E803" i="4"/>
  <c r="E912" i="4"/>
  <c r="E467" i="4"/>
  <c r="E142" i="4"/>
  <c r="E1793" i="4"/>
  <c r="E660" i="4"/>
  <c r="E630" i="4"/>
  <c r="E586" i="4"/>
  <c r="E330" i="4"/>
  <c r="E1165" i="4"/>
  <c r="E1210" i="4"/>
  <c r="E1350" i="4"/>
  <c r="E1891" i="4"/>
  <c r="E781" i="4"/>
  <c r="E1897" i="4"/>
  <c r="E1269" i="4"/>
  <c r="E617" i="4"/>
  <c r="E1190" i="4"/>
  <c r="E501" i="4"/>
  <c r="E1408" i="4"/>
  <c r="E626" i="4"/>
  <c r="E1655" i="4"/>
  <c r="E1845" i="4"/>
  <c r="E653" i="4"/>
  <c r="E1785" i="4"/>
  <c r="E205" i="4"/>
  <c r="E799" i="4"/>
  <c r="E1218" i="4"/>
  <c r="E1865" i="4"/>
  <c r="E1126" i="4"/>
  <c r="E1728" i="4"/>
  <c r="E1739" i="4"/>
  <c r="E1744" i="4"/>
  <c r="E791" i="4"/>
  <c r="E792" i="4"/>
  <c r="E1768" i="4"/>
  <c r="E1920" i="4"/>
  <c r="E694" i="4"/>
  <c r="E1860" i="4"/>
  <c r="E1369" i="4"/>
  <c r="E133" i="4"/>
  <c r="E1182" i="4"/>
  <c r="E1171" i="4"/>
  <c r="E1542" i="4"/>
  <c r="E360" i="4"/>
  <c r="E1181" i="4"/>
  <c r="E1917" i="4"/>
  <c r="E1740" i="4"/>
  <c r="E1843" i="4"/>
  <c r="E1719" i="4"/>
  <c r="E840" i="4"/>
  <c r="E1558" i="4"/>
  <c r="E553" i="4"/>
  <c r="E1067" i="4"/>
  <c r="E350" i="4"/>
  <c r="E1910" i="4"/>
  <c r="E1930" i="4"/>
  <c r="E76" i="4"/>
  <c r="E809" i="4"/>
  <c r="E818" i="4"/>
  <c r="E827" i="4"/>
  <c r="E331" i="4"/>
  <c r="E684" i="4"/>
  <c r="E472" i="4"/>
  <c r="E112" i="4"/>
  <c r="E1277" i="4"/>
  <c r="E1172" i="4"/>
  <c r="E273" i="4"/>
  <c r="E1324" i="4"/>
  <c r="E353" i="4"/>
  <c r="E46" i="4"/>
  <c r="E713" i="4"/>
  <c r="E163" i="4"/>
  <c r="E37" i="4"/>
  <c r="E283" i="4"/>
  <c r="E115" i="4"/>
  <c r="E407" i="4"/>
  <c r="E990" i="4"/>
  <c r="E1901" i="4"/>
  <c r="E879" i="4"/>
  <c r="E466" i="4"/>
  <c r="E620" i="4"/>
  <c r="E944" i="4"/>
  <c r="E1486" i="4"/>
  <c r="E1906" i="4"/>
  <c r="E1568" i="4"/>
  <c r="E357" i="4"/>
  <c r="E1423" i="4"/>
  <c r="E308" i="4"/>
  <c r="E1146" i="4"/>
  <c r="E798" i="4"/>
  <c r="E964" i="4"/>
  <c r="E89" i="4"/>
  <c r="E281" i="4"/>
  <c r="E326" i="4"/>
  <c r="E1862" i="4"/>
  <c r="E68" i="4"/>
  <c r="E84" i="4"/>
  <c r="E1068" i="4"/>
  <c r="E55" i="4"/>
  <c r="E960" i="4"/>
  <c r="E96" i="4"/>
  <c r="E574" i="4"/>
  <c r="E1194" i="4"/>
  <c r="E1042" i="4"/>
  <c r="E36" i="4"/>
  <c r="E1071" i="4"/>
  <c r="E32" i="4"/>
  <c r="E723" i="4"/>
  <c r="E1511" i="4"/>
  <c r="E1902" i="4"/>
  <c r="E1874" i="4"/>
  <c r="D558" i="4"/>
  <c r="D527" i="4"/>
  <c r="D622" i="4"/>
  <c r="D381" i="4"/>
  <c r="D371" i="4"/>
  <c r="D784" i="4"/>
  <c r="D1401" i="4"/>
  <c r="E1242" i="4"/>
  <c r="E1579" i="4"/>
  <c r="E584" i="4"/>
  <c r="E1373" i="4"/>
  <c r="E1158" i="4"/>
  <c r="E1724" i="4"/>
  <c r="E789" i="4"/>
  <c r="E1919" i="4"/>
  <c r="E1720" i="4"/>
  <c r="E450" i="4"/>
  <c r="E1281" i="4"/>
  <c r="E1297" i="4"/>
  <c r="E135" i="4"/>
  <c r="E1818" i="4"/>
  <c r="E1928" i="4"/>
  <c r="E1929" i="4"/>
  <c r="E245" i="4"/>
  <c r="E231" i="4"/>
  <c r="E298" i="4"/>
  <c r="E871" i="4"/>
  <c r="E663" i="4"/>
  <c r="E685" i="4"/>
  <c r="E674" i="4"/>
  <c r="E191" i="4"/>
  <c r="E1406" i="4"/>
  <c r="E254" i="4"/>
  <c r="E223" i="4"/>
  <c r="E517" i="4"/>
  <c r="E40" i="4"/>
  <c r="E356" i="4"/>
  <c r="E399" i="4"/>
  <c r="E1077" i="4"/>
  <c r="E946" i="4"/>
  <c r="E1080" i="4"/>
  <c r="E458" i="4"/>
  <c r="E74" i="4"/>
  <c r="E1456" i="4"/>
  <c r="E797" i="4"/>
  <c r="E1320" i="4"/>
  <c r="E139" i="4"/>
  <c r="E854" i="4"/>
  <c r="E878" i="4"/>
  <c r="E1099" i="4"/>
  <c r="E1662" i="4"/>
  <c r="E1873" i="4"/>
  <c r="E1636" i="4"/>
  <c r="E49" i="4"/>
  <c r="E841" i="4"/>
  <c r="E1380" i="4"/>
  <c r="E361" i="4"/>
  <c r="E1875" i="4"/>
  <c r="E1499" i="4"/>
  <c r="E1290" i="4"/>
  <c r="E771" i="4"/>
  <c r="E1465" i="4"/>
  <c r="E69" i="4"/>
  <c r="E1863" i="4"/>
  <c r="E880" i="4"/>
  <c r="E1692" i="4"/>
  <c r="E47" i="4"/>
  <c r="E1085" i="4"/>
  <c r="E566" i="4"/>
  <c r="E730" i="4"/>
  <c r="E1353" i="4"/>
  <c r="E937" i="4"/>
  <c r="E864" i="4"/>
  <c r="E20" i="4"/>
  <c r="E1672" i="4"/>
  <c r="E1804" i="4"/>
  <c r="E1480" i="4"/>
  <c r="E1570" i="4"/>
  <c r="E1474" i="4"/>
  <c r="E696" i="4"/>
  <c r="E585" i="4"/>
  <c r="E738" i="4"/>
  <c r="E1346" i="4"/>
  <c r="E1725" i="4"/>
  <c r="E1812" i="4"/>
  <c r="E1757" i="4"/>
  <c r="E1770" i="4"/>
  <c r="E1208" i="4"/>
  <c r="E386" i="4"/>
  <c r="E1424" i="4"/>
  <c r="E1237" i="4"/>
  <c r="E1050" i="4"/>
  <c r="E1664" i="4"/>
  <c r="E1426" i="4"/>
  <c r="E274" i="4"/>
  <c r="E810" i="4"/>
  <c r="E819" i="4"/>
  <c r="E189" i="4"/>
  <c r="E664" i="4"/>
  <c r="E686" i="4"/>
  <c r="E675" i="4"/>
  <c r="E332" i="4"/>
  <c r="E1650" i="4"/>
  <c r="E217" i="4"/>
  <c r="E831" i="4"/>
  <c r="E184" i="4"/>
  <c r="E354" i="4"/>
  <c r="E1822" i="4"/>
  <c r="E981" i="4"/>
  <c r="E715" i="4"/>
  <c r="E886" i="4"/>
  <c r="E718" i="4"/>
  <c r="E1037" i="4"/>
  <c r="E645" i="4"/>
  <c r="E1457" i="4"/>
  <c r="E333" i="4"/>
  <c r="E320" i="4"/>
  <c r="E73" i="4"/>
  <c r="E1715" i="4"/>
  <c r="E292" i="4"/>
  <c r="E1792" i="4"/>
  <c r="E248" i="4"/>
  <c r="E1108" i="4"/>
  <c r="E485" i="4"/>
  <c r="E1810" i="4"/>
  <c r="E1597" i="4"/>
  <c r="E777" i="4"/>
  <c r="E1419" i="4"/>
  <c r="E1312" i="4"/>
  <c r="E282" i="4"/>
  <c r="E1584" i="4"/>
  <c r="E1270" i="4"/>
  <c r="E196" i="4"/>
  <c r="E85" i="4"/>
  <c r="E697" i="4"/>
  <c r="E284" i="4"/>
  <c r="E767" i="4"/>
  <c r="E290" i="4"/>
  <c r="E939" i="4"/>
  <c r="E632" i="4"/>
  <c r="E1061" i="4"/>
  <c r="E1323" i="4"/>
  <c r="E179" i="4"/>
  <c r="E1226" i="4"/>
  <c r="E25" i="4"/>
  <c r="E1195" i="4"/>
  <c r="E233" i="4"/>
  <c r="E1799" i="4"/>
  <c r="E1196" i="4"/>
  <c r="D569" i="4"/>
  <c r="D754" i="4"/>
  <c r="D1116" i="4"/>
  <c r="D1115" i="4"/>
  <c r="D244" i="4"/>
  <c r="E761" i="4"/>
  <c r="E359" i="4"/>
  <c r="E965" i="4"/>
  <c r="E1689" i="4"/>
  <c r="E1890" i="4"/>
  <c r="E1726" i="4"/>
  <c r="E1742" i="4"/>
  <c r="E1758" i="4"/>
  <c r="E1847" i="4"/>
  <c r="E1166" i="4"/>
  <c r="E1528" i="4"/>
  <c r="E367" i="4"/>
  <c r="E1119" i="4"/>
  <c r="E136" i="4"/>
  <c r="E1294" i="4"/>
  <c r="E1427" i="4"/>
  <c r="E78" i="4"/>
  <c r="E832" i="4"/>
  <c r="E1494" i="4"/>
  <c r="E126" i="4"/>
  <c r="E138" i="4"/>
  <c r="E666" i="4"/>
  <c r="E676" i="4"/>
  <c r="E1309" i="4"/>
  <c r="E1265" i="4"/>
  <c r="E218" i="4"/>
  <c r="E259" i="4"/>
  <c r="E253" i="4"/>
  <c r="E41" i="4"/>
  <c r="E1084" i="4"/>
  <c r="E1833" i="4"/>
  <c r="E401" i="4"/>
  <c r="E391" i="4"/>
  <c r="E404" i="4"/>
  <c r="E720" i="4"/>
  <c r="E165" i="4"/>
  <c r="E21" i="4"/>
  <c r="E121" i="4"/>
  <c r="E1832" i="4"/>
  <c r="E1577" i="4"/>
  <c r="E900" i="4"/>
  <c r="E342" i="4"/>
  <c r="E1241" i="4"/>
  <c r="E249" i="4"/>
  <c r="E1441" i="4"/>
  <c r="E870" i="4"/>
  <c r="E1538" i="4"/>
  <c r="E1339" i="4"/>
  <c r="E1535" i="4"/>
  <c r="E1377" i="4"/>
  <c r="E1385" i="4"/>
  <c r="E999" i="4"/>
  <c r="E368" i="4"/>
  <c r="E1543" i="4"/>
  <c r="E927" i="4"/>
  <c r="E106" i="4"/>
  <c r="E1698" i="4"/>
  <c r="E1688" i="4"/>
  <c r="E1925" i="4"/>
  <c r="E336" i="4"/>
  <c r="E615" i="4"/>
  <c r="E102" i="4"/>
  <c r="E421" i="4"/>
  <c r="E1344" i="4"/>
  <c r="E1521" i="4"/>
  <c r="E853" i="4"/>
  <c r="E1921" i="4"/>
  <c r="E513" i="4"/>
  <c r="E647" i="4"/>
  <c r="E1481" i="4"/>
  <c r="E192" i="4"/>
  <c r="E748" i="4"/>
  <c r="E387" i="4"/>
  <c r="E1462" i="4"/>
  <c r="E449" i="4"/>
  <c r="E1794" i="4"/>
  <c r="E1729" i="4"/>
  <c r="E1745" i="4"/>
  <c r="E1815" i="4"/>
  <c r="E794" i="4"/>
  <c r="E1405" i="4"/>
  <c r="E38" i="4"/>
  <c r="E868" i="4"/>
  <c r="E1109" i="4"/>
  <c r="E1271" i="4"/>
  <c r="E1665" i="4"/>
  <c r="E1331" i="4"/>
  <c r="E79" i="4"/>
  <c r="E923" i="4"/>
  <c r="E820" i="4"/>
  <c r="E828" i="4"/>
  <c r="E665" i="4"/>
  <c r="E624" i="4"/>
  <c r="E59" i="4"/>
  <c r="E1817" i="4"/>
  <c r="E1651" i="4"/>
  <c r="E219" i="4"/>
  <c r="E1206" i="4"/>
  <c r="E709" i="4"/>
  <c r="E355" i="4"/>
  <c r="E1225" i="4"/>
  <c r="E1128" i="4"/>
  <c r="E983" i="4"/>
  <c r="E455" i="4"/>
  <c r="E986" i="4"/>
  <c r="E406" i="4"/>
  <c r="E646" i="4"/>
  <c r="E5" i="4"/>
  <c r="E487" i="4"/>
  <c r="E1336" i="4"/>
  <c r="E198" i="4"/>
  <c r="E1103" i="4"/>
  <c r="E154" i="4"/>
  <c r="E1947" i="4"/>
  <c r="E1376" i="4"/>
  <c r="E1526" i="4"/>
  <c r="E26" i="4"/>
  <c r="E1546" i="4"/>
  <c r="E1530" i="4"/>
  <c r="E547" i="4"/>
  <c r="E1404" i="4"/>
  <c r="E1854" i="4"/>
  <c r="E201" i="4"/>
  <c r="E383" i="4"/>
  <c r="E95" i="4"/>
  <c r="E608" i="4"/>
  <c r="E1011" i="4"/>
  <c r="E1545" i="4"/>
  <c r="E1334" i="4"/>
  <c r="E1024" i="4"/>
  <c r="E393" i="4"/>
  <c r="E556" i="4"/>
  <c r="E110" i="4"/>
  <c r="E1286" i="4"/>
  <c r="E1114" i="4"/>
  <c r="E479" i="4"/>
  <c r="E1667" i="4"/>
  <c r="E1017" i="4"/>
  <c r="E1868" i="4"/>
  <c r="E1477" i="4"/>
  <c r="E1786" i="4"/>
  <c r="E193" i="4"/>
  <c r="E743" i="4"/>
  <c r="E992" i="4"/>
  <c r="E523" i="4"/>
  <c r="E1695" i="4"/>
  <c r="E1704" i="4"/>
  <c r="E787" i="4"/>
  <c r="E1747" i="4"/>
  <c r="E1761" i="4"/>
  <c r="E1774" i="4"/>
  <c r="E1151" i="4"/>
  <c r="E35" i="4"/>
  <c r="E1230" i="4"/>
  <c r="E769" i="4"/>
  <c r="E1389" i="4"/>
  <c r="E1295" i="4"/>
  <c r="E1131" i="4"/>
  <c r="E100" i="4"/>
  <c r="E811" i="4"/>
  <c r="E821" i="4"/>
  <c r="E434" i="4"/>
  <c r="E679" i="4"/>
  <c r="E667" i="4"/>
  <c r="E358" i="4"/>
  <c r="E1338" i="4"/>
  <c r="E1652" i="4"/>
  <c r="E257" i="4"/>
  <c r="E225" i="4"/>
  <c r="E94" i="4"/>
  <c r="E42" i="4"/>
  <c r="E710" i="4"/>
  <c r="E452" i="4"/>
  <c r="E945" i="4"/>
  <c r="E149" i="4"/>
  <c r="E948" i="4"/>
  <c r="E988" i="4"/>
  <c r="E155" i="4"/>
  <c r="E24" i="4"/>
  <c r="E1287" i="4"/>
  <c r="E174" i="4"/>
  <c r="E143" i="4"/>
  <c r="E226" i="4"/>
  <c r="E1133" i="4"/>
  <c r="E1261" i="4"/>
  <c r="E280" i="4"/>
  <c r="E250" i="4"/>
  <c r="E1332" i="4"/>
  <c r="E1717" i="4"/>
  <c r="E1052" i="4"/>
  <c r="E1534" i="4"/>
  <c r="E1322" i="4"/>
  <c r="E702" i="4"/>
  <c r="E699" i="4"/>
  <c r="E140" i="4"/>
  <c r="E27" i="4"/>
  <c r="E1520" i="4"/>
  <c r="E762" i="4"/>
  <c r="E130" i="4"/>
  <c r="E515" i="4"/>
  <c r="E34" i="4"/>
  <c r="E1121" i="4"/>
  <c r="E337" i="4"/>
  <c r="E862" i="4"/>
  <c r="E1624" i="4"/>
  <c r="E1705" i="4"/>
  <c r="E309" i="4"/>
  <c r="E943" i="4"/>
  <c r="E473" i="4"/>
  <c r="E1796" i="4"/>
  <c r="E1482" i="4"/>
  <c r="E1931" i="4"/>
  <c r="D524" i="4"/>
  <c r="D1402" i="4"/>
  <c r="D1359" i="4"/>
  <c r="D1483" i="4"/>
  <c r="E735" i="4"/>
  <c r="E592" i="4"/>
  <c r="E512" i="4"/>
  <c r="E1820" i="4"/>
  <c r="E1879" i="4"/>
  <c r="E1731" i="4"/>
  <c r="E1748" i="4"/>
  <c r="E1762" i="4"/>
  <c r="E1775" i="4"/>
  <c r="E1487" i="4"/>
  <c r="E1345" i="4"/>
  <c r="E707" i="4"/>
  <c r="E800" i="4"/>
  <c r="E1370" i="4"/>
  <c r="E1932" i="4"/>
  <c r="E1428" i="4"/>
  <c r="E92" i="4"/>
  <c r="E812" i="4"/>
  <c r="E822" i="4"/>
  <c r="E53" i="4"/>
  <c r="E123" i="4"/>
  <c r="E668" i="4"/>
  <c r="E398" i="4"/>
  <c r="E1701" i="4"/>
  <c r="E1267" i="4"/>
  <c r="E220" i="4"/>
  <c r="E1043" i="4"/>
  <c r="E255" i="4"/>
  <c r="E316" i="4"/>
  <c r="E711" i="4"/>
  <c r="E1076" i="4"/>
  <c r="E1660" i="4"/>
  <c r="E1079" i="4"/>
  <c r="E949" i="4"/>
  <c r="E1168" i="4"/>
  <c r="E62" i="4"/>
  <c r="E1907" i="4"/>
  <c r="E855" i="4"/>
  <c r="E1510" i="4"/>
  <c r="E380" i="4"/>
  <c r="E1104" i="4"/>
  <c r="E266" i="4"/>
  <c r="E260" i="4"/>
  <c r="E846" i="4"/>
  <c r="E1045" i="4"/>
  <c r="E565" i="4"/>
  <c r="E1631" i="4"/>
  <c r="E1156" i="4"/>
  <c r="E83" i="4"/>
  <c r="E1058" i="4"/>
  <c r="E48" i="4"/>
  <c r="E373" i="4"/>
  <c r="E173" i="4"/>
  <c r="E1186" i="4"/>
  <c r="E210" i="4"/>
  <c r="E1417" i="4"/>
  <c r="E776" i="4"/>
  <c r="E1274" i="4"/>
  <c r="E1858" i="4"/>
  <c r="E390" i="4"/>
  <c r="E1387" i="4"/>
  <c r="E294" i="4"/>
  <c r="E917" i="4"/>
  <c r="E1305" i="4"/>
  <c r="E1889" i="4"/>
  <c r="E1682" i="4"/>
  <c r="E394" i="4"/>
  <c r="E1800" i="4"/>
  <c r="E465" i="4"/>
  <c r="E1722" i="4"/>
  <c r="E963" i="4"/>
  <c r="E1795" i="4"/>
  <c r="E478" i="4"/>
  <c r="E1639" i="4"/>
  <c r="E1184" i="4"/>
  <c r="E1733" i="4"/>
  <c r="E1836" i="4"/>
  <c r="E1764" i="4"/>
  <c r="E1776" i="4"/>
  <c r="E1436" i="4"/>
  <c r="E1551" i="4"/>
  <c r="E1288" i="4"/>
  <c r="E1174" i="4"/>
  <c r="E1627" i="4"/>
  <c r="E1648" i="4"/>
  <c r="E1429" i="4"/>
  <c r="E72" i="4"/>
  <c r="E297" i="4"/>
  <c r="E823" i="4"/>
  <c r="E152" i="4"/>
  <c r="E680" i="4"/>
  <c r="E669" i="4"/>
  <c r="E247" i="4"/>
  <c r="E1635" i="4"/>
  <c r="E1616" i="4"/>
  <c r="E232" i="4"/>
  <c r="E979" i="4"/>
  <c r="E1224" i="4"/>
  <c r="E43" i="4"/>
  <c r="E1132" i="4"/>
  <c r="E714" i="4"/>
  <c r="E1130" i="4"/>
  <c r="E717" i="4"/>
  <c r="E114" i="4"/>
  <c r="E951" i="4"/>
  <c r="E989" i="4"/>
  <c r="E1610" i="4"/>
  <c r="E625" i="4"/>
  <c r="E1898" i="4"/>
  <c r="E153" i="4"/>
  <c r="E901" i="4"/>
  <c r="E908" i="4"/>
  <c r="E1948" i="4"/>
  <c r="E1922" i="4"/>
  <c r="E1046" i="4"/>
  <c r="E956" i="4"/>
  <c r="E1661" i="4"/>
  <c r="E462" i="4"/>
  <c r="E728" i="4"/>
  <c r="E314" i="4"/>
  <c r="E1887" i="4"/>
  <c r="E551" i="4"/>
  <c r="E897" i="4"/>
  <c r="E1467" i="4"/>
  <c r="E293" i="4"/>
  <c r="E616" i="4"/>
  <c r="E65" i="4"/>
  <c r="E1205" i="4"/>
  <c r="E1870" i="4"/>
  <c r="E839" i="4"/>
  <c r="E1098" i="4"/>
  <c r="E759" i="4"/>
  <c r="E1301" i="4"/>
  <c r="E1246" i="4"/>
  <c r="E1275" i="4"/>
  <c r="E468" i="4"/>
  <c r="E1386" i="4"/>
  <c r="E1801" i="4"/>
  <c r="E1012" i="4"/>
  <c r="E1540" i="4"/>
  <c r="E1178" i="4"/>
  <c r="E385" i="4"/>
  <c r="E1513" i="4"/>
  <c r="E1105" i="4"/>
  <c r="E1064" i="4"/>
  <c r="E1716" i="4"/>
  <c r="E1813" i="4"/>
  <c r="E1647" i="4"/>
  <c r="E795" i="4"/>
  <c r="E144" i="4"/>
  <c r="E705" i="4"/>
  <c r="E1227" i="4"/>
  <c r="E1065" i="4"/>
  <c r="E1362" i="4"/>
  <c r="E1878" i="4"/>
  <c r="E1430" i="4"/>
  <c r="E208" i="4"/>
  <c r="E813" i="4"/>
  <c r="E299" i="4"/>
  <c r="E61" i="4"/>
  <c r="E681" i="4"/>
  <c r="E670" i="4"/>
  <c r="E328" i="4"/>
  <c r="E315" i="4"/>
  <c r="E1653" i="4"/>
  <c r="E1094" i="4"/>
  <c r="E1283" i="4"/>
  <c r="E271" i="4"/>
  <c r="E317" i="4"/>
  <c r="E1855" i="4"/>
  <c r="E400" i="4"/>
  <c r="E454" i="4"/>
  <c r="E403" i="4"/>
  <c r="E457" i="4"/>
  <c r="E116" i="4"/>
  <c r="E952" i="4"/>
  <c r="E1611" i="4"/>
  <c r="E1831" i="4"/>
  <c r="E1409" i="4"/>
  <c r="E1826" i="4"/>
  <c r="E91" i="4"/>
  <c r="E1587" i="4"/>
  <c r="E22" i="4"/>
  <c r="E602" i="4"/>
  <c r="E1047" i="4"/>
  <c r="E869" i="4"/>
  <c r="E150" i="4"/>
  <c r="E364" i="4"/>
  <c r="E1365" i="4"/>
  <c r="E1503" i="4"/>
  <c r="E1107" i="4"/>
  <c r="E1321" i="4"/>
  <c r="E461" i="4"/>
  <c r="E1514" i="4"/>
  <c r="E1440" i="4"/>
  <c r="E60" i="4"/>
  <c r="E103" i="4"/>
  <c r="E1574" i="4"/>
  <c r="E1316" i="4"/>
  <c r="E628" i="4"/>
  <c r="E323" i="4"/>
  <c r="E1894" i="4"/>
  <c r="E887" i="4"/>
  <c r="E1583" i="4"/>
  <c r="E1149" i="4"/>
  <c r="E1443" i="4"/>
  <c r="E1340" i="4"/>
  <c r="E1539" i="4"/>
  <c r="E1478" i="4"/>
  <c r="E1594" i="4"/>
  <c r="D1575" i="4"/>
  <c r="D848" i="4"/>
  <c r="D756" i="4"/>
  <c r="D1308" i="4"/>
  <c r="D510" i="4"/>
  <c r="D269" i="4"/>
  <c r="D262" i="4"/>
  <c r="D426" i="4"/>
  <c r="D1220" i="4"/>
  <c r="E87" i="4"/>
  <c r="E902" i="4"/>
  <c r="E75" i="4"/>
  <c r="E1571" i="4"/>
  <c r="E1529" i="4"/>
  <c r="E788" i="4"/>
  <c r="E1751" i="4"/>
  <c r="E1938" i="4"/>
  <c r="E1778" i="4"/>
  <c r="E1464" i="4"/>
  <c r="E583" i="4"/>
  <c r="E1236" i="4"/>
  <c r="E921" i="4"/>
  <c r="E1279" i="4"/>
  <c r="E1933" i="4"/>
  <c r="E1431" i="4"/>
  <c r="E804" i="4"/>
  <c r="E924" i="4"/>
  <c r="E824" i="4"/>
  <c r="E129" i="4"/>
  <c r="E97" i="4"/>
  <c r="E671" i="4"/>
  <c r="E80" i="4"/>
  <c r="E1298" i="4"/>
  <c r="E1421" i="4"/>
  <c r="E377" i="4"/>
  <c r="E516" i="4"/>
  <c r="E1914" i="4"/>
  <c r="E1909" i="4"/>
  <c r="E1127" i="4"/>
  <c r="E982" i="4"/>
  <c r="E1078" i="4"/>
  <c r="E985" i="4"/>
  <c r="E1081" i="4"/>
  <c r="E164" i="4"/>
  <c r="E1434" i="4"/>
  <c r="E1949" i="4"/>
  <c r="E1391" i="4"/>
  <c r="E125" i="4"/>
  <c r="E1252" i="4"/>
  <c r="E1231" i="4"/>
  <c r="E550" i="4"/>
  <c r="E23" i="4"/>
  <c r="E63" i="4"/>
  <c r="E502" i="4"/>
  <c r="E1707" i="4"/>
  <c r="E166" i="4"/>
  <c r="E888" i="4"/>
  <c r="E1446" i="4"/>
  <c r="E416" i="4"/>
  <c r="E634" i="4"/>
  <c r="E1255" i="4"/>
  <c r="E289" i="4"/>
  <c r="E1349" i="4"/>
  <c r="E775" i="4"/>
  <c r="E82" i="4"/>
  <c r="E104" i="4"/>
  <c r="E1032" i="4"/>
  <c r="E1823" i="4"/>
  <c r="E882" i="4"/>
  <c r="E1176" i="4"/>
  <c r="E340" i="4"/>
  <c r="E334" i="4"/>
  <c r="E895" i="4"/>
  <c r="E1022" i="4"/>
  <c r="E1556" i="4"/>
  <c r="E1364" i="4"/>
  <c r="E1517" i="4"/>
  <c r="E1797" i="4"/>
  <c r="E1710" i="4"/>
  <c r="D202" i="4"/>
  <c r="D1356" i="4"/>
  <c r="D931" i="4"/>
  <c r="D1390" i="4"/>
  <c r="D722" i="4"/>
  <c r="D618" i="4"/>
  <c r="D745" i="4"/>
  <c r="D768" i="4"/>
  <c r="D605" i="4"/>
  <c r="D909" i="4"/>
  <c r="D411" i="4"/>
  <c r="D474" i="4"/>
  <c r="D548" i="4"/>
  <c r="D757" i="4"/>
  <c r="D482" i="4"/>
  <c r="E922" i="4"/>
  <c r="E543" i="4"/>
  <c r="E430" i="4"/>
  <c r="E1179" i="4"/>
  <c r="E606" i="4"/>
  <c r="E1736" i="4"/>
  <c r="E1752" i="4"/>
  <c r="E1765" i="4"/>
  <c r="E1905" i="4"/>
  <c r="E349" i="4"/>
  <c r="E481" i="4"/>
  <c r="E1163" i="4"/>
  <c r="E1222" i="4"/>
  <c r="E1463" i="4"/>
  <c r="E1934" i="4"/>
  <c r="E370" i="4"/>
  <c r="E805" i="4"/>
  <c r="E1493" i="4"/>
  <c r="E825" i="4"/>
  <c r="E86" i="4"/>
  <c r="E365" i="4"/>
  <c r="E672" i="4"/>
  <c r="E677" i="4"/>
  <c r="E1668" i="4"/>
  <c r="E1268" i="4"/>
  <c r="E221" i="4"/>
  <c r="E209" i="4"/>
  <c r="E39" i="4"/>
  <c r="E44" i="4"/>
  <c r="E712" i="4"/>
  <c r="E162" i="4"/>
  <c r="E716" i="4"/>
  <c r="E1559" i="4"/>
  <c r="E719" i="4"/>
  <c r="E459" i="4"/>
  <c r="E1435" i="4"/>
  <c r="E1884" i="4"/>
  <c r="E1488" i="4"/>
  <c r="E57" i="4"/>
  <c r="E199" i="4"/>
  <c r="E146" i="4"/>
  <c r="E240" i="4"/>
  <c r="E1525" i="4"/>
  <c r="E1199" i="4"/>
  <c r="E1310" i="4"/>
  <c r="E1877" i="4"/>
  <c r="E955" i="4"/>
  <c r="E1588" i="4"/>
  <c r="E599" i="4"/>
  <c r="E1856" i="4"/>
  <c r="E311" i="4"/>
  <c r="E701" i="4"/>
  <c r="E1059" i="4"/>
  <c r="E211" i="4"/>
  <c r="E597" i="4"/>
  <c r="E122" i="4"/>
  <c r="E66" i="4"/>
  <c r="E1367" i="4"/>
  <c r="E288" i="4"/>
  <c r="E1678" i="4"/>
  <c r="E582" i="4"/>
  <c r="E1644" i="4"/>
  <c r="E1403" i="4"/>
  <c r="E58" i="4"/>
  <c r="E186" i="4"/>
  <c r="E1437" i="4"/>
  <c r="E1299" i="4"/>
  <c r="E1802" i="4"/>
  <c r="E1479" i="4"/>
  <c r="E957" i="4"/>
  <c r="D1254" i="4"/>
  <c r="E1592" i="4"/>
  <c r="E480" i="4"/>
  <c r="E650" i="4"/>
  <c r="E1221" i="4"/>
  <c r="E607" i="4"/>
  <c r="E1585" i="4"/>
  <c r="E1754" i="4"/>
  <c r="E1816" i="4"/>
  <c r="E796" i="4"/>
  <c r="E1807" i="4"/>
  <c r="E703" i="4"/>
  <c r="E476" i="4"/>
  <c r="E708" i="4"/>
  <c r="E1927" i="4"/>
  <c r="E1935" i="4"/>
  <c r="E263" i="4"/>
  <c r="E806" i="4"/>
  <c r="E814" i="4"/>
  <c r="E362" i="4"/>
  <c r="E251" i="4"/>
  <c r="E471" i="4"/>
  <c r="E883" i="4"/>
  <c r="E128" i="4"/>
  <c r="E1015" i="4"/>
  <c r="E1533" i="4"/>
  <c r="E258" i="4"/>
  <c r="E1216" i="4"/>
  <c r="E351" i="4"/>
  <c r="E318" i="4"/>
  <c r="E451" i="4"/>
  <c r="E1129" i="4"/>
  <c r="E402" i="4"/>
  <c r="E947" i="4"/>
  <c r="E405" i="4"/>
  <c r="E1598" i="4"/>
  <c r="E1082" i="4"/>
  <c r="E1952" i="4"/>
  <c r="E70" i="4"/>
  <c r="E175" i="4"/>
  <c r="E167" i="4"/>
  <c r="E278" i="4"/>
  <c r="E1120" i="4"/>
  <c r="E1629" i="4"/>
  <c r="E238" i="4"/>
  <c r="E338" i="4"/>
  <c r="E1557" i="4"/>
  <c r="E1626" i="4"/>
  <c r="E1177" i="4"/>
  <c r="E1709" i="4"/>
  <c r="E1051" i="4"/>
  <c r="E1135" i="4"/>
  <c r="E954" i="4"/>
  <c r="E363" i="4"/>
  <c r="E460" i="4"/>
  <c r="E375" i="4"/>
  <c r="E609" i="4"/>
  <c r="E71" i="4"/>
  <c r="E1170" i="4"/>
  <c r="E890" i="4"/>
  <c r="E81" i="4"/>
  <c r="E1641" i="4"/>
  <c r="E1944" i="4"/>
  <c r="E1459" i="4"/>
  <c r="E1537" i="4"/>
  <c r="E127" i="4"/>
  <c r="E1718" i="4"/>
  <c r="E773" i="4"/>
  <c r="E1518" i="4"/>
  <c r="E1798" i="4"/>
  <c r="E1187" i="4"/>
  <c r="D1025" i="4"/>
  <c r="D525" i="4"/>
  <c r="D428" i="4"/>
  <c r="D305" i="4"/>
  <c r="D741" i="4"/>
  <c r="D1232" i="4"/>
  <c r="D409" i="4"/>
  <c r="D410" i="4"/>
  <c r="D1253" i="4"/>
  <c r="D654" i="4"/>
  <c r="D561" i="4"/>
  <c r="D1197" i="4"/>
  <c r="E571" i="4"/>
  <c r="E1674" i="4"/>
  <c r="E1327" i="4"/>
  <c r="E1180" i="4"/>
  <c r="E397" i="4"/>
  <c r="E1904" i="4"/>
  <c r="E1814" i="4"/>
  <c r="E1838" i="4"/>
  <c r="E1781" i="4"/>
  <c r="E1677" i="4"/>
  <c r="E881" i="4"/>
  <c r="E1634" i="4"/>
  <c r="E1618" i="4"/>
  <c r="E1663" i="4"/>
  <c r="E1936" i="4"/>
  <c r="E1432" i="4"/>
  <c r="E296" i="4"/>
  <c r="E816" i="4"/>
  <c r="E300" i="4"/>
  <c r="E93" i="4"/>
  <c r="E682" i="4"/>
  <c r="E131" i="4"/>
  <c r="E190" i="4"/>
  <c r="E1649" i="4"/>
  <c r="E229" i="4"/>
  <c r="E222" i="4"/>
  <c r="E1329" i="4"/>
  <c r="E352" i="4"/>
  <c r="E45" i="4"/>
  <c r="E1075" i="4"/>
  <c r="E453" i="4"/>
  <c r="E215" i="4"/>
  <c r="E113" i="4"/>
  <c r="E987" i="4"/>
  <c r="E1038" i="4"/>
  <c r="E1036" i="4"/>
  <c r="E264" i="4"/>
  <c r="E884" i="4"/>
  <c r="E252" i="4"/>
  <c r="E203" i="4"/>
  <c r="E171" i="4"/>
  <c r="E1508" i="4"/>
  <c r="E1911" i="4"/>
  <c r="E1945" i="4"/>
  <c r="E1846" i="4"/>
  <c r="E1915" i="4"/>
  <c r="E488" i="4"/>
  <c r="E969" i="4"/>
  <c r="E590" i="4"/>
  <c r="E180" i="4"/>
  <c r="E1490" i="4"/>
  <c r="E1857" i="4"/>
  <c r="E1407" i="4"/>
  <c r="E1358" i="4"/>
  <c r="E1141" i="4"/>
  <c r="E67" i="4"/>
  <c r="E1111" i="4"/>
  <c r="E345" i="4"/>
  <c r="E1555" i="4"/>
  <c r="E54" i="4"/>
  <c r="E1235" i="4"/>
  <c r="E953" i="4"/>
  <c r="E1560" i="4"/>
  <c r="E520" i="4"/>
  <c r="E903" i="4"/>
  <c r="E1544" i="4"/>
  <c r="E1637" i="4"/>
  <c r="E1803" i="4"/>
  <c r="E1619" i="4"/>
  <c r="E1167" i="4"/>
  <c r="D1142" i="4"/>
  <c r="E612" i="4"/>
  <c r="E651" i="4"/>
  <c r="E1502" i="4"/>
  <c r="E1687" i="4"/>
  <c r="E214" i="4"/>
  <c r="E1918" i="4"/>
  <c r="E1837" i="4"/>
  <c r="E1769" i="4"/>
  <c r="E942" i="4"/>
  <c r="E475" i="4"/>
  <c r="E540" i="4"/>
  <c r="E1248" i="4"/>
  <c r="E1819" i="4"/>
  <c r="E1293" i="4"/>
  <c r="E1939" i="4"/>
  <c r="E1433" i="4"/>
  <c r="E808" i="4"/>
  <c r="E817" i="4"/>
  <c r="E227" i="4"/>
  <c r="E119" i="4"/>
  <c r="E683" i="4"/>
  <c r="E673" i="4"/>
  <c r="E415" i="4"/>
  <c r="E1014" i="4"/>
  <c r="E216" i="4"/>
  <c r="E378" i="4"/>
  <c r="E286" i="4"/>
  <c r="E1896" i="4"/>
  <c r="E319" i="4"/>
  <c r="E1238" i="4"/>
  <c r="E1657" i="4"/>
  <c r="E984" i="4"/>
  <c r="E456" i="4"/>
  <c r="E950" i="4"/>
  <c r="E721" i="4"/>
  <c r="E1083" i="4"/>
  <c r="E159" i="4"/>
  <c r="E1343" i="4"/>
  <c r="E335" i="4"/>
  <c r="E197" i="4"/>
  <c r="E549" i="4"/>
  <c r="E1547" i="4"/>
  <c r="E1912" i="4"/>
  <c r="E1630" i="4"/>
  <c r="E1899" i="4"/>
  <c r="E1924" i="4"/>
  <c r="E1031" i="4"/>
  <c r="E1062" i="4"/>
  <c r="E1117" i="4"/>
  <c r="E1372" i="4"/>
  <c r="E1953" i="4"/>
  <c r="E1233" i="4"/>
  <c r="E1313" i="4"/>
  <c r="E1541" i="4"/>
  <c r="E610" i="4"/>
  <c r="E105" i="4"/>
  <c r="E1675" i="4"/>
  <c r="E418" i="4"/>
  <c r="E1398" i="4"/>
  <c r="E1013" i="4"/>
  <c r="E341" i="4"/>
  <c r="E285" i="4"/>
  <c r="E1954" i="4"/>
  <c r="E1527" i="4"/>
  <c r="E30" i="4"/>
  <c r="E31" i="4"/>
  <c r="E929" i="4"/>
  <c r="E889" i="4"/>
  <c r="E1512" i="4"/>
  <c r="E1341" i="4"/>
  <c r="D435" i="4"/>
  <c r="D1026" i="4"/>
  <c r="D849" i="4"/>
  <c r="D973" i="4"/>
  <c r="D1413" i="4"/>
  <c r="D932" i="4"/>
  <c r="D1669" i="4"/>
  <c r="D778" i="4"/>
  <c r="D1586" i="4"/>
  <c r="D980" i="4"/>
  <c r="D528" i="4"/>
  <c r="D856" i="4"/>
  <c r="D689" i="4"/>
  <c r="D838" i="4"/>
  <c r="D733" i="4"/>
  <c r="D633" i="4"/>
  <c r="D495" i="4"/>
  <c r="D913" i="4"/>
  <c r="D801" i="4"/>
  <c r="D497" i="4"/>
  <c r="D925" i="4"/>
  <c r="D916" i="4"/>
  <c r="D329" i="4"/>
  <c r="D1458" i="4"/>
  <c r="D389" i="4"/>
  <c r="D1124" i="4"/>
  <c r="D1371" i="4"/>
  <c r="D1666" i="4"/>
  <c r="D1303" i="4"/>
  <c r="D1646" i="4"/>
  <c r="D1278" i="4"/>
  <c r="D1853" i="4"/>
  <c r="D1189" i="4"/>
  <c r="D743" i="4"/>
  <c r="D1178" i="4"/>
  <c r="D1592" i="4"/>
  <c r="D1171" i="4"/>
  <c r="D387" i="4"/>
  <c r="D385" i="4"/>
  <c r="D1674" i="4"/>
  <c r="D965" i="4"/>
  <c r="D1513" i="4"/>
  <c r="D1502" i="4"/>
  <c r="D1695" i="4"/>
  <c r="D1221" i="4"/>
  <c r="D1890" i="4"/>
  <c r="D1529" i="4"/>
  <c r="D1724" i="4"/>
  <c r="D1716" i="4"/>
  <c r="D789" i="4"/>
  <c r="D1813" i="4"/>
  <c r="D1919" i="4"/>
  <c r="D1647" i="4"/>
  <c r="D1770" i="4"/>
  <c r="D1905" i="4"/>
  <c r="D1405" i="4"/>
  <c r="D1677" i="4"/>
  <c r="D1551" i="4"/>
  <c r="D1424" i="4"/>
  <c r="D1248" i="4"/>
  <c r="D1222" i="4"/>
  <c r="D1627" i="4"/>
  <c r="D1665" i="4"/>
  <c r="D1426" i="4"/>
  <c r="D76" i="4"/>
  <c r="D808" i="4"/>
  <c r="D816" i="4"/>
  <c r="D362" i="4"/>
  <c r="D86" i="4"/>
  <c r="D726" i="4"/>
  <c r="D509" i="4"/>
  <c r="D433" i="4"/>
  <c r="D851" i="4"/>
  <c r="D603" i="4"/>
  <c r="D183" i="4"/>
  <c r="D545" i="4"/>
  <c r="D1136" i="4"/>
  <c r="D1696" i="4"/>
  <c r="D423" i="4"/>
  <c r="D843" i="4"/>
  <c r="D531" i="4"/>
  <c r="D511" i="4"/>
  <c r="D914" i="4"/>
  <c r="D268" i="4"/>
  <c r="D1041" i="4"/>
  <c r="D907" i="4"/>
  <c r="D1093" i="4"/>
  <c r="D934" i="4"/>
  <c r="D643" i="4"/>
  <c r="D852" i="4"/>
  <c r="D1828" i="4"/>
  <c r="D631" i="4"/>
  <c r="D1859" i="4"/>
  <c r="D1211" i="4"/>
  <c r="D736" i="4"/>
  <c r="D1607" i="4"/>
  <c r="D1173" i="4"/>
  <c r="D1214" i="4"/>
  <c r="D1306" i="4"/>
  <c r="D744" i="4"/>
  <c r="D1273" i="4"/>
  <c r="D1056" i="4"/>
  <c r="D344" i="4"/>
  <c r="D379" i="4"/>
  <c r="D1501" i="4"/>
  <c r="D1824" i="4"/>
  <c r="D1100" i="4"/>
  <c r="D1842" i="4"/>
  <c r="D33" i="4"/>
  <c r="D204" i="4"/>
  <c r="D593" i="4"/>
  <c r="D920" i="4"/>
  <c r="D1811" i="4"/>
  <c r="D1735" i="4"/>
  <c r="D1711" i="4"/>
  <c r="D1750" i="4"/>
  <c r="D1756" i="4"/>
  <c r="D1900" i="4"/>
  <c r="D1771" i="4"/>
  <c r="D1780" i="4"/>
  <c r="D1363" i="4"/>
  <c r="D972" i="4"/>
  <c r="D873" i="4"/>
  <c r="D346" i="4"/>
  <c r="D1659" i="4"/>
  <c r="D432" i="4"/>
  <c r="D1074" i="4"/>
  <c r="D1295" i="4"/>
  <c r="D850" i="4"/>
  <c r="D1201" i="4"/>
  <c r="D1060" i="4"/>
  <c r="D366" i="4"/>
  <c r="D1087" i="4"/>
  <c r="D1640" i="4"/>
  <c r="D313" i="4"/>
  <c r="D1055" i="4"/>
  <c r="D1307" i="4"/>
  <c r="D658" i="4"/>
  <c r="D483" i="4"/>
  <c r="D534" i="4"/>
  <c r="D522" i="4"/>
  <c r="D147" i="4"/>
  <c r="D188" i="4"/>
  <c r="D1319" i="4"/>
  <c r="D417" i="4"/>
  <c r="D1244" i="4"/>
  <c r="D765" i="4"/>
  <c r="D1360" i="4"/>
  <c r="D1615" i="4"/>
  <c r="D1608" i="4"/>
  <c r="D1302" i="4"/>
  <c r="D424" i="4"/>
  <c r="D591" i="4"/>
  <c r="D1304" i="4"/>
  <c r="D729" i="4"/>
  <c r="D1671" i="4"/>
  <c r="D959" i="4"/>
  <c r="D1326" i="4"/>
  <c r="D1693" i="4"/>
  <c r="D1019" i="4"/>
  <c r="D295" i="4"/>
  <c r="D498" i="4"/>
  <c r="D230" i="4"/>
  <c r="D1821" i="4"/>
  <c r="D1348" i="4"/>
  <c r="D1125" i="4"/>
  <c r="D1725" i="4"/>
  <c r="D788" i="4"/>
  <c r="D1812" i="4"/>
  <c r="D1751" i="4"/>
  <c r="D1757" i="4"/>
  <c r="D1938" i="4"/>
  <c r="D1847" i="4"/>
  <c r="D796" i="4"/>
  <c r="D1151" i="4"/>
  <c r="D475" i="4"/>
  <c r="D705" i="4"/>
  <c r="D367" i="4"/>
  <c r="D1067" i="4"/>
  <c r="D708" i="4"/>
  <c r="D1362" i="4"/>
  <c r="D1932" i="4"/>
  <c r="D1331" i="4"/>
  <c r="D274" i="4"/>
  <c r="D231" i="4"/>
  <c r="D818" i="4"/>
  <c r="D227" i="4"/>
  <c r="D93" i="4"/>
  <c r="D471" i="4"/>
  <c r="D672" i="4"/>
  <c r="D80" i="4"/>
  <c r="D315" i="4"/>
  <c r="D1616" i="4"/>
  <c r="D220" i="4"/>
  <c r="D225" i="4"/>
  <c r="D94" i="4"/>
  <c r="D42" i="4"/>
  <c r="D710" i="4"/>
  <c r="D452" i="4"/>
  <c r="D945" i="4"/>
  <c r="D149" i="4"/>
  <c r="D948" i="4"/>
  <c r="D988" i="4"/>
  <c r="D155" i="4"/>
  <c r="D24" i="4"/>
  <c r="D751" i="4"/>
  <c r="D857" i="4"/>
  <c r="D639" i="4"/>
  <c r="D763" i="4"/>
  <c r="D579" i="4"/>
  <c r="D529" i="4"/>
  <c r="D725" i="4"/>
  <c r="D302" i="4"/>
  <c r="D594" i="4"/>
  <c r="D555" i="4"/>
  <c r="D1118" i="4"/>
  <c r="D1069" i="4"/>
  <c r="D490" i="4"/>
  <c r="D1134" i="4"/>
  <c r="D321" i="4"/>
  <c r="D1507" i="4"/>
  <c r="D1564" i="4"/>
  <c r="D1670" i="4"/>
  <c r="D1137" i="4"/>
  <c r="D1609" i="4"/>
  <c r="D1361" i="4"/>
  <c r="D431" i="4"/>
  <c r="D704" i="4"/>
  <c r="D1788" i="4"/>
  <c r="D1791" i="4"/>
  <c r="D1497" i="4"/>
  <c r="D872" i="4"/>
  <c r="D746" i="4"/>
  <c r="D1053" i="4"/>
  <c r="D623" i="4"/>
  <c r="D1676" i="4"/>
  <c r="D360" i="4"/>
  <c r="D1820" i="4"/>
  <c r="D1180" i="4"/>
  <c r="D1794" i="4"/>
  <c r="D606" i="4"/>
  <c r="D1726" i="4"/>
  <c r="D1736" i="4"/>
  <c r="D1742" i="4"/>
  <c r="D1752" i="4"/>
  <c r="D1758" i="4"/>
  <c r="D1765" i="4"/>
  <c r="D794" i="4"/>
  <c r="D1781" i="4"/>
  <c r="D1487" i="4"/>
  <c r="D1558" i="4"/>
  <c r="D583" i="4"/>
  <c r="D868" i="4"/>
  <c r="D135" i="4"/>
  <c r="D1618" i="4"/>
  <c r="D1279" i="4"/>
  <c r="D1648" i="4"/>
  <c r="D1131" i="4"/>
  <c r="D78" i="4"/>
  <c r="D810" i="4"/>
  <c r="D298" i="4"/>
  <c r="D827" i="4"/>
  <c r="D119" i="4"/>
  <c r="D682" i="4"/>
  <c r="D883" i="4"/>
  <c r="D677" i="4"/>
  <c r="D1298" i="4"/>
  <c r="D1653" i="4"/>
  <c r="D232" i="4"/>
  <c r="D752" i="4"/>
  <c r="D774" i="4"/>
  <c r="D347" i="4"/>
  <c r="D1366" i="4"/>
  <c r="D429" i="4"/>
  <c r="D412" i="4"/>
  <c r="D213" i="4"/>
  <c r="D532" i="4"/>
  <c r="D844" i="4"/>
  <c r="D413" i="4"/>
  <c r="D148" i="4"/>
  <c r="D642" i="4"/>
  <c r="D348" i="4"/>
  <c r="D1444" i="4"/>
  <c r="D1420" i="4"/>
  <c r="D1198" i="4"/>
  <c r="D306" i="4"/>
  <c r="D1830" i="4"/>
  <c r="D1285" i="4"/>
  <c r="D780" i="4"/>
  <c r="D1643" i="4"/>
  <c r="D1351" i="4"/>
  <c r="D141" i="4"/>
  <c r="D388" i="4"/>
  <c r="D1852" i="4"/>
  <c r="D587" i="4"/>
  <c r="D343" i="4"/>
  <c r="D1183" i="4"/>
  <c r="D613" i="4"/>
  <c r="D1191" i="4"/>
  <c r="D464" i="4"/>
  <c r="D170" i="4"/>
  <c r="D1148" i="4"/>
  <c r="D1375" i="4"/>
  <c r="D1532" i="4"/>
  <c r="D1292" i="4"/>
  <c r="D1596" i="4"/>
  <c r="D161" i="4"/>
  <c r="D1835" i="4"/>
  <c r="D1737" i="4"/>
  <c r="D1743" i="4"/>
  <c r="D1039" i="4"/>
  <c r="D1759" i="4"/>
  <c r="D1766" i="4"/>
  <c r="D1772" i="4"/>
  <c r="D1531" i="4"/>
  <c r="D875" i="4"/>
  <c r="D1281" i="4"/>
  <c r="D481" i="4"/>
  <c r="D1230" i="4"/>
  <c r="D1237" i="4"/>
  <c r="D1819" i="4"/>
  <c r="D1463" i="4"/>
  <c r="D1878" i="4"/>
  <c r="D1428" i="4"/>
  <c r="D79" i="4"/>
  <c r="D727" i="4"/>
  <c r="D740" i="4"/>
  <c r="D172" i="4"/>
  <c r="D974" i="4"/>
  <c r="D619" i="4"/>
  <c r="D724" i="4"/>
  <c r="D1355" i="4"/>
  <c r="D1000" i="4"/>
  <c r="D836" i="4"/>
  <c r="D1185" i="4"/>
  <c r="D910" i="4"/>
  <c r="D1509" i="4"/>
  <c r="D911" i="4"/>
  <c r="D267" i="4"/>
  <c r="D310" i="4"/>
  <c r="D185" i="4"/>
  <c r="D1460" i="4"/>
  <c r="D842" i="4"/>
  <c r="D1614" i="4"/>
  <c r="D519" i="4"/>
  <c r="D1690" i="4"/>
  <c r="D1049" i="4"/>
  <c r="D1679" i="4"/>
  <c r="D1422" i="4"/>
  <c r="D1888" i="4"/>
  <c r="D737" i="4"/>
  <c r="D1628" i="4"/>
  <c r="D463" i="4"/>
  <c r="D1416" i="4"/>
  <c r="D1506" i="4"/>
  <c r="D1505" i="4"/>
  <c r="D967" i="4"/>
  <c r="D427" i="4"/>
  <c r="D1864" i="4"/>
  <c r="D785" i="4"/>
  <c r="D641" i="4"/>
  <c r="D1150" i="4"/>
  <c r="D1057" i="4"/>
  <c r="D1280" i="4"/>
  <c r="D1876" i="4"/>
  <c r="D396" i="4"/>
  <c r="D1727" i="4"/>
  <c r="D1738" i="4"/>
  <c r="D151" i="4"/>
  <c r="D1753" i="4"/>
  <c r="D1866" i="4"/>
  <c r="D1767" i="4"/>
  <c r="D1773" i="4"/>
  <c r="D1461" i="4"/>
  <c r="D279" i="4"/>
  <c r="D99" i="4"/>
  <c r="D1033" i="4"/>
  <c r="D1595" i="4"/>
  <c r="D918" i="4"/>
  <c r="D589" i="4"/>
  <c r="D1881" i="4"/>
  <c r="D1276" i="4"/>
  <c r="D1913" i="4"/>
  <c r="D100" i="4"/>
  <c r="D923" i="4"/>
  <c r="D1494" i="4"/>
  <c r="D189" i="4"/>
  <c r="D663" i="4"/>
  <c r="D684" i="4"/>
  <c r="D673" i="4"/>
  <c r="D190" i="4"/>
  <c r="D1015" i="4"/>
  <c r="D1268" i="4"/>
  <c r="D377" i="4"/>
  <c r="D1283" i="4"/>
  <c r="D271" i="4"/>
  <c r="D317" i="4"/>
  <c r="D1855" i="4"/>
  <c r="D400" i="4"/>
  <c r="D454" i="4"/>
  <c r="D403" i="4"/>
  <c r="D457" i="4"/>
  <c r="D116" i="4"/>
  <c r="D952" i="4"/>
  <c r="D1611" i="4"/>
  <c r="D1831" i="4"/>
  <c r="D1409" i="4"/>
  <c r="D1826" i="4"/>
  <c r="D91" i="4"/>
  <c r="D1587" i="4"/>
  <c r="D1554" i="4"/>
  <c r="D1476" i="4"/>
  <c r="D1686" i="4"/>
  <c r="D772" i="4"/>
  <c r="D627" i="4"/>
  <c r="D1002" i="4"/>
  <c r="D692" i="4"/>
  <c r="D1035" i="4"/>
  <c r="D1088" i="4"/>
  <c r="D803" i="4"/>
  <c r="D912" i="4"/>
  <c r="D467" i="4"/>
  <c r="D142" i="4"/>
  <c r="D1793" i="4"/>
  <c r="D660" i="4"/>
  <c r="D630" i="4"/>
  <c r="D586" i="4"/>
  <c r="D330" i="4"/>
  <c r="D1165" i="4"/>
  <c r="D1210" i="4"/>
  <c r="D1350" i="4"/>
  <c r="D1891" i="4"/>
  <c r="D781" i="4"/>
  <c r="D1897" i="4"/>
  <c r="D1269" i="4"/>
  <c r="D617" i="4"/>
  <c r="D1190" i="4"/>
  <c r="D501" i="4"/>
  <c r="D1408" i="4"/>
  <c r="D626" i="4"/>
  <c r="D1655" i="4"/>
  <c r="D1845" i="4"/>
  <c r="D653" i="4"/>
  <c r="D1785" i="4"/>
  <c r="D205" i="4"/>
  <c r="D799" i="4"/>
  <c r="D1218" i="4"/>
  <c r="D1865" i="4"/>
  <c r="D1126" i="4"/>
  <c r="D1728" i="4"/>
  <c r="D1739" i="4"/>
  <c r="D1744" i="4"/>
  <c r="D791" i="4"/>
  <c r="D792" i="4"/>
  <c r="D1768" i="4"/>
  <c r="D1920" i="4"/>
  <c r="D694" i="4"/>
  <c r="D1860" i="4"/>
  <c r="D1369" i="4"/>
  <c r="D133" i="4"/>
  <c r="D707" i="4"/>
  <c r="D1119" i="4"/>
  <c r="D350" i="4"/>
  <c r="D1927" i="4"/>
  <c r="D1933" i="4"/>
  <c r="D1429" i="4"/>
  <c r="D92" i="4"/>
  <c r="D811" i="4"/>
  <c r="D820" i="4"/>
  <c r="D126" i="4"/>
  <c r="D664" i="4"/>
  <c r="D685" i="4"/>
  <c r="D472" i="4"/>
  <c r="D415" i="4"/>
  <c r="D1649" i="4"/>
  <c r="D1533" i="4"/>
  <c r="D753" i="4"/>
  <c r="D1204" i="4"/>
  <c r="D1342" i="4"/>
  <c r="D661" i="4"/>
  <c r="D1138" i="4"/>
  <c r="D835" i="4"/>
  <c r="D493" i="4"/>
  <c r="D1567" i="4"/>
  <c r="D732" i="4"/>
  <c r="D1439" i="4"/>
  <c r="D530" i="4"/>
  <c r="D1090" i="4"/>
  <c r="D1145" i="4"/>
  <c r="D235" i="4"/>
  <c r="D1656" i="4"/>
  <c r="D1202" i="4"/>
  <c r="D521" i="4"/>
  <c r="D239" i="4"/>
  <c r="D621" i="4"/>
  <c r="D1352" i="4"/>
  <c r="D1139" i="4"/>
  <c r="D414" i="4"/>
  <c r="D1942" i="4"/>
  <c r="D997" i="4"/>
  <c r="D1496" i="4"/>
  <c r="D1337" i="4"/>
  <c r="D1182" i="4"/>
  <c r="D1242" i="4"/>
  <c r="D761" i="4"/>
  <c r="D735" i="4"/>
  <c r="D87" i="4"/>
  <c r="D571" i="4"/>
  <c r="D1579" i="4"/>
  <c r="D992" i="4"/>
  <c r="D902" i="4"/>
  <c r="D651" i="4"/>
  <c r="D1462" i="4"/>
  <c r="D75" i="4"/>
  <c r="D1373" i="4"/>
  <c r="D1639" i="4"/>
  <c r="D1687" i="4"/>
  <c r="D1704" i="4"/>
  <c r="D607" i="4"/>
  <c r="D1729" i="4"/>
  <c r="D1585" i="4"/>
  <c r="D1745" i="4"/>
  <c r="D1754" i="4"/>
  <c r="D1815" i="4"/>
  <c r="D1816" i="4"/>
  <c r="D1774" i="4"/>
  <c r="D942" i="4"/>
  <c r="D1436" i="4"/>
  <c r="D386" i="4"/>
  <c r="D703" i="4"/>
  <c r="D1288" i="4"/>
  <c r="D1109" i="4"/>
  <c r="D1818" i="4"/>
  <c r="D1663" i="4"/>
  <c r="D1934" i="4"/>
  <c r="D1430" i="4"/>
  <c r="D72" i="4"/>
  <c r="D812" i="4"/>
  <c r="D821" i="4"/>
  <c r="D828" i="4"/>
  <c r="D138" i="4"/>
  <c r="D686" i="4"/>
  <c r="D674" i="4"/>
  <c r="D112" i="4"/>
  <c r="D1014" i="4"/>
  <c r="D229" i="4"/>
  <c r="D258" i="4"/>
  <c r="D209" i="4"/>
  <c r="D39" i="4"/>
  <c r="D44" i="4"/>
  <c r="D712" i="4"/>
  <c r="D162" i="4"/>
  <c r="D716" i="4"/>
  <c r="D1559" i="4"/>
  <c r="D659" i="4"/>
  <c r="D304" i="4"/>
  <c r="D966" i="4"/>
  <c r="D157" i="4"/>
  <c r="D234" i="4"/>
  <c r="D384" i="4"/>
  <c r="D277" i="4"/>
  <c r="D1442" i="4"/>
  <c r="D1203" i="4"/>
  <c r="D649" i="4"/>
  <c r="D533" i="4"/>
  <c r="D325" i="4"/>
  <c r="D1291" i="4"/>
  <c r="D866" i="4"/>
  <c r="D1234" i="4"/>
  <c r="D265" i="4"/>
  <c r="D905" i="4"/>
  <c r="D29" i="4"/>
  <c r="D1318" i="4"/>
  <c r="D739" i="4"/>
  <c r="D629" i="4"/>
  <c r="D1354" i="4"/>
  <c r="D1697" i="4"/>
  <c r="D783" i="4"/>
  <c r="D580" i="4"/>
  <c r="D395" i="4"/>
  <c r="D581" i="4"/>
  <c r="D536" i="4"/>
  <c r="D1706" i="4"/>
  <c r="D995" i="4"/>
  <c r="D1414" i="4"/>
  <c r="D1867" i="4"/>
  <c r="D749" i="4"/>
  <c r="D1573" i="4"/>
  <c r="D327" i="4"/>
  <c r="D1787" i="4"/>
  <c r="D88" i="4"/>
  <c r="D1681" i="4"/>
  <c r="D1730" i="4"/>
  <c r="D1161" i="4"/>
  <c r="D1746" i="4"/>
  <c r="D324" i="4"/>
  <c r="D1760" i="4"/>
  <c r="D1838" i="4"/>
  <c r="D1775" i="4"/>
  <c r="D840" i="4"/>
  <c r="D144" i="4"/>
  <c r="D1528" i="4"/>
  <c r="D881" i="4"/>
  <c r="D1227" i="4"/>
  <c r="D769" i="4"/>
  <c r="D1050" i="4"/>
  <c r="D1293" i="4"/>
  <c r="D1935" i="4"/>
  <c r="D1431" i="4"/>
  <c r="D208" i="4"/>
  <c r="D297" i="4"/>
  <c r="D822" i="4"/>
  <c r="D434" i="4"/>
  <c r="D665" i="4"/>
  <c r="D666" i="4"/>
  <c r="D675" i="4"/>
  <c r="D191" i="4"/>
  <c r="D1277" i="4"/>
  <c r="D216" i="4"/>
  <c r="D222" i="4"/>
  <c r="D1216" i="4"/>
  <c r="D351" i="4"/>
  <c r="D318" i="4"/>
  <c r="D526" i="4"/>
  <c r="D940" i="4"/>
  <c r="D577" i="4"/>
  <c r="D1001" i="4"/>
  <c r="D933" i="4"/>
  <c r="D312" i="4"/>
  <c r="D833" i="4"/>
  <c r="D276" i="4"/>
  <c r="D1095" i="4"/>
  <c r="D657" i="4"/>
  <c r="D734" i="4"/>
  <c r="D504" i="4"/>
  <c r="D1522" i="4"/>
  <c r="D928" i="4"/>
  <c r="D1010" i="4"/>
  <c r="D554" i="4"/>
  <c r="D588" i="4"/>
  <c r="D904" i="4"/>
  <c r="D1154" i="4"/>
  <c r="D1620" i="4"/>
  <c r="D1256" i="4"/>
  <c r="D877" i="4"/>
  <c r="D1825" i="4"/>
  <c r="D1645" i="4"/>
  <c r="D863" i="4"/>
  <c r="D604" i="4"/>
  <c r="D1474" i="4"/>
  <c r="D748" i="4"/>
  <c r="D963" i="4"/>
  <c r="D922" i="4"/>
  <c r="D612" i="4"/>
  <c r="D696" i="4"/>
  <c r="D592" i="4"/>
  <c r="D543" i="4"/>
  <c r="D1542" i="4"/>
  <c r="D523" i="4"/>
  <c r="D430" i="4"/>
  <c r="D738" i="4"/>
  <c r="D1105" i="4"/>
  <c r="D1181" i="4"/>
  <c r="D1879" i="4"/>
  <c r="D397" i="4"/>
  <c r="D787" i="4"/>
  <c r="D1904" i="4"/>
  <c r="D1747" i="4"/>
  <c r="D1814" i="4"/>
  <c r="D1761" i="4"/>
  <c r="D1769" i="4"/>
  <c r="D1776" i="4"/>
  <c r="D450" i="4"/>
  <c r="D1464" i="4"/>
  <c r="D38" i="4"/>
  <c r="D540" i="4"/>
  <c r="D1236" i="4"/>
  <c r="D800" i="4"/>
  <c r="D136" i="4"/>
  <c r="D1910" i="4"/>
  <c r="D1936" i="4"/>
  <c r="D370" i="4"/>
  <c r="D804" i="4"/>
  <c r="D813" i="4"/>
  <c r="D823" i="4"/>
  <c r="D53" i="4"/>
  <c r="D891" i="4"/>
  <c r="D698" i="4"/>
  <c r="D1473" i="4"/>
  <c r="D275" i="4"/>
  <c r="D1110" i="4"/>
  <c r="D1228" i="4"/>
  <c r="D970" i="4"/>
  <c r="D837" i="4"/>
  <c r="D1102" i="4"/>
  <c r="D1314" i="4"/>
  <c r="D975" i="4"/>
  <c r="D655" i="4"/>
  <c r="D538" i="4"/>
  <c r="D28" i="4"/>
  <c r="D1113" i="4"/>
  <c r="D576" i="4"/>
  <c r="D1410" i="4"/>
  <c r="D1498" i="4"/>
  <c r="D1383" i="4"/>
  <c r="D1623" i="4"/>
  <c r="D1155" i="4"/>
  <c r="D1159" i="4"/>
  <c r="D782" i="4"/>
  <c r="D1880" i="4"/>
  <c r="D1415" i="4"/>
  <c r="D177" i="4"/>
  <c r="D695" i="4"/>
  <c r="D1886" i="4"/>
  <c r="D544" i="4"/>
  <c r="D656" i="4"/>
  <c r="D584" i="4"/>
  <c r="D512" i="4"/>
  <c r="D650" i="4"/>
  <c r="D1689" i="4"/>
  <c r="D1571" i="4"/>
  <c r="D1158" i="4"/>
  <c r="D1184" i="4"/>
  <c r="D214" i="4"/>
  <c r="D1731" i="4"/>
  <c r="D1918" i="4"/>
  <c r="D1748" i="4"/>
  <c r="D1837" i="4"/>
  <c r="D1762" i="4"/>
  <c r="D1719" i="4"/>
  <c r="D795" i="4"/>
  <c r="D1208" i="4"/>
  <c r="D349" i="4"/>
  <c r="D35" i="4"/>
  <c r="D553" i="4"/>
  <c r="D1163" i="4"/>
  <c r="D1174" i="4"/>
  <c r="D1271" i="4"/>
  <c r="D1928" i="4"/>
  <c r="D1939" i="4"/>
  <c r="D263" i="4"/>
  <c r="D805" i="4"/>
  <c r="D924" i="4"/>
  <c r="D299" i="4"/>
  <c r="D152" i="4"/>
  <c r="D123" i="4"/>
  <c r="D667" i="4"/>
  <c r="D59" i="4"/>
  <c r="D1309" i="4"/>
  <c r="D1650" i="4"/>
  <c r="D254" i="4"/>
  <c r="D273" i="4"/>
  <c r="D286" i="4"/>
  <c r="D1896" i="4"/>
  <c r="D319" i="4"/>
  <c r="D1238" i="4"/>
  <c r="D1657" i="4"/>
  <c r="D984" i="4"/>
  <c r="D456" i="4"/>
  <c r="D950" i="4"/>
  <c r="D721" i="4"/>
  <c r="D1083" i="4"/>
  <c r="D159" i="4"/>
  <c r="D1343" i="4"/>
  <c r="D335" i="4"/>
  <c r="D181" i="4"/>
  <c r="D1379" i="4"/>
  <c r="D578" i="4"/>
  <c r="D1272" i="4"/>
  <c r="D894" i="4"/>
  <c r="D491" i="4"/>
  <c r="D419" i="4"/>
  <c r="D1565" i="4"/>
  <c r="D1063" i="4"/>
  <c r="D802" i="4"/>
  <c r="D1152" i="4"/>
  <c r="D1112" i="4"/>
  <c r="D893" i="4"/>
  <c r="D1097" i="4"/>
  <c r="D369" i="4"/>
  <c r="D176" i="4"/>
  <c r="D570" i="4"/>
  <c r="D786" i="4"/>
  <c r="D1245" i="4"/>
  <c r="D598" i="4"/>
  <c r="D1259" i="4"/>
  <c r="D1536" i="4"/>
  <c r="D936" i="4"/>
  <c r="D1123" i="4"/>
  <c r="D930" i="4"/>
  <c r="D301" i="4"/>
  <c r="D448" i="4"/>
  <c r="D564" i="4"/>
  <c r="D1325" i="4"/>
  <c r="D1895" i="4"/>
  <c r="D1044" i="4"/>
  <c r="D1713" i="4"/>
  <c r="D968" i="4"/>
  <c r="D867" i="4"/>
  <c r="D1712" i="4"/>
  <c r="D1827" i="4"/>
  <c r="D1844" i="4"/>
  <c r="D1851" i="4"/>
  <c r="D1207" i="4"/>
  <c r="D1642" i="4"/>
  <c r="D1708" i="4"/>
  <c r="D1732" i="4"/>
  <c r="D1943" i="4"/>
  <c r="D1749" i="4"/>
  <c r="D1755" i="4"/>
  <c r="D1763" i="4"/>
  <c r="D1916" i="4"/>
  <c r="D1777" i="4"/>
  <c r="D898" i="4"/>
  <c r="D1892" i="4"/>
  <c r="D1282" i="4"/>
  <c r="D706" i="4"/>
  <c r="D476" i="4"/>
  <c r="D1065" i="4"/>
  <c r="D1389" i="4"/>
  <c r="D1664" i="4"/>
  <c r="D1930" i="4"/>
  <c r="D1432" i="4"/>
  <c r="D806" i="4"/>
  <c r="D1493" i="4"/>
  <c r="D824" i="4"/>
  <c r="D61" i="4"/>
  <c r="D680" i="4"/>
  <c r="D668" i="4"/>
  <c r="D358" i="4"/>
  <c r="D755" i="4"/>
  <c r="D834" i="4"/>
  <c r="D1593" i="4"/>
  <c r="D614" i="4"/>
  <c r="D560" i="4"/>
  <c r="D941" i="4"/>
  <c r="D1691" i="4"/>
  <c r="D638" i="4"/>
  <c r="D731" i="4"/>
  <c r="D779" i="4"/>
  <c r="D182" i="4"/>
  <c r="D1239" i="4"/>
  <c r="D915" i="4"/>
  <c r="D935" i="4"/>
  <c r="D1096" i="4"/>
  <c r="D494" i="4"/>
  <c r="D287" i="4"/>
  <c r="D1003" i="4"/>
  <c r="D1048" i="4"/>
  <c r="D766" i="4"/>
  <c r="D1212" i="4"/>
  <c r="D1213" i="4"/>
  <c r="D303" i="4"/>
  <c r="D572" i="4"/>
  <c r="D1783" i="4"/>
  <c r="D1251" i="4"/>
  <c r="D600" i="4"/>
  <c r="D499" i="4"/>
  <c r="D359" i="4"/>
  <c r="D1795" i="4"/>
  <c r="D480" i="4"/>
  <c r="D585" i="4"/>
  <c r="D478" i="4"/>
  <c r="D1327" i="4"/>
  <c r="D449" i="4"/>
  <c r="D1179" i="4"/>
  <c r="D1346" i="4"/>
  <c r="D1064" i="4"/>
  <c r="D1917" i="4"/>
  <c r="D1733" i="4"/>
  <c r="D1740" i="4"/>
  <c r="D1836" i="4"/>
  <c r="D1843" i="4"/>
  <c r="D1764" i="4"/>
  <c r="D1720" i="4"/>
  <c r="D1778" i="4"/>
  <c r="D1166" i="4"/>
  <c r="D1807" i="4"/>
  <c r="D1345" i="4"/>
  <c r="D1297" i="4"/>
  <c r="D1634" i="4"/>
  <c r="D921" i="4"/>
  <c r="D1370" i="4"/>
  <c r="D1294" i="4"/>
  <c r="D1929" i="4"/>
  <c r="D1433" i="4"/>
  <c r="D296" i="4"/>
  <c r="D814" i="4"/>
  <c r="D825" i="4"/>
  <c r="D129" i="4"/>
  <c r="D1347" i="4"/>
  <c r="D991" i="4"/>
  <c r="D830" i="4"/>
  <c r="D896" i="4"/>
  <c r="D539" i="4"/>
  <c r="D691" i="4"/>
  <c r="D261" i="4"/>
  <c r="D1714" i="4"/>
  <c r="D477" i="4"/>
  <c r="D971" i="4"/>
  <c r="D1091" i="4"/>
  <c r="D1089" i="4"/>
  <c r="D1021" i="4"/>
  <c r="D996" i="4"/>
  <c r="D747" i="4"/>
  <c r="D845" i="4"/>
  <c r="D742" i="4"/>
  <c r="D1157" i="4"/>
  <c r="D1296" i="4"/>
  <c r="D1054" i="4"/>
  <c r="D1384" i="4"/>
  <c r="D1209" i="4"/>
  <c r="D552" i="4"/>
  <c r="D1806" i="4"/>
  <c r="D1399" i="4"/>
  <c r="D392" i="4"/>
  <c r="D118" i="4"/>
  <c r="D1215" i="4"/>
  <c r="D611" i="4"/>
  <c r="D1569" i="4"/>
  <c r="D1485" i="4"/>
  <c r="D422" i="4"/>
  <c r="D1885" i="4"/>
  <c r="D1790" i="4"/>
  <c r="D1589" i="4"/>
  <c r="D242" i="4"/>
  <c r="D272" i="4"/>
  <c r="D1562" i="4"/>
  <c r="D1240" i="4"/>
  <c r="D1411" i="4"/>
  <c r="D919" i="4"/>
  <c r="D1903" i="4"/>
  <c r="D1734" i="4"/>
  <c r="D1741" i="4"/>
  <c r="D790" i="4"/>
  <c r="D1940" i="4"/>
  <c r="D793" i="4"/>
  <c r="D1193" i="4"/>
  <c r="D1779" i="4"/>
  <c r="D1576" i="4"/>
  <c r="D1840" i="4"/>
  <c r="D132" i="4"/>
  <c r="D134" i="4"/>
  <c r="D1658" i="4"/>
  <c r="D195" i="4"/>
  <c r="D1388" i="4"/>
  <c r="D1937" i="4"/>
  <c r="D1425" i="4"/>
  <c r="D307" i="4"/>
  <c r="D807" i="4"/>
  <c r="D815" i="4"/>
  <c r="D826" i="4"/>
  <c r="D246" i="4"/>
  <c r="D470" i="4"/>
  <c r="D1570" i="4"/>
  <c r="D1480" i="4"/>
  <c r="D1804" i="4"/>
  <c r="D1672" i="4"/>
  <c r="D20" i="4"/>
  <c r="D864" i="4"/>
  <c r="D937" i="4"/>
  <c r="D1353" i="4"/>
  <c r="D730" i="4"/>
  <c r="D566" i="4"/>
  <c r="D1085" i="4"/>
  <c r="D47" i="4"/>
  <c r="D1692" i="4"/>
  <c r="D880" i="4"/>
  <c r="D1863" i="4"/>
  <c r="D69" i="4"/>
  <c r="D1465" i="4"/>
  <c r="D771" i="4"/>
  <c r="D1290" i="4"/>
  <c r="D1499" i="4"/>
  <c r="D1875" i="4"/>
  <c r="D361" i="4"/>
  <c r="D1380" i="4"/>
  <c r="D841" i="4"/>
  <c r="D49" i="4"/>
  <c r="D1636" i="4"/>
  <c r="D1873" i="4"/>
  <c r="D1662" i="4"/>
  <c r="D1099" i="4"/>
  <c r="D944" i="4"/>
  <c r="D197" i="4"/>
  <c r="D175" i="4"/>
  <c r="D1391" i="4"/>
  <c r="D1907" i="4"/>
  <c r="D645" i="4"/>
  <c r="D987" i="4"/>
  <c r="D717" i="4"/>
  <c r="D715" i="4"/>
  <c r="D451" i="4"/>
  <c r="D41" i="4"/>
  <c r="D516" i="4"/>
  <c r="D218" i="4"/>
  <c r="D1338" i="4"/>
  <c r="D624" i="4"/>
  <c r="D245" i="4"/>
  <c r="D1874" i="4"/>
  <c r="D1902" i="4"/>
  <c r="D1511" i="4"/>
  <c r="D723" i="4"/>
  <c r="D32" i="4"/>
  <c r="D1071" i="4"/>
  <c r="D36" i="4"/>
  <c r="D1042" i="4"/>
  <c r="D1194" i="4"/>
  <c r="D574" i="4"/>
  <c r="D96" i="4"/>
  <c r="D960" i="4"/>
  <c r="D55" i="4"/>
  <c r="D1068" i="4"/>
  <c r="D84" i="4"/>
  <c r="D68" i="4"/>
  <c r="D1862" i="4"/>
  <c r="D326" i="4"/>
  <c r="D281" i="4"/>
  <c r="D89" i="4"/>
  <c r="D964" i="4"/>
  <c r="D798" i="4"/>
  <c r="D1146" i="4"/>
  <c r="D308" i="4"/>
  <c r="D1423" i="4"/>
  <c r="D357" i="4"/>
  <c r="D1568" i="4"/>
  <c r="D1906" i="4"/>
  <c r="D1486" i="4"/>
  <c r="D549" i="4"/>
  <c r="D203" i="4"/>
  <c r="D57" i="4"/>
  <c r="D625" i="4"/>
  <c r="D5" i="4"/>
  <c r="D74" i="4"/>
  <c r="D405" i="4"/>
  <c r="D1079" i="4"/>
  <c r="D1077" i="4"/>
  <c r="D1127" i="4"/>
  <c r="D354" i="4"/>
  <c r="D979" i="4"/>
  <c r="D217" i="4"/>
  <c r="D1817" i="4"/>
  <c r="D683" i="4"/>
  <c r="D1427" i="4"/>
  <c r="D4" i="2"/>
  <c r="D5" i="3"/>
  <c r="E95" i="2"/>
  <c r="E66" i="2"/>
  <c r="D1633" i="4"/>
  <c r="E4" i="2"/>
  <c r="E28" i="2"/>
  <c r="E64" i="2"/>
  <c r="D693" i="3"/>
  <c r="D277" i="3"/>
  <c r="D17" i="3"/>
  <c r="D100" i="3"/>
  <c r="D6" i="3"/>
  <c r="D688" i="3"/>
  <c r="D246" i="3"/>
  <c r="D698" i="3"/>
  <c r="D602" i="3"/>
  <c r="D217" i="3"/>
  <c r="D116" i="3"/>
  <c r="D743" i="3"/>
  <c r="D565" i="3"/>
  <c r="D716" i="3"/>
  <c r="D478" i="3"/>
  <c r="D240" i="3"/>
  <c r="D644" i="3"/>
  <c r="E372" i="3"/>
  <c r="E492" i="3"/>
  <c r="E365" i="3"/>
  <c r="E45" i="2"/>
  <c r="D28" i="2"/>
  <c r="D64" i="2"/>
  <c r="D50" i="2"/>
  <c r="D524" i="3"/>
  <c r="D643" i="3"/>
  <c r="D334" i="3"/>
  <c r="D692" i="3"/>
  <c r="D372" i="3"/>
  <c r="D635" i="3"/>
  <c r="D312" i="3"/>
  <c r="D492" i="3"/>
  <c r="D697" i="3"/>
  <c r="D434" i="3"/>
  <c r="D538" i="3"/>
  <c r="D532" i="3"/>
  <c r="D70" i="3"/>
  <c r="D186" i="3"/>
  <c r="D479" i="3"/>
  <c r="D542" i="3"/>
  <c r="D22" i="3"/>
  <c r="E258" i="3"/>
  <c r="E491" i="3"/>
  <c r="E483" i="3"/>
  <c r="E9" i="2"/>
  <c r="D31" i="3"/>
  <c r="D143" i="3"/>
  <c r="D131" i="3"/>
  <c r="D711" i="3"/>
  <c r="D258" i="3"/>
  <c r="D668" i="3"/>
  <c r="D509" i="3"/>
  <c r="D8" i="3"/>
  <c r="D310" i="3"/>
  <c r="D600" i="3"/>
  <c r="D720" i="3"/>
  <c r="D604" i="3"/>
  <c r="D207" i="3"/>
  <c r="D666" i="3"/>
  <c r="D148" i="3"/>
  <c r="D202" i="3"/>
  <c r="E643" i="3"/>
  <c r="E640" i="3"/>
  <c r="E409" i="3"/>
  <c r="E396" i="3"/>
  <c r="D204" i="3"/>
  <c r="D612" i="3"/>
  <c r="D415" i="3"/>
  <c r="D641" i="3"/>
  <c r="D2" i="3"/>
  <c r="D159" i="3"/>
  <c r="D73" i="3"/>
  <c r="D695" i="3"/>
  <c r="D140" i="3"/>
  <c r="D4" i="3"/>
  <c r="D402" i="3"/>
  <c r="D677" i="3"/>
  <c r="D215" i="3"/>
  <c r="D499" i="3"/>
  <c r="D623" i="3"/>
  <c r="D756" i="3"/>
  <c r="E143" i="3"/>
  <c r="E585" i="3"/>
  <c r="E347" i="3"/>
  <c r="E54" i="2"/>
  <c r="E35" i="2"/>
  <c r="D22" i="2"/>
  <c r="D9" i="2"/>
  <c r="D35" i="2"/>
  <c r="E71" i="2"/>
  <c r="E65" i="2"/>
  <c r="E25" i="2"/>
  <c r="D37" i="3"/>
  <c r="D53" i="3"/>
  <c r="D406" i="3"/>
  <c r="D640" i="3"/>
  <c r="D458" i="3"/>
  <c r="D252" i="3"/>
  <c r="D241" i="3"/>
  <c r="D650" i="3"/>
  <c r="D354" i="3"/>
  <c r="D16" i="3"/>
  <c r="D746" i="3"/>
  <c r="D675" i="3"/>
  <c r="D301" i="3"/>
  <c r="D519" i="3"/>
  <c r="D611" i="3"/>
  <c r="D722" i="3"/>
  <c r="E204" i="3"/>
  <c r="E688" i="3"/>
  <c r="E602" i="3"/>
  <c r="E251" i="3"/>
  <c r="E3" i="2"/>
  <c r="D45" i="2"/>
  <c r="D54" i="2"/>
  <c r="E2" i="2"/>
  <c r="E59" i="2"/>
  <c r="D75" i="2"/>
  <c r="D25" i="2"/>
  <c r="E8" i="2"/>
  <c r="D498" i="3"/>
  <c r="D441" i="3"/>
  <c r="D65" i="3"/>
  <c r="D63" i="3"/>
  <c r="D639" i="3"/>
  <c r="D755" i="3"/>
  <c r="D7" i="3"/>
  <c r="D44" i="3"/>
  <c r="D370" i="3"/>
  <c r="D649" i="3"/>
  <c r="D352" i="3"/>
  <c r="D349" i="3"/>
  <c r="D655" i="3"/>
  <c r="D35" i="3"/>
  <c r="D610" i="3"/>
  <c r="D512" i="3"/>
  <c r="E635" i="3"/>
  <c r="E696" i="3"/>
  <c r="E22" i="2"/>
  <c r="D3" i="2"/>
  <c r="D65" i="2"/>
  <c r="D2" i="2"/>
  <c r="D59" i="2"/>
  <c r="E99" i="2"/>
  <c r="E92" i="2"/>
  <c r="D46" i="2"/>
  <c r="E24" i="2"/>
  <c r="D8" i="2"/>
  <c r="D500" i="3"/>
  <c r="D517" i="3"/>
  <c r="D9" i="3"/>
  <c r="D28" i="3"/>
  <c r="D638" i="3"/>
  <c r="D74" i="3"/>
  <c r="D605" i="3"/>
  <c r="D230" i="3"/>
  <c r="D369" i="3"/>
  <c r="D23" i="3"/>
  <c r="D367" i="3"/>
  <c r="D164" i="3"/>
  <c r="D689" i="3"/>
  <c r="D573" i="3"/>
  <c r="D348" i="3"/>
  <c r="D615" i="3"/>
  <c r="D481" i="3"/>
  <c r="E66" i="3"/>
  <c r="E2" i="3"/>
  <c r="E489" i="3"/>
  <c r="E530" i="3"/>
  <c r="E33" i="2"/>
  <c r="D92" i="2"/>
  <c r="E68" i="2"/>
  <c r="E14" i="2"/>
  <c r="D24" i="2"/>
  <c r="D412" i="3"/>
  <c r="D734" i="3"/>
  <c r="D438" i="3"/>
  <c r="D690" i="3"/>
  <c r="D237" i="3"/>
  <c r="D231" i="3"/>
  <c r="D361" i="3"/>
  <c r="D311" i="3"/>
  <c r="D356" i="3"/>
  <c r="D351" i="3"/>
  <c r="D3" i="3"/>
  <c r="D659" i="3"/>
  <c r="D340" i="3"/>
  <c r="D69" i="3"/>
  <c r="D539" i="3"/>
  <c r="D89" i="3"/>
  <c r="E131" i="3"/>
  <c r="E430" i="3"/>
  <c r="E485" i="3"/>
  <c r="E105" i="3"/>
  <c r="D68" i="2"/>
  <c r="D14" i="2"/>
  <c r="E36" i="2"/>
  <c r="D342" i="3"/>
  <c r="D179" i="3"/>
  <c r="D574" i="3"/>
  <c r="D177" i="3"/>
  <c r="D637" i="3"/>
  <c r="D256" i="3"/>
  <c r="D487" i="3"/>
  <c r="D371" i="3"/>
  <c r="D368" i="3"/>
  <c r="D648" i="3"/>
  <c r="D350" i="3"/>
  <c r="D396" i="3"/>
  <c r="D609" i="3"/>
  <c r="D276" i="3"/>
  <c r="D77" i="3"/>
  <c r="D501" i="3"/>
  <c r="D645" i="3"/>
  <c r="E619" i="3"/>
  <c r="E671" i="3"/>
  <c r="E156" i="3"/>
  <c r="E47" i="2"/>
  <c r="D47" i="2"/>
  <c r="E42" i="2"/>
  <c r="E90" i="2"/>
  <c r="E16" i="2"/>
  <c r="D36" i="2"/>
  <c r="D552" i="3"/>
  <c r="D751" i="3"/>
  <c r="D299" i="3"/>
  <c r="D701" i="3"/>
  <c r="D114" i="3"/>
  <c r="D699" i="3"/>
  <c r="D362" i="3"/>
  <c r="D439" i="3"/>
  <c r="D355" i="3"/>
  <c r="D72" i="3"/>
  <c r="D366" i="3"/>
  <c r="D394" i="3"/>
  <c r="D169" i="3"/>
  <c r="D714" i="3"/>
  <c r="D188" i="3"/>
  <c r="D363" i="3"/>
  <c r="E259" i="3"/>
  <c r="E246" i="3"/>
  <c r="E560" i="3"/>
  <c r="D33" i="2"/>
  <c r="D95" i="2"/>
  <c r="E81" i="2"/>
  <c r="D42" i="2"/>
  <c r="D90" i="2"/>
  <c r="D16" i="2"/>
  <c r="E23" i="2"/>
  <c r="D687" i="3"/>
  <c r="D145" i="3"/>
  <c r="D257" i="3"/>
  <c r="D313" i="3"/>
  <c r="D404" i="3"/>
  <c r="D205" i="3"/>
  <c r="D493" i="3"/>
  <c r="D490" i="3"/>
  <c r="D33" i="3"/>
  <c r="D647" i="3"/>
  <c r="D365" i="3"/>
  <c r="D56" i="3"/>
  <c r="D587" i="3"/>
  <c r="D158" i="3"/>
  <c r="D433" i="3"/>
  <c r="D614" i="3"/>
  <c r="D613" i="3"/>
  <c r="E692" i="3"/>
  <c r="E509" i="3"/>
  <c r="E91" i="2"/>
  <c r="E20" i="2"/>
  <c r="D23" i="2"/>
  <c r="D308" i="3"/>
  <c r="D76" i="3"/>
  <c r="D425" i="3"/>
  <c r="D582" i="3"/>
  <c r="D636" i="3"/>
  <c r="D165" i="3"/>
  <c r="D360" i="3"/>
  <c r="D409" i="3"/>
  <c r="D489" i="3"/>
  <c r="D646" i="3"/>
  <c r="D71" i="3"/>
  <c r="D663" i="3"/>
  <c r="D383" i="3"/>
  <c r="D278" i="3"/>
  <c r="D540" i="3"/>
  <c r="D12" i="3"/>
  <c r="D243" i="3"/>
  <c r="E415" i="3"/>
  <c r="E11" i="3"/>
  <c r="E646" i="3"/>
  <c r="D104" i="2"/>
  <c r="E5" i="2"/>
  <c r="E6" i="2"/>
  <c r="D26" i="2"/>
  <c r="E49" i="2"/>
  <c r="D91" i="2"/>
  <c r="D20" i="2"/>
  <c r="E44" i="2"/>
  <c r="D450" i="3"/>
  <c r="D66" i="3"/>
  <c r="D64" i="3"/>
  <c r="D642" i="3"/>
  <c r="D199" i="3"/>
  <c r="D672" i="3"/>
  <c r="D750" i="3"/>
  <c r="D347" i="3"/>
  <c r="D545" i="3"/>
  <c r="D598" i="3"/>
  <c r="D496" i="3"/>
  <c r="D163" i="3"/>
  <c r="D287" i="3"/>
  <c r="D511" i="3"/>
  <c r="D309" i="3"/>
  <c r="D596" i="3"/>
  <c r="D132" i="3"/>
  <c r="E187" i="3"/>
  <c r="E622" i="3"/>
  <c r="E261" i="3"/>
  <c r="E694" i="3"/>
  <c r="E426" i="3"/>
  <c r="E669" i="3"/>
  <c r="E389" i="3"/>
  <c r="E729" i="3"/>
  <c r="E657" i="3"/>
  <c r="E702" i="3"/>
  <c r="E353" i="3"/>
  <c r="E620" i="3"/>
  <c r="E370" i="3"/>
  <c r="E230" i="3"/>
  <c r="E361" i="3"/>
  <c r="E256" i="3"/>
  <c r="E114" i="3"/>
  <c r="E133" i="3"/>
  <c r="E120" i="3"/>
  <c r="E238" i="3"/>
  <c r="E562" i="3"/>
  <c r="E572" i="3"/>
  <c r="E474" i="3"/>
  <c r="E573" i="3"/>
  <c r="E587" i="3"/>
  <c r="E163" i="3"/>
  <c r="E116" i="3"/>
  <c r="E140" i="3"/>
  <c r="E650" i="3"/>
  <c r="E44" i="3"/>
  <c r="E605" i="3"/>
  <c r="E231" i="3"/>
  <c r="E637" i="3"/>
  <c r="E701" i="3"/>
  <c r="E9" i="3"/>
  <c r="D543" i="3"/>
  <c r="D725" i="3"/>
  <c r="D484" i="3"/>
  <c r="D249" i="3"/>
  <c r="D149" i="3"/>
  <c r="D553" i="3"/>
  <c r="D197" i="3"/>
  <c r="D422" i="3"/>
  <c r="D535" i="3"/>
  <c r="D251" i="3"/>
  <c r="D483" i="3"/>
  <c r="D560" i="3"/>
  <c r="D696" i="3"/>
  <c r="D491" i="3"/>
  <c r="D11" i="3"/>
  <c r="D430" i="3"/>
  <c r="D585" i="3"/>
  <c r="D187" i="3"/>
  <c r="D619" i="3"/>
  <c r="D297" i="3"/>
  <c r="E22" i="3"/>
  <c r="E363" i="3"/>
  <c r="E202" i="3"/>
  <c r="E188" i="3"/>
  <c r="E148" i="3"/>
  <c r="E77" i="3"/>
  <c r="E716" i="3"/>
  <c r="E35" i="3"/>
  <c r="E394" i="3"/>
  <c r="E663" i="3"/>
  <c r="E739" i="3"/>
  <c r="E434" i="3"/>
  <c r="E600" i="3"/>
  <c r="E695" i="3"/>
  <c r="E241" i="3"/>
  <c r="E7" i="3"/>
  <c r="E74" i="3"/>
  <c r="E237" i="3"/>
  <c r="E177" i="3"/>
  <c r="E65" i="3"/>
  <c r="D584" i="3"/>
  <c r="D260" i="3"/>
  <c r="D578" i="3"/>
  <c r="D544" i="3"/>
  <c r="E543" i="3"/>
  <c r="E725" i="3"/>
  <c r="E484" i="3"/>
  <c r="E249" i="3"/>
  <c r="E149" i="3"/>
  <c r="E553" i="3"/>
  <c r="E197" i="3"/>
  <c r="E422" i="3"/>
  <c r="E535" i="3"/>
  <c r="E584" i="3"/>
  <c r="E260" i="3"/>
  <c r="E578" i="3"/>
  <c r="E544" i="3"/>
  <c r="E479" i="3"/>
  <c r="E69" i="3"/>
  <c r="E155" i="3"/>
  <c r="E301" i="3"/>
  <c r="E609" i="3"/>
  <c r="E56" i="3"/>
  <c r="E496" i="3"/>
  <c r="E281" i="3"/>
  <c r="E310" i="3"/>
  <c r="E73" i="3"/>
  <c r="E252" i="3"/>
  <c r="E755" i="3"/>
  <c r="E638" i="3"/>
  <c r="E28" i="3"/>
  <c r="E17" i="3"/>
  <c r="D67" i="3"/>
  <c r="D624" i="3"/>
  <c r="D262" i="3"/>
  <c r="D250" i="3"/>
  <c r="D704" i="3"/>
  <c r="D364" i="3"/>
  <c r="D156" i="3"/>
  <c r="D105" i="3"/>
  <c r="D530" i="3"/>
  <c r="E644" i="3"/>
  <c r="E645" i="3"/>
  <c r="E542" i="3"/>
  <c r="E501" i="3"/>
  <c r="E478" i="3"/>
  <c r="E348" i="3"/>
  <c r="E511" i="3"/>
  <c r="E215" i="3"/>
  <c r="E659" i="3"/>
  <c r="E71" i="3"/>
  <c r="E598" i="3"/>
  <c r="E217" i="3"/>
  <c r="E697" i="3"/>
  <c r="E8" i="3"/>
  <c r="E159" i="3"/>
  <c r="E458" i="3"/>
  <c r="E639" i="3"/>
  <c r="E63" i="3"/>
  <c r="E482" i="3"/>
  <c r="D621" i="3"/>
  <c r="D14" i="3"/>
  <c r="D651" i="3"/>
  <c r="D18" i="3"/>
  <c r="D502" i="3"/>
  <c r="D376" i="3"/>
  <c r="D286" i="3"/>
  <c r="E67" i="3"/>
  <c r="E624" i="3"/>
  <c r="E262" i="3"/>
  <c r="E250" i="3"/>
  <c r="E704" i="3"/>
  <c r="E364" i="3"/>
  <c r="E621" i="3"/>
  <c r="E14" i="3"/>
  <c r="E651" i="3"/>
  <c r="E18" i="3"/>
  <c r="E502" i="3"/>
  <c r="E376" i="3"/>
  <c r="E286" i="3"/>
  <c r="E207" i="3"/>
  <c r="E689" i="3"/>
  <c r="E3" i="3"/>
  <c r="E366" i="3"/>
  <c r="E647" i="3"/>
  <c r="E545" i="3"/>
  <c r="E705" i="3"/>
  <c r="E698" i="3"/>
  <c r="E312" i="3"/>
  <c r="E668" i="3"/>
  <c r="E641" i="3"/>
  <c r="E711" i="3"/>
  <c r="D101" i="3"/>
  <c r="E579" i="3"/>
  <c r="E89" i="3"/>
  <c r="E240" i="3"/>
  <c r="E539" i="3"/>
  <c r="E583" i="3"/>
  <c r="E610" i="3"/>
  <c r="E278" i="3"/>
  <c r="E70" i="3"/>
  <c r="E655" i="3"/>
  <c r="E164" i="3"/>
  <c r="E350" i="3"/>
  <c r="E72" i="3"/>
  <c r="E101" i="3"/>
  <c r="E481" i="3"/>
  <c r="E220" i="3"/>
  <c r="E615" i="3"/>
  <c r="E309" i="3"/>
  <c r="E519" i="3"/>
  <c r="E158" i="3"/>
  <c r="E565" i="3"/>
  <c r="E675" i="3"/>
  <c r="E349" i="3"/>
  <c r="E351" i="3"/>
  <c r="E648" i="3"/>
  <c r="E33" i="3"/>
  <c r="E132" i="3"/>
  <c r="E512" i="3"/>
  <c r="E596" i="3"/>
  <c r="E540" i="3"/>
  <c r="E499" i="3"/>
  <c r="E169" i="3"/>
  <c r="E395" i="3"/>
  <c r="E677" i="3"/>
  <c r="E746" i="3"/>
  <c r="E367" i="3"/>
  <c r="E355" i="3"/>
  <c r="E490" i="3"/>
  <c r="E360" i="3"/>
  <c r="E672" i="3"/>
  <c r="E403" i="3"/>
  <c r="E6" i="3"/>
  <c r="E64" i="3"/>
  <c r="E243" i="3"/>
  <c r="E722" i="3"/>
  <c r="E12" i="3"/>
  <c r="E611" i="3"/>
  <c r="E433" i="3"/>
  <c r="E666" i="3"/>
  <c r="E276" i="3"/>
  <c r="E287" i="3"/>
  <c r="E604" i="3"/>
  <c r="E402" i="3"/>
  <c r="E352" i="3"/>
  <c r="E23" i="3"/>
  <c r="E368" i="3"/>
  <c r="E439" i="3"/>
  <c r="E493" i="3"/>
  <c r="E165" i="3"/>
  <c r="E199" i="3"/>
  <c r="E700" i="3"/>
  <c r="E425" i="3"/>
  <c r="E308" i="3"/>
  <c r="D68" i="3"/>
  <c r="D15" i="3"/>
  <c r="D730" i="3"/>
  <c r="D138" i="3"/>
  <c r="D559" i="3"/>
  <c r="D229" i="3"/>
  <c r="D442" i="3"/>
  <c r="D606" i="3"/>
  <c r="E613" i="3"/>
  <c r="E756" i="3"/>
  <c r="E614" i="3"/>
  <c r="E623" i="3"/>
  <c r="E714" i="3"/>
  <c r="E186" i="3"/>
  <c r="E340" i="3"/>
  <c r="E383" i="3"/>
  <c r="E532" i="3"/>
  <c r="E720" i="3"/>
  <c r="E16" i="3"/>
  <c r="E649" i="3"/>
  <c r="E356" i="3"/>
  <c r="E371" i="3"/>
  <c r="E362" i="3"/>
  <c r="E205" i="3"/>
  <c r="E636" i="3"/>
  <c r="E642" i="3"/>
  <c r="E257" i="3"/>
  <c r="E5" i="3"/>
  <c r="D622" i="3"/>
  <c r="D261" i="3"/>
  <c r="D694" i="3"/>
  <c r="D426" i="3"/>
  <c r="D669" i="3"/>
  <c r="D389" i="3"/>
  <c r="D729" i="3"/>
  <c r="D657" i="3"/>
  <c r="D702" i="3"/>
  <c r="D353" i="3"/>
  <c r="D620" i="3"/>
  <c r="E68" i="3"/>
  <c r="E15" i="3"/>
  <c r="E730" i="3"/>
  <c r="E138" i="3"/>
  <c r="E559" i="3"/>
  <c r="E229" i="3"/>
  <c r="E442" i="3"/>
  <c r="E606" i="3"/>
  <c r="E743" i="3"/>
  <c r="E538" i="3"/>
  <c r="E4" i="3"/>
  <c r="E354" i="3"/>
  <c r="E369" i="3"/>
  <c r="E311" i="3"/>
  <c r="E487" i="3"/>
  <c r="E699" i="3"/>
  <c r="E404" i="3"/>
  <c r="E582" i="3"/>
  <c r="E299" i="3"/>
  <c r="E693" i="3"/>
  <c r="D133" i="3"/>
  <c r="D120" i="3"/>
  <c r="D238" i="3"/>
  <c r="D562" i="3"/>
  <c r="D572" i="3"/>
  <c r="D474" i="3"/>
  <c r="E26" i="2"/>
  <c r="E58" i="2"/>
  <c r="D51" i="2"/>
  <c r="D5" i="2"/>
  <c r="D6" i="2"/>
  <c r="D105" i="2"/>
  <c r="D49" i="2"/>
  <c r="E52" i="2"/>
  <c r="E84" i="2"/>
  <c r="D44" i="2"/>
  <c r="D93" i="3"/>
  <c r="D482" i="3"/>
  <c r="D259" i="3"/>
  <c r="D700" i="3"/>
  <c r="D403" i="3"/>
  <c r="D671" i="3"/>
  <c r="D749" i="3"/>
  <c r="D705" i="3"/>
  <c r="D485" i="3"/>
  <c r="D281" i="3"/>
  <c r="D739" i="3"/>
  <c r="D395" i="3"/>
  <c r="D155" i="3"/>
  <c r="D583" i="3"/>
  <c r="D220" i="3"/>
  <c r="D579" i="3"/>
  <c r="E313" i="3"/>
  <c r="E749" i="3"/>
  <c r="E48" i="3"/>
  <c r="E358" i="3"/>
  <c r="E447" i="3"/>
  <c r="E255" i="3"/>
  <c r="E607" i="3"/>
  <c r="E216" i="3"/>
  <c r="E190" i="3"/>
  <c r="E110" i="3"/>
  <c r="E407" i="3"/>
  <c r="E157" i="3"/>
  <c r="E42" i="3"/>
  <c r="E418" i="3"/>
  <c r="E709" i="3"/>
  <c r="E323" i="3"/>
  <c r="E580" i="3"/>
  <c r="E327" i="3"/>
  <c r="E98" i="3"/>
  <c r="E673" i="3"/>
  <c r="E152" i="3"/>
  <c r="E521" i="3"/>
  <c r="E616" i="3"/>
  <c r="E551" i="3"/>
  <c r="E227" i="3"/>
  <c r="E561" i="3"/>
  <c r="E445" i="3"/>
  <c r="E741" i="3"/>
  <c r="E581" i="3"/>
  <c r="E39" i="3"/>
  <c r="D449" i="3"/>
  <c r="E1633" i="4"/>
  <c r="E284" i="3"/>
  <c r="E118" i="3"/>
  <c r="E536" i="3"/>
  <c r="E465" i="3"/>
  <c r="E136" i="3"/>
  <c r="E273" i="3"/>
  <c r="E339" i="3"/>
  <c r="E664" i="3"/>
  <c r="E595" i="3"/>
  <c r="E400" i="3"/>
  <c r="E359" i="3"/>
  <c r="E119" i="3"/>
  <c r="E210" i="3"/>
  <c r="E270" i="3"/>
  <c r="E391" i="3"/>
  <c r="E429" i="3"/>
  <c r="E193" i="3"/>
  <c r="E212" i="3"/>
  <c r="E534" i="3"/>
  <c r="E586" i="3"/>
  <c r="E558" i="3"/>
  <c r="E166" i="3"/>
  <c r="E344" i="3"/>
  <c r="E488" i="3"/>
  <c r="E122" i="3"/>
  <c r="E653" i="3"/>
  <c r="E737" i="3"/>
  <c r="E634" i="3"/>
  <c r="E518" i="3"/>
  <c r="E387" i="3"/>
  <c r="E662" i="3"/>
  <c r="E307" i="3"/>
  <c r="E569" i="3"/>
  <c r="E435" i="3"/>
  <c r="E686" i="3"/>
  <c r="E437" i="3"/>
  <c r="E480" i="3"/>
  <c r="E60" i="3"/>
  <c r="E19" i="3"/>
  <c r="E547" i="3"/>
  <c r="E25" i="3"/>
  <c r="E373" i="3"/>
  <c r="E477" i="3"/>
  <c r="E107" i="3"/>
  <c r="E715" i="3"/>
  <c r="E386" i="3"/>
  <c r="E21" i="3"/>
  <c r="E328" i="3"/>
  <c r="E473" i="3"/>
  <c r="E513" i="3"/>
  <c r="E304" i="3"/>
  <c r="E129" i="3"/>
  <c r="E550" i="3"/>
  <c r="E209" i="3"/>
  <c r="E432" i="3"/>
  <c r="E446" i="3"/>
  <c r="E334" i="3"/>
  <c r="E721" i="3"/>
  <c r="E441" i="3"/>
  <c r="E723" i="3"/>
  <c r="E412" i="3"/>
  <c r="E36" i="3"/>
  <c r="D135" i="3"/>
  <c r="D712" i="3"/>
  <c r="E305" i="3"/>
  <c r="E141" i="3"/>
  <c r="E608" i="3"/>
  <c r="E175" i="3"/>
  <c r="E142" i="3"/>
  <c r="E419" i="3"/>
  <c r="E577" i="3"/>
  <c r="E533" i="3"/>
  <c r="E388" i="3"/>
  <c r="E316" i="3"/>
  <c r="E194" i="3"/>
  <c r="E41" i="3"/>
  <c r="E656" i="3"/>
  <c r="E378" i="3"/>
  <c r="E329" i="3"/>
  <c r="E414" i="3"/>
  <c r="E330" i="3"/>
  <c r="E744" i="3"/>
  <c r="E247" i="3"/>
  <c r="E338" i="3"/>
  <c r="E601" i="3"/>
  <c r="E153" i="3"/>
  <c r="E87" i="3"/>
  <c r="E225" i="3"/>
  <c r="E84" i="3"/>
  <c r="E751" i="3"/>
  <c r="E235" i="3"/>
  <c r="E450" i="3"/>
  <c r="E189" i="3"/>
  <c r="E31" i="3"/>
  <c r="D284" i="3"/>
  <c r="D118" i="3"/>
  <c r="D536" i="3"/>
  <c r="D465" i="3"/>
  <c r="E449" i="3"/>
  <c r="E126" i="3"/>
  <c r="E379" i="3"/>
  <c r="E288" i="3"/>
  <c r="E279" i="3"/>
  <c r="E125" i="3"/>
  <c r="E51" i="3"/>
  <c r="E244" i="3"/>
  <c r="E475" i="3"/>
  <c r="E106" i="3"/>
  <c r="E740" i="3"/>
  <c r="E661" i="3"/>
  <c r="E117" i="3"/>
  <c r="E253" i="3"/>
  <c r="E198" i="3"/>
  <c r="E45" i="3"/>
  <c r="E50" i="3"/>
  <c r="E54" i="3"/>
  <c r="E495" i="3"/>
  <c r="E151" i="3"/>
  <c r="E667" i="3"/>
  <c r="E111" i="3"/>
  <c r="E665" i="3"/>
  <c r="E727" i="3"/>
  <c r="E34" i="3"/>
  <c r="E134" i="3"/>
  <c r="E733" i="3"/>
  <c r="E500" i="3"/>
  <c r="E40" i="3"/>
  <c r="D193" i="3"/>
  <c r="D212" i="3"/>
  <c r="D534" i="3"/>
  <c r="D586" i="3"/>
  <c r="D558" i="3"/>
  <c r="D166" i="3"/>
  <c r="D344" i="3"/>
  <c r="D488" i="3"/>
  <c r="D122" i="3"/>
  <c r="D653" i="3"/>
  <c r="D737" i="3"/>
  <c r="D634" i="3"/>
  <c r="D518" i="3"/>
  <c r="D387" i="3"/>
  <c r="D662" i="3"/>
  <c r="D239" i="3"/>
  <c r="D320" i="3"/>
  <c r="D79" i="3"/>
  <c r="D283" i="3"/>
  <c r="D75" i="3"/>
  <c r="D54" i="3"/>
  <c r="D330" i="3"/>
  <c r="D744" i="3"/>
  <c r="D129" i="3"/>
  <c r="D494" i="3"/>
  <c r="D184" i="3"/>
  <c r="D303" i="3"/>
  <c r="D380" i="3"/>
  <c r="D272" i="3"/>
  <c r="D718" i="3"/>
  <c r="D191" i="3"/>
  <c r="D408" i="3"/>
  <c r="D563" i="3"/>
  <c r="D32" i="3"/>
  <c r="D84" i="2"/>
  <c r="D69" i="2"/>
  <c r="D58" i="2"/>
  <c r="D41" i="2"/>
  <c r="D67" i="2"/>
  <c r="D32" i="2"/>
  <c r="D97" i="2"/>
  <c r="D43" i="2"/>
  <c r="E411" i="3"/>
  <c r="E520" i="3"/>
  <c r="E556" i="3"/>
  <c r="E594" i="3"/>
  <c r="E707" i="3"/>
  <c r="E390" i="3"/>
  <c r="E570" i="3"/>
  <c r="E55" i="3"/>
  <c r="E29" i="3"/>
  <c r="E264" i="3"/>
  <c r="E80" i="3"/>
  <c r="E296" i="3"/>
  <c r="E59" i="3"/>
  <c r="E748" i="3"/>
  <c r="E398" i="3"/>
  <c r="E30" i="3"/>
  <c r="E75" i="3"/>
  <c r="E135" i="3"/>
  <c r="E470" i="3"/>
  <c r="E268" i="3"/>
  <c r="E375" i="3"/>
  <c r="E382" i="3"/>
  <c r="E726" i="3"/>
  <c r="E211" i="3"/>
  <c r="E546" i="3"/>
  <c r="E182" i="3"/>
  <c r="E591" i="3"/>
  <c r="E420" i="3"/>
  <c r="E317" i="3"/>
  <c r="E79" i="3"/>
  <c r="E283" i="3"/>
  <c r="E326" i="3"/>
  <c r="E171" i="3"/>
  <c r="E708" i="3"/>
  <c r="E168" i="3"/>
  <c r="E242" i="3"/>
  <c r="E459" i="3"/>
  <c r="E112" i="3"/>
  <c r="E109" i="3"/>
  <c r="E629" i="3"/>
  <c r="E245" i="3"/>
  <c r="E506" i="3"/>
  <c r="E498" i="3"/>
  <c r="E32" i="3"/>
  <c r="D520" i="3"/>
  <c r="D556" i="3"/>
  <c r="D126" i="3"/>
  <c r="D569" i="3"/>
  <c r="D384" i="3"/>
  <c r="D463" i="3"/>
  <c r="D625" i="3"/>
  <c r="D476" i="3"/>
  <c r="D726" i="3"/>
  <c r="D608" i="3"/>
  <c r="D57" i="3"/>
  <c r="D468" i="3"/>
  <c r="D213" i="3"/>
  <c r="D397" i="3"/>
  <c r="D20" i="3"/>
  <c r="D296" i="3"/>
  <c r="D185" i="3"/>
  <c r="D144" i="3"/>
  <c r="D728" i="3"/>
  <c r="D318" i="3"/>
  <c r="E291" i="3"/>
  <c r="E428" i="3"/>
  <c r="E451" i="3"/>
  <c r="E81" i="3"/>
  <c r="E298" i="3"/>
  <c r="E590" i="3"/>
  <c r="E537" i="3"/>
  <c r="E719" i="3"/>
  <c r="E58" i="3"/>
  <c r="E181" i="3"/>
  <c r="E20" i="3"/>
  <c r="E345" i="3"/>
  <c r="E754" i="3"/>
  <c r="E548" i="3"/>
  <c r="E95" i="3"/>
  <c r="E685" i="3"/>
  <c r="E223" i="3"/>
  <c r="E555" i="3"/>
  <c r="E150" i="3"/>
  <c r="E377" i="3"/>
  <c r="E678" i="3"/>
  <c r="E331" i="3"/>
  <c r="E747" i="3"/>
  <c r="E27" i="3"/>
  <c r="E374" i="3"/>
  <c r="E176" i="3"/>
  <c r="E234" i="3"/>
  <c r="E444" i="3"/>
  <c r="E385" i="3"/>
  <c r="E82" i="3"/>
  <c r="E228" i="3"/>
  <c r="E306" i="3"/>
  <c r="E713" i="3"/>
  <c r="E510" i="3"/>
  <c r="E682" i="3"/>
  <c r="E476" i="3"/>
  <c r="E413" i="3"/>
  <c r="E85" i="3"/>
  <c r="E381" i="3"/>
  <c r="E397" i="3"/>
  <c r="E83" i="3"/>
  <c r="E431" i="3"/>
  <c r="E314" i="3"/>
  <c r="E680" i="3"/>
  <c r="E320" i="3"/>
  <c r="E341" i="3"/>
  <c r="E206" i="3"/>
  <c r="E214" i="3"/>
  <c r="E162" i="3"/>
  <c r="E62" i="3"/>
  <c r="E567" i="3"/>
  <c r="E529" i="3"/>
  <c r="E525" i="3"/>
  <c r="E574" i="3"/>
  <c r="E599" i="3"/>
  <c r="E706" i="3"/>
  <c r="E514" i="3"/>
  <c r="E127" i="3"/>
  <c r="E408" i="3"/>
  <c r="E652" i="3"/>
  <c r="D289" i="3"/>
  <c r="D428" i="3"/>
  <c r="D451" i="3"/>
  <c r="D81" i="3"/>
  <c r="D435" i="3"/>
  <c r="D467" i="3"/>
  <c r="D96" i="3"/>
  <c r="D94" i="3"/>
  <c r="D413" i="3"/>
  <c r="D264" i="3"/>
  <c r="D60" i="3"/>
  <c r="D528" i="3"/>
  <c r="D683" i="3"/>
  <c r="D121" i="3"/>
  <c r="D130" i="3"/>
  <c r="D345" i="3"/>
  <c r="D661" i="3"/>
  <c r="D388" i="3"/>
  <c r="E526" i="3"/>
  <c r="E571" i="3"/>
  <c r="E285" i="3"/>
  <c r="E625" i="3"/>
  <c r="E471" i="3"/>
  <c r="E47" i="3"/>
  <c r="E427" i="3"/>
  <c r="E460" i="3"/>
  <c r="E213" i="3"/>
  <c r="E416" i="3"/>
  <c r="E130" i="3"/>
  <c r="E123" i="3"/>
  <c r="E128" i="3"/>
  <c r="E239" i="3"/>
  <c r="E679" i="3"/>
  <c r="E660" i="3"/>
  <c r="E421" i="3"/>
  <c r="E124" i="3"/>
  <c r="E97" i="3"/>
  <c r="E332" i="3"/>
  <c r="E337" i="3"/>
  <c r="E690" i="3"/>
  <c r="E92" i="3"/>
  <c r="E357" i="3"/>
  <c r="E703" i="3"/>
  <c r="E53" i="3"/>
  <c r="E684" i="3"/>
  <c r="E191" i="3"/>
  <c r="E401" i="3"/>
  <c r="E170" i="3"/>
  <c r="D82" i="3"/>
  <c r="D594" i="3"/>
  <c r="E254" i="3"/>
  <c r="E507" i="3"/>
  <c r="E658" i="3"/>
  <c r="E10" i="3"/>
  <c r="E94" i="3"/>
  <c r="E266" i="3"/>
  <c r="E167" i="3"/>
  <c r="E745" i="3"/>
  <c r="E504" i="3"/>
  <c r="E121" i="3"/>
  <c r="E681" i="3"/>
  <c r="E472" i="3"/>
  <c r="E26" i="3"/>
  <c r="E335" i="3"/>
  <c r="E295" i="3"/>
  <c r="E592" i="3"/>
  <c r="E232" i="3"/>
  <c r="E469" i="3"/>
  <c r="E399" i="3"/>
  <c r="E336" i="3"/>
  <c r="E568" i="3"/>
  <c r="E505" i="3"/>
  <c r="E589" i="3"/>
  <c r="E406" i="3"/>
  <c r="E100" i="3"/>
  <c r="E438" i="3"/>
  <c r="E274" i="3"/>
  <c r="E76" i="3"/>
  <c r="E718" i="3"/>
  <c r="E576" i="3"/>
  <c r="E633" i="3"/>
  <c r="D137" i="3"/>
  <c r="D526" i="3"/>
  <c r="D571" i="3"/>
  <c r="D228" i="3"/>
  <c r="D470" i="3"/>
  <c r="D288" i="3"/>
  <c r="D279" i="3"/>
  <c r="D686" i="3"/>
  <c r="D224" i="3"/>
  <c r="D88" i="3"/>
  <c r="D266" i="3"/>
  <c r="E674" i="3"/>
  <c r="E593" i="3"/>
  <c r="E628" i="3"/>
  <c r="E96" i="3"/>
  <c r="E454" i="3"/>
  <c r="E160" i="3"/>
  <c r="E468" i="3"/>
  <c r="E683" i="3"/>
  <c r="E280" i="3"/>
  <c r="E738" i="3"/>
  <c r="E104" i="3"/>
  <c r="E753" i="3"/>
  <c r="E717" i="3"/>
  <c r="E318" i="3"/>
  <c r="E321" i="3"/>
  <c r="E324" i="3"/>
  <c r="E325" i="3"/>
  <c r="E115" i="3"/>
  <c r="E654" i="3"/>
  <c r="E13" i="3"/>
  <c r="E566" i="3"/>
  <c r="E196" i="3"/>
  <c r="E443" i="3"/>
  <c r="E516" i="3"/>
  <c r="E303" i="3"/>
  <c r="E380" i="3"/>
  <c r="E272" i="3"/>
  <c r="E179" i="3"/>
  <c r="E154" i="3"/>
  <c r="E736" i="3"/>
  <c r="D453" i="3"/>
  <c r="D254" i="3"/>
  <c r="E289" i="3"/>
  <c r="E300" i="3"/>
  <c r="E172" i="3"/>
  <c r="E88" i="3"/>
  <c r="E557" i="3"/>
  <c r="E52" i="3"/>
  <c r="E452" i="3"/>
  <c r="E263" i="3"/>
  <c r="E626" i="3"/>
  <c r="E200" i="3"/>
  <c r="E728" i="3"/>
  <c r="E322" i="3"/>
  <c r="E448" i="3"/>
  <c r="E282" i="3"/>
  <c r="E343" i="3"/>
  <c r="E670" i="3"/>
  <c r="E436" i="3"/>
  <c r="E146" i="3"/>
  <c r="E333" i="3"/>
  <c r="E603" i="3"/>
  <c r="E612" i="3"/>
  <c r="E201" i="3"/>
  <c r="E734" i="3"/>
  <c r="E292" i="3"/>
  <c r="E108" i="3"/>
  <c r="E631" i="3"/>
  <c r="D307" i="3"/>
  <c r="D531" i="3"/>
  <c r="D674" i="3"/>
  <c r="D306" i="3"/>
  <c r="D298" i="3"/>
  <c r="D375" i="3"/>
  <c r="D125" i="3"/>
  <c r="D393" i="3"/>
  <c r="D99" i="3"/>
  <c r="E456" i="3"/>
  <c r="E554" i="3"/>
  <c r="E466" i="3"/>
  <c r="E224" i="3"/>
  <c r="E486" i="3"/>
  <c r="E294" i="3"/>
  <c r="E46" i="3"/>
  <c r="E528" i="3"/>
  <c r="E90" i="3"/>
  <c r="E618" i="3"/>
  <c r="E144" i="3"/>
  <c r="E319" i="3"/>
  <c r="E523" i="3"/>
  <c r="E617" i="3"/>
  <c r="E549" i="3"/>
  <c r="E78" i="3"/>
  <c r="E103" i="3"/>
  <c r="E632" i="3"/>
  <c r="E161" i="3"/>
  <c r="E145" i="3"/>
  <c r="E183" i="3"/>
  <c r="E277" i="3"/>
  <c r="E552" i="3"/>
  <c r="E38" i="3"/>
  <c r="D358" i="3"/>
  <c r="D447" i="3"/>
  <c r="D255" i="3"/>
  <c r="D607" i="3"/>
  <c r="D216" i="3"/>
  <c r="D190" i="3"/>
  <c r="D110" i="3"/>
  <c r="D407" i="3"/>
  <c r="D157" i="3"/>
  <c r="D42" i="3"/>
  <c r="D418" i="3"/>
  <c r="D709" i="3"/>
  <c r="D323" i="3"/>
  <c r="D580" i="3"/>
  <c r="D327" i="3"/>
  <c r="D98" i="3"/>
  <c r="D673" i="3"/>
  <c r="D152" i="3"/>
  <c r="D521" i="3"/>
  <c r="D616" i="3"/>
  <c r="D551" i="3"/>
  <c r="D227" i="3"/>
  <c r="D561" i="3"/>
  <c r="D445" i="3"/>
  <c r="D741" i="3"/>
  <c r="D581" i="3"/>
  <c r="D39" i="3"/>
  <c r="E61" i="2"/>
  <c r="E10" i="2"/>
  <c r="E62" i="2"/>
  <c r="E75" i="2"/>
  <c r="E82" i="2"/>
  <c r="E37" i="2"/>
  <c r="E13" i="2"/>
  <c r="E40" i="2"/>
  <c r="E106" i="2"/>
  <c r="E80" i="2"/>
  <c r="E96" i="2"/>
  <c r="E102" i="2"/>
  <c r="E137" i="3"/>
  <c r="E531" i="3"/>
  <c r="E455" i="3"/>
  <c r="E384" i="3"/>
  <c r="E463" i="3"/>
  <c r="E467" i="3"/>
  <c r="E417" i="3"/>
  <c r="E99" i="3"/>
  <c r="E691" i="3"/>
  <c r="E57" i="3"/>
  <c r="E503" i="3"/>
  <c r="E731" i="3"/>
  <c r="E627" i="3"/>
  <c r="E724" i="3"/>
  <c r="E710" i="3"/>
  <c r="E219" i="3"/>
  <c r="E588" i="3"/>
  <c r="E139" i="3"/>
  <c r="E440" i="3"/>
  <c r="E676" i="3"/>
  <c r="E735" i="3"/>
  <c r="E290" i="3"/>
  <c r="E113" i="3"/>
  <c r="E184" i="3"/>
  <c r="E192" i="3"/>
  <c r="E346" i="3"/>
  <c r="E275" i="3"/>
  <c r="E180" i="3"/>
  <c r="E517" i="3"/>
  <c r="E515" i="3"/>
  <c r="E342" i="3"/>
  <c r="E37" i="3"/>
  <c r="D48" i="3"/>
  <c r="D456" i="3"/>
  <c r="D554" i="3"/>
  <c r="D507" i="3"/>
  <c r="D713" i="3"/>
  <c r="E453" i="3"/>
  <c r="E712" i="3"/>
  <c r="E102" i="3"/>
  <c r="E497" i="3"/>
  <c r="E464" i="3"/>
  <c r="E462" i="3"/>
  <c r="E393" i="3"/>
  <c r="E575" i="3"/>
  <c r="E522" i="3"/>
  <c r="E564" i="3"/>
  <c r="E752" i="3"/>
  <c r="E24" i="3"/>
  <c r="E43" i="3"/>
  <c r="E185" i="3"/>
  <c r="E315" i="3"/>
  <c r="E630" i="3"/>
  <c r="E732" i="3"/>
  <c r="E203" i="3"/>
  <c r="E208" i="3"/>
  <c r="E267" i="3"/>
  <c r="E86" i="3"/>
  <c r="E742" i="3"/>
  <c r="E461" i="3"/>
  <c r="E494" i="3"/>
  <c r="E302" i="3"/>
  <c r="E410" i="3"/>
  <c r="E271" i="3"/>
  <c r="E226" i="3"/>
  <c r="E221" i="3"/>
  <c r="E297" i="3"/>
  <c r="E174" i="3"/>
  <c r="E93" i="3"/>
  <c r="E236" i="3"/>
  <c r="D411" i="3"/>
  <c r="D96" i="2"/>
  <c r="E98" i="2"/>
  <c r="D77" i="2"/>
  <c r="D12" i="2"/>
  <c r="D85" i="2"/>
  <c r="E76" i="2"/>
  <c r="E48" i="2"/>
  <c r="D62" i="2"/>
  <c r="E53" i="2"/>
  <c r="D70" i="2"/>
  <c r="D170" i="3"/>
  <c r="D405" i="3"/>
  <c r="D245" i="3"/>
  <c r="D424" i="3"/>
  <c r="D134" i="3"/>
  <c r="D225" i="3"/>
  <c r="D446" i="3"/>
  <c r="D432" i="3"/>
  <c r="D209" i="3"/>
  <c r="D113" i="3"/>
  <c r="D632" i="3"/>
  <c r="D13" i="3"/>
  <c r="D654" i="3"/>
  <c r="D232" i="3"/>
  <c r="D421" i="3"/>
  <c r="D391" i="3"/>
  <c r="D685" i="3"/>
  <c r="D95" i="3"/>
  <c r="D548" i="3"/>
  <c r="D59" i="3"/>
  <c r="D400" i="3"/>
  <c r="D547" i="3"/>
  <c r="D752" i="3"/>
  <c r="D452" i="3"/>
  <c r="D160" i="3"/>
  <c r="D47" i="3"/>
  <c r="D305" i="3"/>
  <c r="D300" i="3"/>
  <c r="E222" i="3"/>
  <c r="D17" i="2"/>
  <c r="D102" i="2"/>
  <c r="E56" i="2"/>
  <c r="D98" i="2"/>
  <c r="E105" i="2"/>
  <c r="E100" i="2"/>
  <c r="E83" i="2"/>
  <c r="E32" i="2"/>
  <c r="D76" i="2"/>
  <c r="D48" i="2"/>
  <c r="E18" i="2"/>
  <c r="D53" i="2"/>
  <c r="E19" i="2"/>
  <c r="D652" i="3"/>
  <c r="D506" i="3"/>
  <c r="D733" i="3"/>
  <c r="D84" i="3"/>
  <c r="D271" i="3"/>
  <c r="D410" i="3"/>
  <c r="D302" i="3"/>
  <c r="D436" i="3"/>
  <c r="D566" i="3"/>
  <c r="D399" i="3"/>
  <c r="D469" i="3"/>
  <c r="D341" i="3"/>
  <c r="D223" i="3"/>
  <c r="D317" i="3"/>
  <c r="D420" i="3"/>
  <c r="D533" i="3"/>
  <c r="D577" i="3"/>
  <c r="D731" i="3"/>
  <c r="D745" i="3"/>
  <c r="D167" i="3"/>
  <c r="D537" i="3"/>
  <c r="D226" i="3"/>
  <c r="D192" i="3"/>
  <c r="D146" i="3"/>
  <c r="D196" i="3"/>
  <c r="D336" i="3"/>
  <c r="D97" i="3"/>
  <c r="D124" i="3"/>
  <c r="D206" i="3"/>
  <c r="D555" i="3"/>
  <c r="D429" i="3"/>
  <c r="D748" i="3"/>
  <c r="D25" i="3"/>
  <c r="D627" i="3"/>
  <c r="D90" i="3"/>
  <c r="D664" i="3"/>
  <c r="D427" i="3"/>
  <c r="D29" i="3"/>
  <c r="D417" i="3"/>
  <c r="E508" i="3"/>
  <c r="E104" i="2"/>
  <c r="E97" i="2"/>
  <c r="D81" i="2"/>
  <c r="E46" i="2"/>
  <c r="E50" i="2"/>
  <c r="D60" i="2"/>
  <c r="D541" i="3"/>
  <c r="D235" i="3"/>
  <c r="D721" i="3"/>
  <c r="D221" i="3"/>
  <c r="D346" i="3"/>
  <c r="D333" i="3"/>
  <c r="D568" i="3"/>
  <c r="D332" i="3"/>
  <c r="D162" i="3"/>
  <c r="D214" i="3"/>
  <c r="D150" i="3"/>
  <c r="D30" i="3"/>
  <c r="D398" i="3"/>
  <c r="D253" i="3"/>
  <c r="D117" i="3"/>
  <c r="D43" i="3"/>
  <c r="D24" i="3"/>
  <c r="D460" i="3"/>
  <c r="D172" i="3"/>
  <c r="D510" i="3"/>
  <c r="D593" i="3"/>
  <c r="D285" i="3"/>
  <c r="D291" i="3"/>
  <c r="D275" i="3"/>
  <c r="D161" i="3"/>
  <c r="D443" i="3"/>
  <c r="D505" i="3"/>
  <c r="D337" i="3"/>
  <c r="D678" i="3"/>
  <c r="D377" i="3"/>
  <c r="D326" i="3"/>
  <c r="D45" i="3"/>
  <c r="D198" i="3"/>
  <c r="D316" i="3"/>
  <c r="D373" i="3"/>
  <c r="D359" i="3"/>
  <c r="D504" i="3"/>
  <c r="D85" i="3"/>
  <c r="D719" i="3"/>
  <c r="D141" i="3"/>
  <c r="D10" i="3"/>
  <c r="D497" i="3"/>
  <c r="D455" i="3"/>
  <c r="E91" i="3"/>
  <c r="D40" i="3"/>
  <c r="D189" i="3"/>
  <c r="D723" i="3"/>
  <c r="D174" i="3"/>
  <c r="D180" i="3"/>
  <c r="D603" i="3"/>
  <c r="D516" i="3"/>
  <c r="D589" i="3"/>
  <c r="D62" i="3"/>
  <c r="D331" i="3"/>
  <c r="D171" i="3"/>
  <c r="D50" i="3"/>
  <c r="D656" i="3"/>
  <c r="D41" i="3"/>
  <c r="D194" i="3"/>
  <c r="D107" i="3"/>
  <c r="D477" i="3"/>
  <c r="D710" i="3"/>
  <c r="D724" i="3"/>
  <c r="D280" i="3"/>
  <c r="D381" i="3"/>
  <c r="D58" i="3"/>
  <c r="D211" i="3"/>
  <c r="D437" i="3"/>
  <c r="D682" i="3"/>
  <c r="E293" i="3"/>
  <c r="E233" i="3"/>
  <c r="D567" i="3"/>
  <c r="D747" i="3"/>
  <c r="D708" i="3"/>
  <c r="D265" i="3"/>
  <c r="D173" i="3"/>
  <c r="D378" i="3"/>
  <c r="D386" i="3"/>
  <c r="D715" i="3"/>
  <c r="D315" i="3"/>
  <c r="D618" i="3"/>
  <c r="D263" i="3"/>
  <c r="D416" i="3"/>
  <c r="D546" i="3"/>
  <c r="D244" i="3"/>
  <c r="D575" i="3"/>
  <c r="D136" i="3"/>
  <c r="D390" i="3"/>
  <c r="D628" i="3"/>
  <c r="E424" i="3"/>
  <c r="E69" i="2"/>
  <c r="E93" i="2"/>
  <c r="D11" i="2"/>
  <c r="D36" i="3"/>
  <c r="D236" i="3"/>
  <c r="D515" i="3"/>
  <c r="D183" i="3"/>
  <c r="D201" i="3"/>
  <c r="D274" i="3"/>
  <c r="D703" i="3"/>
  <c r="D357" i="3"/>
  <c r="D92" i="3"/>
  <c r="D529" i="3"/>
  <c r="D27" i="3"/>
  <c r="D168" i="3"/>
  <c r="D61" i="3"/>
  <c r="D329" i="3"/>
  <c r="D21" i="3"/>
  <c r="D732" i="3"/>
  <c r="D630" i="3"/>
  <c r="D219" i="3"/>
  <c r="D200" i="3"/>
  <c r="D626" i="3"/>
  <c r="D738" i="3"/>
  <c r="D181" i="3"/>
  <c r="D480" i="3"/>
  <c r="D486" i="3"/>
  <c r="E524" i="3"/>
  <c r="E147" i="3"/>
  <c r="D525" i="3"/>
  <c r="D374" i="3"/>
  <c r="D242" i="3"/>
  <c r="D233" i="3"/>
  <c r="D495" i="3"/>
  <c r="D414" i="3"/>
  <c r="D328" i="3"/>
  <c r="D203" i="3"/>
  <c r="D588" i="3"/>
  <c r="D753" i="3"/>
  <c r="D104" i="3"/>
  <c r="D681" i="3"/>
  <c r="D273" i="3"/>
  <c r="D382" i="3"/>
  <c r="D464" i="3"/>
  <c r="D658" i="3"/>
  <c r="E49" i="3"/>
  <c r="E61" i="3"/>
  <c r="D292" i="3"/>
  <c r="D444" i="3"/>
  <c r="D234" i="3"/>
  <c r="D176" i="3"/>
  <c r="D459" i="3"/>
  <c r="D91" i="3"/>
  <c r="D151" i="3"/>
  <c r="D513" i="3"/>
  <c r="D473" i="3"/>
  <c r="D208" i="3"/>
  <c r="D523" i="3"/>
  <c r="D319" i="3"/>
  <c r="D717" i="3"/>
  <c r="D26" i="3"/>
  <c r="D472" i="3"/>
  <c r="D83" i="3"/>
  <c r="D595" i="3"/>
  <c r="D475" i="3"/>
  <c r="D175" i="3"/>
  <c r="D522" i="3"/>
  <c r="D471" i="3"/>
  <c r="D570" i="3"/>
  <c r="E563" i="3"/>
  <c r="D599" i="3"/>
  <c r="D94" i="2"/>
  <c r="E89" i="2"/>
  <c r="D72" i="2"/>
  <c r="E78" i="2"/>
  <c r="D99" i="2"/>
  <c r="D40" i="2"/>
  <c r="D31" i="2"/>
  <c r="D101" i="2"/>
  <c r="D66" i="2"/>
  <c r="E51" i="2"/>
  <c r="E15" i="2"/>
  <c r="D39" i="2"/>
  <c r="D61" i="2"/>
  <c r="D38" i="3"/>
  <c r="D108" i="3"/>
  <c r="D684" i="3"/>
  <c r="D706" i="3"/>
  <c r="D385" i="3"/>
  <c r="D109" i="3"/>
  <c r="D112" i="3"/>
  <c r="D222" i="3"/>
  <c r="D667" i="3"/>
  <c r="D304" i="3"/>
  <c r="D86" i="3"/>
  <c r="D267" i="3"/>
  <c r="D139" i="3"/>
  <c r="D617" i="3"/>
  <c r="D322" i="3"/>
  <c r="D119" i="3"/>
  <c r="D123" i="3"/>
  <c r="D182" i="3"/>
  <c r="D80" i="3"/>
  <c r="D142" i="3"/>
  <c r="D691" i="3"/>
  <c r="D590" i="3"/>
  <c r="D462" i="3"/>
  <c r="E541" i="3"/>
  <c r="E265" i="3"/>
  <c r="D631" i="3"/>
  <c r="D154" i="3"/>
  <c r="D514" i="3"/>
  <c r="D49" i="3"/>
  <c r="D147" i="3"/>
  <c r="D527" i="3"/>
  <c r="D111" i="3"/>
  <c r="D247" i="3"/>
  <c r="D742" i="3"/>
  <c r="D676" i="3"/>
  <c r="D440" i="3"/>
  <c r="D549" i="3"/>
  <c r="D448" i="3"/>
  <c r="D324" i="3"/>
  <c r="D321" i="3"/>
  <c r="D335" i="3"/>
  <c r="D210" i="3"/>
  <c r="D431" i="3"/>
  <c r="D106" i="3"/>
  <c r="D19" i="3"/>
  <c r="D46" i="3"/>
  <c r="D294" i="3"/>
  <c r="D268" i="3"/>
  <c r="E405" i="3"/>
  <c r="E7" i="2"/>
  <c r="D736" i="3"/>
  <c r="D576" i="3"/>
  <c r="D127" i="3"/>
  <c r="D293" i="3"/>
  <c r="D597" i="3"/>
  <c r="D727" i="3"/>
  <c r="D665" i="3"/>
  <c r="D338" i="3"/>
  <c r="D461" i="3"/>
  <c r="D735" i="3"/>
  <c r="D78" i="3"/>
  <c r="D282" i="3"/>
  <c r="D325" i="3"/>
  <c r="D295" i="3"/>
  <c r="D270" i="3"/>
  <c r="D128" i="3"/>
  <c r="D754" i="3"/>
  <c r="D591" i="3"/>
  <c r="D564" i="3"/>
  <c r="D339" i="3"/>
  <c r="D557" i="3"/>
  <c r="D55" i="3"/>
  <c r="D466" i="3"/>
  <c r="D707" i="3"/>
  <c r="E687" i="3"/>
  <c r="E527" i="3"/>
  <c r="E12" i="2"/>
  <c r="E85" i="2"/>
  <c r="E67" i="2"/>
  <c r="D71" i="2"/>
  <c r="D52" i="2"/>
  <c r="D7" i="2"/>
  <c r="E70" i="2"/>
  <c r="D633" i="3"/>
  <c r="D401" i="3"/>
  <c r="D508" i="3"/>
  <c r="D629" i="3"/>
  <c r="D34" i="3"/>
  <c r="D87" i="3"/>
  <c r="D153" i="3"/>
  <c r="D601" i="3"/>
  <c r="D550" i="3"/>
  <c r="D290" i="3"/>
  <c r="D103" i="3"/>
  <c r="D670" i="3"/>
  <c r="D343" i="3"/>
  <c r="D115" i="3"/>
  <c r="D592" i="3"/>
  <c r="D660" i="3"/>
  <c r="D679" i="3"/>
  <c r="D680" i="3"/>
  <c r="D314" i="3"/>
  <c r="D740" i="3"/>
  <c r="D419" i="3"/>
  <c r="D503" i="3"/>
  <c r="D52" i="3"/>
  <c r="D454" i="3"/>
  <c r="D51" i="3"/>
  <c r="D379" i="3"/>
  <c r="D102" i="3"/>
  <c r="E597" i="3"/>
  <c r="E173" i="3"/>
  <c r="E111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6BE472-097A-364C-A6A9-C57BC062FC3E}" keepAlive="1" name="Query - amex" description="Connection to the 'amex' query in the workbook." type="5" refreshedVersion="8" background="1" saveData="1">
    <dbPr connection="Provider=Microsoft.Mashup.OleDb.1;Data Source=$Workbook$;Location=amex;Extended Properties=&quot;&quot;" command="SELECT * FROM [amex]"/>
  </connection>
  <connection id="2" xr16:uid="{267DDA71-249B-2246-A709-E150B169FC7B}" keepAlive="1" name="Query - amex (2)" description="Connection to the 'amex (2)' query in the workbook." type="5" refreshedVersion="8" background="1" saveData="1">
    <dbPr connection="Provider=Microsoft.Mashup.OleDb.1;Data Source=$Workbook$;Location=&quot;amex (2)&quot;;Extended Properties=&quot;&quot;" command="SELECT * FROM [amex (2)]"/>
  </connection>
  <connection id="3" xr16:uid="{71CC1109-A216-1845-981C-84B9EB4E0CBE}" keepAlive="1" name="Query - ftcu" description="Connection to the 'ftcu' query in the workbook." type="5" refreshedVersion="8" background="1" saveData="1">
    <dbPr connection="Provider=Microsoft.Mashup.OleDb.1;Data Source=$Workbook$;Location=ftcu;Extended Properties=&quot;&quot;" command="SELECT * FROM [ftcu]"/>
  </connection>
  <connection id="4" xr16:uid="{06AF0636-ADEF-4248-B4A8-BC4B45F35D3C}" keepAlive="1" name="Query - ftcu (2)" description="Connection to the 'ftcu (2)' query in the workbook." type="5" refreshedVersion="0" background="1">
    <dbPr connection="Provider=Microsoft.Mashup.OleDb.1;Data Source=$Workbook$;Location=&quot;ftcu (2)&quot;;Extended Properties=&quot;&quot;" command="SELECT * FROM [ftcu (2)]"/>
  </connection>
  <connection id="5" xr16:uid="{DFD83FDB-43D2-5F42-86C3-A34DD50D1602}" keepAlive="1" name="Query - usaa-cc" description="Connection to the 'usaa-cc' query in the workbook." type="5" refreshedVersion="8" background="1" saveData="1">
    <dbPr connection="Provider=Microsoft.Mashup.OleDb.1;Data Source=$Workbook$;Location=usaa-cc;Extended Properties=&quot;&quot;" command="SELECT * FROM [usaa-cc]"/>
  </connection>
  <connection id="6" xr16:uid="{57E4807C-FAE3-964F-BAD7-B9B9C43DCA38}" keepAlive="1" name="Query - usaa-cc (2)" description="Connection to the 'usaa-cc (2)' query in the workbook." type="5" refreshedVersion="8" background="1" saveData="1">
    <dbPr connection="Provider=Microsoft.Mashup.OleDb.1;Data Source=$Workbook$;Location=&quot;usaa-cc (2)&quot;;Extended Properties=&quot;&quot;" command="SELECT * FROM [usaa-cc (2)]"/>
  </connection>
</connections>
</file>

<file path=xl/sharedStrings.xml><?xml version="1.0" encoding="utf-8"?>
<sst xmlns="http://schemas.openxmlformats.org/spreadsheetml/2006/main" count="23648" uniqueCount="2559">
  <si>
    <t>Payee</t>
  </si>
  <si>
    <t>proper</t>
  </si>
  <si>
    <t>Basic/Luxury</t>
  </si>
  <si>
    <t>Note</t>
  </si>
  <si>
    <t>76 - CF UNITED APRO LLC 2BELLEVUE     WA</t>
  </si>
  <si>
    <t>Auto</t>
  </si>
  <si>
    <t>Basic</t>
  </si>
  <si>
    <t>create category "fuel"</t>
  </si>
  <si>
    <t>76 - CHELAN 76           CHELAN       WA</t>
  </si>
  <si>
    <t>76 - THE POINT           SEATTLE      WA</t>
  </si>
  <si>
    <t>76 - VILLAGE MARKET 76   SEATTLE      WA</t>
  </si>
  <si>
    <t>76 Fuel</t>
  </si>
  <si>
    <t>AAA WA MEMBERSHIP 01     800-562-2582 WA</t>
  </si>
  <si>
    <t>AplPay MAVERIK #613 SPOKANE             WA</t>
  </si>
  <si>
    <t>Gas</t>
  </si>
  <si>
    <t>AplPay PILOT_01195 0ELLENSBURG          WA</t>
  </si>
  <si>
    <t>ARCO</t>
  </si>
  <si>
    <t>ARCO#07060ARCO #0706BURLINGTON          WA</t>
  </si>
  <si>
    <t>Brown Bear Car Wash</t>
  </si>
  <si>
    <t>BROWN BEAR CAR WASH - 15TSEATTLE      WA</t>
  </si>
  <si>
    <t>no change</t>
  </si>
  <si>
    <t>BROWN BEAR LAKE CITY SEATTLE WA</t>
  </si>
  <si>
    <t>CARILLON POINT PARKING   KIRKLAND     WA</t>
  </si>
  <si>
    <t>CENEX CHS NORTHWEST BLACK DIAMOND       WA</t>
  </si>
  <si>
    <t>Chelan Station Rerunschelan</t>
  </si>
  <si>
    <t>Chevron</t>
  </si>
  <si>
    <t>CHEVRON 0091292/CHEVNORTH BEND          WA</t>
  </si>
  <si>
    <t>CHEVRON 0092584/CHEVSEATTLE             WA</t>
  </si>
  <si>
    <t>CHEVRON 0097258          SEATTLE      WA</t>
  </si>
  <si>
    <t>CHEVRON 0203477          SEATTLE      WA</t>
  </si>
  <si>
    <t>CHEVRON 0203477/CHEVSEATTLE             WA</t>
  </si>
  <si>
    <t>CHEVRON 0205257          SEATTLE      WA</t>
  </si>
  <si>
    <t>CHEVRON 0205343          SNOQUALMIE PAWA</t>
  </si>
  <si>
    <t>CHEVRON 0378582          SEATTLE      WA</t>
  </si>
  <si>
    <t>Costco Gas</t>
  </si>
  <si>
    <t>FLO SERVICES USA INC     WWW.FLO.COM  MI</t>
  </si>
  <si>
    <t>Gulf Oil</t>
  </si>
  <si>
    <t>LAZ PARKING ECOMMERCE    860-522-7641 CT</t>
  </si>
  <si>
    <t>O'REILLY 2527            SEATTLE      WA</t>
  </si>
  <si>
    <t>O'Reilly Auto Parts</t>
  </si>
  <si>
    <t>PayByPhone Parking</t>
  </si>
  <si>
    <t>SAFEWAY FUEL0534         ARLINGTON    WA</t>
  </si>
  <si>
    <t>Seattle Meter Parking</t>
  </si>
  <si>
    <t>SEATTLE METER PARKINSEATTLE             WA</t>
  </si>
  <si>
    <t>Seattle Municipal Court</t>
  </si>
  <si>
    <t>Luxury</t>
  </si>
  <si>
    <t>Shell</t>
  </si>
  <si>
    <t>SHELL C44048        LUMBY               CA</t>
  </si>
  <si>
    <t>SHELL OIL 10007312001    SEATTLE      WA</t>
  </si>
  <si>
    <t>SHELL OIL 52175500058    PINCONNING   MI</t>
  </si>
  <si>
    <t>SHELL OIL 57444157002    POULSBO      WA</t>
  </si>
  <si>
    <t>SHELL OIL10006032014     SEATTLE      WA</t>
  </si>
  <si>
    <t>SpotHero</t>
  </si>
  <si>
    <t>Super Save Group</t>
  </si>
  <si>
    <t>Tesla</t>
  </si>
  <si>
    <t>TESLA INC SUPERCHARGPALO ALTO</t>
  </si>
  <si>
    <t>basic</t>
  </si>
  <si>
    <t>TESLA SUBSCRIPTION US    PALO ALTO    CA</t>
  </si>
  <si>
    <t>U-DISTRICT               clover.com   WA</t>
  </si>
  <si>
    <t>Uw Pay by Phone</t>
  </si>
  <si>
    <t>VM PARKING BARONESS LOT  SEATTLE      WA</t>
  </si>
  <si>
    <t>VOLVO CARS SEATTLE       SEATTLE      WA</t>
  </si>
  <si>
    <t>WA DOL LIC &amp; REG 77458   SEATTLE      WA</t>
  </si>
  <si>
    <t>WA VEHICLE LICENSING     360-902-7470 WA</t>
  </si>
  <si>
    <t>WSDOT Good To Go Pass</t>
  </si>
  <si>
    <t>WSDOT-GOODTOGO ONLINE    RENTON       WA</t>
  </si>
  <si>
    <t>WSFERRIES-BAINBRIDGE     SEATTLE      WA</t>
  </si>
  <si>
    <t>Ext Credit Card Debit Interest Charge on Cash A</t>
  </si>
  <si>
    <t>Bank Fees</t>
  </si>
  <si>
    <t>Interest Adjustment</t>
  </si>
  <si>
    <t>INTEREST CHARGED ON PURCHASES</t>
  </si>
  <si>
    <t>shorten to "bank fees"</t>
  </si>
  <si>
    <t>Interest on Cash Advances</t>
  </si>
  <si>
    <t>Interest on Purchases</t>
  </si>
  <si>
    <t>LATE FEE</t>
  </si>
  <si>
    <t>LATE FEE FOR PAYMENT DUE</t>
  </si>
  <si>
    <t>Overdraft Credit Card Advance</t>
  </si>
  <si>
    <t>Transfer</t>
  </si>
  <si>
    <t>McMaster-Carr</t>
  </si>
  <si>
    <t>Boat</t>
  </si>
  <si>
    <t>NORTH LAKE MARINA        425-487-2676 WA</t>
  </si>
  <si>
    <t>SEATTLE BOAT CO. FUEBELLEVUE            WA</t>
  </si>
  <si>
    <t>Ext Credit Card Debit BANK OF AMERICA          SEATTLE      DC</t>
  </si>
  <si>
    <t>Cash</t>
  </si>
  <si>
    <t>Ext Credit Card Debit CASH ADVANCE             BEAVERTON    OR</t>
  </si>
  <si>
    <t>THOMAS COOK INDIA LTD    ERNAKULAM</t>
  </si>
  <si>
    <t>AplPay GOFUNDME     SAN DIEGO           CA</t>
  </si>
  <si>
    <t>Charitable Contributions</t>
  </si>
  <si>
    <t>BONTERRA TECH</t>
  </si>
  <si>
    <t>CAMP NORWESTER WWW.NORWESTERWA</t>
  </si>
  <si>
    <t>should be charitable contribuation</t>
  </si>
  <si>
    <t>EB *OCTOBER H8TE 801-413-7200 CA</t>
  </si>
  <si>
    <t>GB* SEATTLE JAZZED       GIVEBUTTER.CODE</t>
  </si>
  <si>
    <t>GIRL SCOUTS OF THE UNITED855-530-4467 NY</t>
  </si>
  <si>
    <t>GoFundMe Restore LearningGOFUNDME.COM CA</t>
  </si>
  <si>
    <t>S       A                206-3236600  WA</t>
  </si>
  <si>
    <t>WWW.JFSSEATTLE.ORG</t>
  </si>
  <si>
    <t>AplPay GAP US 1715  SEATTLE             WA</t>
  </si>
  <si>
    <t>Clothing</t>
  </si>
  <si>
    <t>AplPay OUTDOOR EMPORSEATTLE             WA</t>
  </si>
  <si>
    <t>AplPay SP JACK JEROMSEATTLE             WA</t>
  </si>
  <si>
    <t>ATLAS FREMONT MALL LLC   SEATTLE      WA</t>
  </si>
  <si>
    <t>lump in clothing, no need to track separately</t>
  </si>
  <si>
    <t>Backcountry</t>
  </si>
  <si>
    <t>CRAFT TREE               ERNAKULAM    II</t>
  </si>
  <si>
    <t>should clothing</t>
  </si>
  <si>
    <t>DECATHLON VYTTILA 1323   KOCHI        II</t>
  </si>
  <si>
    <t>should be clothing</t>
  </si>
  <si>
    <t>Denimio</t>
  </si>
  <si>
    <t>Dick's Sporting Goods</t>
  </si>
  <si>
    <t>Dicks Sporting Goods     Seattle      WA</t>
  </si>
  <si>
    <t>DICKS SPORTING GOODS1419 SEATTLE      WA</t>
  </si>
  <si>
    <t>eBay</t>
  </si>
  <si>
    <t>ELTSA CUSTOM SEWING      SEATTLE      WA</t>
  </si>
  <si>
    <t>change to clothing</t>
  </si>
  <si>
    <t>EPOCH.COM *PINKANDWH San FranciscoCA</t>
  </si>
  <si>
    <t>ETSY, INC.               718-8557955  NY</t>
  </si>
  <si>
    <t>Etsy.com - Multiple Shop 844-6593879  NY</t>
  </si>
  <si>
    <t>Friction Gloves</t>
  </si>
  <si>
    <t>GOODWILL - SEATTLE.      SEATTLE      WA</t>
  </si>
  <si>
    <t>Laughing Buddha</t>
  </si>
  <si>
    <t>Litb</t>
  </si>
  <si>
    <t>MTNGEAR                  120-64662233 WA</t>
  </si>
  <si>
    <t>NORDSTROM DIRECT #0808 800-285-5800 IA</t>
  </si>
  <si>
    <t>NORDSTROM#1 SEATTLE WA</t>
  </si>
  <si>
    <t>PATAGONIA           VENTURA             CA</t>
  </si>
  <si>
    <t>PAYPAL *ARSENIC ANY AR 4029357733 CA</t>
  </si>
  <si>
    <t>PAYPAL *ARSENIC ANY AR 4029357733 VT</t>
  </si>
  <si>
    <t>PAYPAL *ARSENIC ANY ARSEN402-935-7733 CA</t>
  </si>
  <si>
    <t>PAYPAL *EBAY US</t>
  </si>
  <si>
    <t>PAYPAL *ETSY INC         402-935-7733 NY</t>
  </si>
  <si>
    <t>PAYPAL *ETSY INC         4029357733   CA</t>
  </si>
  <si>
    <t>PAYPAL *ETSY INC    4029357733          NY</t>
  </si>
  <si>
    <t>PAYPAL *JINUOKEJM9S</t>
  </si>
  <si>
    <t>PAYPAL *JINUOKEJM9S      4029357733   HK</t>
  </si>
  <si>
    <t>PAYPAL *REI         4252788570          WA</t>
  </si>
  <si>
    <t>PAYPAL *VISHNU FREE 4029357733          UT</t>
  </si>
  <si>
    <t>PAYPAL *VISHNUFREES 4029357733 CA</t>
  </si>
  <si>
    <t>RED LIGHT                SEATTLE      WA</t>
  </si>
  <si>
    <t>REI</t>
  </si>
  <si>
    <t>REI #11 SEATTLE</t>
  </si>
  <si>
    <t>REI #11 SEATTLE          SEATTLE      WA</t>
  </si>
  <si>
    <t>SILK PALACE              IDUKKI       II</t>
  </si>
  <si>
    <t>SP JACK JEROME 120-65245225 WA</t>
  </si>
  <si>
    <t>SP SHOP GOLD DOGS        120-64991811 WA</t>
  </si>
  <si>
    <t>SP STUDIORA BOUTIQUE     120-67172131 WA</t>
  </si>
  <si>
    <t>SP VLOUSNOW.COM VLOUSNOW.COM MD</t>
  </si>
  <si>
    <t>URBAN OUTFITTERS #111    SEATTLE      WA</t>
  </si>
  <si>
    <t>Vans</t>
  </si>
  <si>
    <t>VF OUTDOOR LLC      PORTLAND            OR</t>
  </si>
  <si>
    <t>WWW.CORRYSCLEANING.COM   WWW.CORRYSCLEWA</t>
  </si>
  <si>
    <t>www.REI.com         KENT                WA</t>
  </si>
  <si>
    <t>XERO SHOES 720-259-0374 CO</t>
  </si>
  <si>
    <t>AMERICAN EXPRESS ONLINE PMT ***********7POS</t>
  </si>
  <si>
    <t>Credit Card Payment</t>
  </si>
  <si>
    <t>AMEX EPAYMENT    ACH PMT    ***********4526</t>
  </si>
  <si>
    <t>AMEX EPAYMENT    ACH PMT    ***********4730</t>
  </si>
  <si>
    <t>AMEX EPAYMENT    ACH PMT    ***********5892</t>
  </si>
  <si>
    <t>AMEX EPAYMENT    ACH PMT    ***********8820</t>
  </si>
  <si>
    <t>BA ELECTRONIC PAYMENT</t>
  </si>
  <si>
    <t>how to handle credit card payments?</t>
  </si>
  <si>
    <t>USAA CREDIT CARD PAYMENT</t>
  </si>
  <si>
    <t>USAA CREDIT CARD PAYMENT SAN ANTONIO  TX</t>
  </si>
  <si>
    <t>USAA FSB-OVERDRAFT       SAN ANTONIO  TX</t>
  </si>
  <si>
    <t>4490 SOUTH STATE 100MOUNT CARMEL        UT</t>
  </si>
  <si>
    <t>Dining</t>
  </si>
  <si>
    <t>A Bottle</t>
  </si>
  <si>
    <t>a.saily                  Lewes        DE</t>
  </si>
  <si>
    <t>Anchorhead Coffee</t>
  </si>
  <si>
    <t>ANCHORHEAD COFFEE -</t>
  </si>
  <si>
    <t>AplPay HACHI-KO 0000SEATAC              WA</t>
  </si>
  <si>
    <t>AplPay RAVENNA BREWISeattle             WA</t>
  </si>
  <si>
    <t>AplPay TST* MTR 3007BELLEVUE            WA</t>
  </si>
  <si>
    <t>Ba Bar University</t>
  </si>
  <si>
    <t>Baeckerei Haueter Adelboden</t>
  </si>
  <si>
    <t>Ballard Pizza</t>
  </si>
  <si>
    <t>Banyan Tree Thai RestauraKENT         WA</t>
  </si>
  <si>
    <t>Batch Baking Company Seattle</t>
  </si>
  <si>
    <t>Blazing Bagels</t>
  </si>
  <si>
    <t>Cafe Javasti</t>
  </si>
  <si>
    <t>CAFE JAVASTI             SEATTLE      WA</t>
  </si>
  <si>
    <t>CAFE PASQUAL'S SANTA FE NM</t>
  </si>
  <si>
    <t>Caffe Fiore Qa</t>
  </si>
  <si>
    <t>Canteen Vending Machine</t>
  </si>
  <si>
    <t>CASUALFOOD  2130         Frankfurt am DF</t>
  </si>
  <si>
    <t>CASUALFOOD 2630 1 + APM  Frankfurt am DF</t>
  </si>
  <si>
    <t>Cava Suburban</t>
  </si>
  <si>
    <t>CHAPULIN OAXAQUENO LLC   SEATTLE      WA</t>
  </si>
  <si>
    <t>Chili's</t>
  </si>
  <si>
    <t>CHILI'S DELI             SEATTLE      WA</t>
  </si>
  <si>
    <t>Chipotle</t>
  </si>
  <si>
    <t>CHIPOTLE 0469            BELLEVUE     WA</t>
  </si>
  <si>
    <t>CHIPOTLE 1083            SEATTLE      WA</t>
  </si>
  <si>
    <t>CHIPOTLE 1219            ANN ARBOR    MI</t>
  </si>
  <si>
    <t>CHIPOTLE 1364            BELLEVUE     WA</t>
  </si>
  <si>
    <t>CHIPOTLE 1984            SEATTLE      WA</t>
  </si>
  <si>
    <t>CHIPOTLE 2574            SEATTLE      WA</t>
  </si>
  <si>
    <t>CHIPOTLE 2935            SEATTLE      WA</t>
  </si>
  <si>
    <t>CHIPOTLE 5280            SEATTLE      WA</t>
  </si>
  <si>
    <t>CHIPOTLE 5396            PORT ANGELES WA</t>
  </si>
  <si>
    <t>CHS INC             BLACK DIAMOND       WA</t>
  </si>
  <si>
    <t>CINNAMON WORK'S          SEATTLE      WA</t>
  </si>
  <si>
    <t>should be dining</t>
  </si>
  <si>
    <t>CONCESSIONS @LUMEN FIELD SEATTLE      WA</t>
  </si>
  <si>
    <t>COYOTE CAFE SANTA FE NM</t>
  </si>
  <si>
    <t>CPI*CANTEEN VENDING EVERE800-628-8363 WA</t>
  </si>
  <si>
    <t>CRACKER BARREL #407 MISSOULA            MT</t>
  </si>
  <si>
    <t>Dairy Queen</t>
  </si>
  <si>
    <t>DD *DOORDASH BABAR       DOORDASH.COM CA</t>
  </si>
  <si>
    <t>DD *DOORDASH BAITONGTH   DOORDASH.COM CA</t>
  </si>
  <si>
    <t>DD *DOORDASH DINGFELDE   DOORDASH.COM CA</t>
  </si>
  <si>
    <t>DD *DOORDASH KEDAIMAKA   DOORDASH.COM CA</t>
  </si>
  <si>
    <t>DD *DOORDASH MAMNOON     DOORDASH.COM CA</t>
  </si>
  <si>
    <t>DD *DOORDASH MONSOONSE   DOORDASH.COM CA</t>
  </si>
  <si>
    <t>DD *DOORDASH NOITHAICU   DOORDASH.COM CA</t>
  </si>
  <si>
    <t>DD *DOORDASH SISTERSAN   WWW.DOORDASH.CA</t>
  </si>
  <si>
    <t>DELAURENTI ITALIAN  INTERSEATTLE      WA</t>
  </si>
  <si>
    <t>DICK'S DRIVE IN EDMONDS  EDMONDS      WA</t>
  </si>
  <si>
    <t>Dick's Drive-In</t>
  </si>
  <si>
    <t>Dingfelders Delicat</t>
  </si>
  <si>
    <t>Don and Joe's Meats Seattle</t>
  </si>
  <si>
    <t>DoorDash</t>
  </si>
  <si>
    <t>DUNN GREENLAKE</t>
  </si>
  <si>
    <t>EINSTEIN BROS BAGELS2171 SEATTLE      WA</t>
  </si>
  <si>
    <t>EINSTEIN BROS BAGELS2171 SEATTLE WA</t>
  </si>
  <si>
    <t>EINSTEIN BROS BAGELSSEATTLE             WA</t>
  </si>
  <si>
    <t>Einstein Bros. Bagels</t>
  </si>
  <si>
    <t>El Camion Sand Poi</t>
  </si>
  <si>
    <t>EVEVATED ICECREAM&amp;CANDY  PORT TOWNSENDWA</t>
  </si>
  <si>
    <t>Ext Credit Card Debit TST*BIG MAX BURGER CO    SEATTLE      WA</t>
  </si>
  <si>
    <t>Fishermens Green Market</t>
  </si>
  <si>
    <t>Frankie &amp; Jo's</t>
  </si>
  <si>
    <t>Freddys Brewpub Kelowna</t>
  </si>
  <si>
    <t>GILL'S FOOD &amp; GAS 18ENUMCLAW            WA</t>
  </si>
  <si>
    <t>GOURMET SARAWAK          SINGAPORE    SG</t>
  </si>
  <si>
    <t>GRAIN HOUSE - SEATTL</t>
  </si>
  <si>
    <t>Grubhub</t>
  </si>
  <si>
    <t>Hey Bagel</t>
  </si>
  <si>
    <t>HIGH TREK CHELAN         CHELAN       WA</t>
  </si>
  <si>
    <t>IPPUDO - CHANGI T3       SINGAPORE    SG</t>
  </si>
  <si>
    <t>JACK'S FISH SPOT         SEATTLE      WA</t>
  </si>
  <si>
    <t>JAES ASIAN BISTRO AND SUSSEATTLE      WA</t>
  </si>
  <si>
    <t>Jamaican Me Crazy</t>
  </si>
  <si>
    <t>Jamjuree Thai</t>
  </si>
  <si>
    <t>Jebena Cafe &amp; Market</t>
  </si>
  <si>
    <t>JOHNNY ROCKETS (PACIFIC) SEATTLE      WA</t>
  </si>
  <si>
    <t>JOLLIBEE                 SEATTLE      WA</t>
  </si>
  <si>
    <t>KATHAKALI AN INDIAN EATERKIRKLAND     WA</t>
  </si>
  <si>
    <t>Katsu Burger &amp; Bar</t>
  </si>
  <si>
    <t>KATSU BURGER &amp; BAR       SEATTLE      WA</t>
  </si>
  <si>
    <t>KOMATSU SHOJI, K.K. chuan kou shi       SA</t>
  </si>
  <si>
    <t>Little Coney</t>
  </si>
  <si>
    <t>MA'ONO U VILLAGE    Seattle             WA</t>
  </si>
  <si>
    <t>Macrina - Capitol Hilseattle</t>
  </si>
  <si>
    <t>MAD PIZZA                SEATTLE      WA</t>
  </si>
  <si>
    <t>MAPLE FUELS WASH A TON   MAPLE FALLS  WA</t>
  </si>
  <si>
    <t>Marlai Fine Thai Cuisine</t>
  </si>
  <si>
    <t>MAX UND MORITZ           BERLIN       DF</t>
  </si>
  <si>
    <t>MCDONALD S</t>
  </si>
  <si>
    <t>MCDONALD'S          NORTH BEND          WA</t>
  </si>
  <si>
    <t>Mee Sum Seattle University</t>
  </si>
  <si>
    <t>MENB529 MENCHIES QUEEN   SEATTLE      WA</t>
  </si>
  <si>
    <t>Menchie's Frozen Yogurt</t>
  </si>
  <si>
    <t>METHOW VALLEY CIDERHOUSE WINTHROP     WA</t>
  </si>
  <si>
    <t>METROPOLITAN CAFE &amp; DELI SEATTLE      WA</t>
  </si>
  <si>
    <t>MIGAKU SEATTLE WA</t>
  </si>
  <si>
    <t>Mioposto Eastlake</t>
  </si>
  <si>
    <t>MOD PIZZA BARKLEY        BELLINGHAM   WA</t>
  </si>
  <si>
    <t>Molly Moon's Uvillageseattle</t>
  </si>
  <si>
    <t>Mykidsspending Saas</t>
  </si>
  <si>
    <t>MYKIDSSPENDING.C WK3653025  ***********0060</t>
  </si>
  <si>
    <t>MYKIDSSPENDING.C WK3659988  ***********0060</t>
  </si>
  <si>
    <t>MYKIDSSPENDING.C WK3659989  ***********0060</t>
  </si>
  <si>
    <t>MYKIDSSPENDING.C WK3676201  ***********SAAS</t>
  </si>
  <si>
    <t>MYKIDSSPENDING.C WK3676202  ***********SAAS</t>
  </si>
  <si>
    <t>MYKIDSSPENDING.C WK3685841  ***********SAAS</t>
  </si>
  <si>
    <t>MYKIDSSPENDING.C WK3694491  ***********SAAS</t>
  </si>
  <si>
    <t>MYKIDSSPENDING.C WK3694492  ***********SAAS</t>
  </si>
  <si>
    <t>MYKIDSSPENDING.C WK3703944  ***********SAAS</t>
  </si>
  <si>
    <t>MYKIDSSPENDING.C WK3722462  ***********SAAS</t>
  </si>
  <si>
    <t>MYKIDSSPENDING.C WK3722463  ***********SAAS</t>
  </si>
  <si>
    <t>MYKIDSSPENDING.C WK3738220  ***********SAAS</t>
  </si>
  <si>
    <t>MYKIDSSPENDING.C WK3746675  ***********SAAS</t>
  </si>
  <si>
    <t>MYKIDSSPENDING.C WK3751931  ***********SAAS</t>
  </si>
  <si>
    <t>MYKIDSSPENDING.C WK3751932  ***********SAAS</t>
  </si>
  <si>
    <t>MYKIDSSPENDING.C WK3770937  ***********SAAS</t>
  </si>
  <si>
    <t>MYKIDSSPENDING.C WK3796320  ***********SAAS</t>
  </si>
  <si>
    <t>MYKIDSSPENDING.C WK3796321  ***********SAAS</t>
  </si>
  <si>
    <t>MYKIDSSPENDING.C WK3809164  ***********SAAS</t>
  </si>
  <si>
    <t>MYKIDSSPENDING.C WK3821028  ***********SAAS</t>
  </si>
  <si>
    <t>MYKIDSSPENDING.C WK3833005  ***********SAAS</t>
  </si>
  <si>
    <t>MYKIDSSPENDING.C WK3843016  ***********SAAS</t>
  </si>
  <si>
    <t>MYKIDSSPENDING.C WK3850834  ***********SAAS</t>
  </si>
  <si>
    <t>MYKIDSSPENDING.C WK3850835  ***********SAAS</t>
  </si>
  <si>
    <t>MYKIDSSPENDING.C WK3855504  ***********SAAS</t>
  </si>
  <si>
    <t>MYKIDSSPENDING.C WK3862178  ***********SAAS</t>
  </si>
  <si>
    <t>MYKIDSSPENDING.C WK3868983  ***********SAAS</t>
  </si>
  <si>
    <t>MYKIDSSPENDING.C WK3868984  ***********SAAS</t>
  </si>
  <si>
    <t>MYKIDSSPENDING.C WK3873400  ***********SAAS</t>
  </si>
  <si>
    <t>MYKIDSSPENDING.C WK3881042  ***********SAAS</t>
  </si>
  <si>
    <t>MYKIDSSPENDING.C WK3888152  ***********SAAS</t>
  </si>
  <si>
    <t>MYKIDSSPENDING.C WK3892515  ***********SAAS</t>
  </si>
  <si>
    <t>MYKIDSSPENDING.C WK3901691  ***********SAAS</t>
  </si>
  <si>
    <t>MYKIDSSPENDING.C WK3910102  ***********SAAS</t>
  </si>
  <si>
    <t>MYKIDSSPENDING.C WK3910103  ***********SAAS</t>
  </si>
  <si>
    <t>MYKIDSSPENDING.C WK3915498  ***********SAAS</t>
  </si>
  <si>
    <t>MYKIDSSPENDING.C WK3933828  ***********SAAS</t>
  </si>
  <si>
    <t>MYKIDSSPENDING.C WK3933829  ***********SAAS</t>
  </si>
  <si>
    <t>MYKIDSSPENDING.C WK3962076  ***********SAAS</t>
  </si>
  <si>
    <t>MYKIDSSPENDING.C WK3967614  ***********SAAS</t>
  </si>
  <si>
    <t>MYKIDSSPENDING.C WK3967615  ***********SAAS</t>
  </si>
  <si>
    <t>MYKIDSSPENDING.C WK3971752  ***********SAAS</t>
  </si>
  <si>
    <t>MYKIDSSPENDING.C WK3984191  ***********SAAS</t>
  </si>
  <si>
    <t>MYKIDSSPENDING.C WK3984192  ***********SAAS</t>
  </si>
  <si>
    <t>MYKIDSSPENDING.C WK4004214  ***********SAAS</t>
  </si>
  <si>
    <t>MYKIDSSPENDING.C WK4013565  ***********SAAS</t>
  </si>
  <si>
    <t>MYKIDSSPENDING.C WK4013566  ***********SAAS</t>
  </si>
  <si>
    <t>MYKIDSSPENDING.C WK4019392  ***********SAAS</t>
  </si>
  <si>
    <t>MYKIDSSPENDING.C WK4033611  ***********SAAS</t>
  </si>
  <si>
    <t>MYKIDSSPENDING.C WK4051295  ***********SAAS</t>
  </si>
  <si>
    <t>MYKIDSSPENDING.C WK4051296  ***********SAAS</t>
  </si>
  <si>
    <t>MYKIDSSPENDING.C WK4472118  ***********SAAS</t>
  </si>
  <si>
    <t>MYKIDSSPENDING.C WK4472119  ***********SAAS</t>
  </si>
  <si>
    <t>OHORI'S COFFEE SANTA FE NM</t>
  </si>
  <si>
    <t>Pagliacci Madison</t>
  </si>
  <si>
    <t>PAGLIACCI MADISON        SEATTLE      WA</t>
  </si>
  <si>
    <t>Pagliacci Sand Point</t>
  </si>
  <si>
    <t>PAGLIACCI SAND POINT     206-726-1717 WA</t>
  </si>
  <si>
    <t>PAGLIACCI SAND POINT     SEATTLE      WA</t>
  </si>
  <si>
    <t>Peet's Coffee</t>
  </si>
  <si>
    <t>Peking Garden Ag Zuerich</t>
  </si>
  <si>
    <t>Pho Ever</t>
  </si>
  <si>
    <t>PHO EVER LLC             BELLEVUE     WA</t>
  </si>
  <si>
    <t>PHO SHIZZLE LLC 00-0SEATTLE             WA</t>
  </si>
  <si>
    <t>Pike Place Market Pda</t>
  </si>
  <si>
    <t>PIKE&amp;PINE ST2275         SEATTLE      WA</t>
  </si>
  <si>
    <t>Pilot Flying J</t>
  </si>
  <si>
    <t>PLAID PANTRY #309        SEATTLE      WA</t>
  </si>
  <si>
    <t>Portage Bay Cafe</t>
  </si>
  <si>
    <t>PURE FOOD FISH MARKET    SEATTLE      WA</t>
  </si>
  <si>
    <t>PY *B&amp;E MEATS AND SEAFOODSEATTLE      WA</t>
  </si>
  <si>
    <t>Queen Anne Coffee Co.seattle</t>
  </si>
  <si>
    <t>Queen Caphe Em</t>
  </si>
  <si>
    <t>Rachel's Ginger Beer Seattle</t>
  </si>
  <si>
    <t>RED ROBIN NO 12 SEATTLE WA</t>
  </si>
  <si>
    <t>RESTAURANT CHEF PILLAI   ERNAKULAM    II</t>
  </si>
  <si>
    <t>RIDGE PIZZA</t>
  </si>
  <si>
    <t>RIDGE PIZZA              SEATTLE      WA</t>
  </si>
  <si>
    <t>Roam Bar</t>
  </si>
  <si>
    <t>SANTO COFFEE CO.         SEATTLE      WA</t>
  </si>
  <si>
    <t>SCOTTS DAIRY FREEZE NORTH BEND          WA</t>
  </si>
  <si>
    <t>SEA SMITH COVE 6951113 888-3100583 WA</t>
  </si>
  <si>
    <t>Shake Shack</t>
  </si>
  <si>
    <t>SKAGIT GEN STR           ROCKPORT     WA</t>
  </si>
  <si>
    <t>SPO*BYREK&amp;BAGUETTE       SEATTLE      WA</t>
  </si>
  <si>
    <t>SQ *AUT-TO MOCHA 6       Cashmere     WA</t>
  </si>
  <si>
    <t>SQ *BLANK SLATE CREAMERY Ann Arbor    MI</t>
  </si>
  <si>
    <t>SQ *CAPITOL HILL - WES</t>
  </si>
  <si>
    <t>SQ *CAPITOL HILL - WESTMASeattle      WA</t>
  </si>
  <si>
    <t>SQ *CATERING BY L'EXPERIEBellevue     WA</t>
  </si>
  <si>
    <t>SQ *CINNAMON TWISP BAKERYTWISP        WA</t>
  </si>
  <si>
    <t>SQ *DIPPY'S ICE CREAM    Seattle      WA</t>
  </si>
  <si>
    <t>SQ *DOWNTOWN BAGEL CO    Seattle      WA</t>
  </si>
  <si>
    <t>SQ *DSQUARED HOSPITALITY Seattle      WA</t>
  </si>
  <si>
    <t>SQ *FULCRUM MOUNTAINTOPS Seattle WA</t>
  </si>
  <si>
    <t>SQ *IRWIN'S BAKERY AND CASEATTLE      WA</t>
  </si>
  <si>
    <t>SQ *JUNI VINTAGE         Seattle      WA</t>
  </si>
  <si>
    <t>SQ *MACRINA - CAPITOL HILSeattle      WA</t>
  </si>
  <si>
    <t>SQ *MACRINA BAKERY - ALOHSeattle      WA</t>
  </si>
  <si>
    <t>SQ *MAINSTAY PROVISIONS DSeattle WA</t>
  </si>
  <si>
    <t>SQ *MEOW WOLF SANTA FE LLSanta Fe NM</t>
  </si>
  <si>
    <t>SQ *MIDNIGHT COOKIE COMPASeattle      WA</t>
  </si>
  <si>
    <t>SQ *MIGHTY-O DONUTS CAPITSeattle      WA</t>
  </si>
  <si>
    <t>SQ *MOLLY MOON'S MADRONA Seattle      WA</t>
  </si>
  <si>
    <t>SQ *MOLLY MOON'S UVILLAGESeattle      WA</t>
  </si>
  <si>
    <t>SQ *MOUNTAIN MEALS AND CAChelan       WA</t>
  </si>
  <si>
    <t>SQ *PAYS PROVENCAL       Bainbridge IsWA</t>
  </si>
  <si>
    <t>SQ *PETIT PIERRE BAKERY  Seattle      WA</t>
  </si>
  <si>
    <t>SQ *PICNIC POP-UP CHEESE Cerrillos NM</t>
  </si>
  <si>
    <t>SQ *RAVENNA BREWING CO   Seattle      WA</t>
  </si>
  <si>
    <t>SQ *RAVENNA BREWING CO Seattle WA</t>
  </si>
  <si>
    <t>SQ *SAMURAI NOODLE NATIONSeattle      WA</t>
  </si>
  <si>
    <t>SQ *SEATTLE GRAND CENT</t>
  </si>
  <si>
    <t>SQ *SEATTLE GRAND CENTRALSeattle      WA</t>
  </si>
  <si>
    <t>SQ *SHAKE SHACK          Seattle      WA</t>
  </si>
  <si>
    <t>SQ *SHERIS SWEET SHOPPE  Winthrop     WA</t>
  </si>
  <si>
    <t>SQ *SOUTH LAKE UNION FRESSeattle      WA</t>
  </si>
  <si>
    <t>SQ *SUNRISE COFFEEHOUSE  Port TownsendWA</t>
  </si>
  <si>
    <t>SQ *TINY'S ORGANIC, LL</t>
  </si>
  <si>
    <t>SQ *WESTMAN'S BAGEL AND CSeattle      WA</t>
  </si>
  <si>
    <t>Starbucks</t>
  </si>
  <si>
    <t>STARBUCKS 02810          SEATTLE      WA</t>
  </si>
  <si>
    <t>STARBUCKS 03238          SEATTLE      WA</t>
  </si>
  <si>
    <t>STARBUCKS EVENINGS SEA   SEATTLE      WA</t>
  </si>
  <si>
    <t>STARBUCKS STORE 02810</t>
  </si>
  <si>
    <t>STARBUCKS STORE 02810    SEATTLE      WA</t>
  </si>
  <si>
    <t>STARBUCKS STORE 02810 SEATTLE WA</t>
  </si>
  <si>
    <t>STARBUCKS STORE 02958    SEATTLE      WA</t>
  </si>
  <si>
    <t>STARBUCKS STORE 03204    SEATTLE      WA</t>
  </si>
  <si>
    <t>STARBUCKS STORE 03238    SEATTLE      WA</t>
  </si>
  <si>
    <t>Subway</t>
  </si>
  <si>
    <t>Subway 25523             Seattle      WA</t>
  </si>
  <si>
    <t>Sully Eats</t>
  </si>
  <si>
    <t>SUMMIT AT SNOQUALMIE F&amp;B SNOQUALMIE PAWA</t>
  </si>
  <si>
    <t>Sumup Gastro Wilderswil</t>
  </si>
  <si>
    <t>SWEETGREEN 11TH + PINE   SEATTLE      WA</t>
  </si>
  <si>
    <t>Swing Sandwiches and Seattle</t>
  </si>
  <si>
    <t>TACO BELL 031340         REDMOND      WA</t>
  </si>
  <si>
    <t>Tacos Chukis Central Seattle</t>
  </si>
  <si>
    <t>THE BISTRO          JACKSON             WY</t>
  </si>
  <si>
    <t>THE GRATEFUL BREAD       SEATTLE      WA</t>
  </si>
  <si>
    <t>THE POINT                SEATTLE      WA</t>
  </si>
  <si>
    <t>change to Dining</t>
  </si>
  <si>
    <t>THREE GIRLS BAKERY       SEATTLE      WA</t>
  </si>
  <si>
    <t>Three Sacks Full</t>
  </si>
  <si>
    <t>TIA SOPHIA'S RESTAURANT SANTA FE NM</t>
  </si>
  <si>
    <t>TOCK AT*TAVERN LAW       2063229734   IL</t>
  </si>
  <si>
    <t>TOCK AT*TAVERN LAW TAVERNLAW.CO IL</t>
  </si>
  <si>
    <t>TPD WEDGWOOD 103         SEATTLE      WA</t>
  </si>
  <si>
    <t>top pot doughnuts</t>
  </si>
  <si>
    <t>TRINITY NIGHTCLUB SESeattle             WA</t>
  </si>
  <si>
    <t>TST* ANCHORHEAD COFFEE - SEATTLE      WA</t>
  </si>
  <si>
    <t>TST* BA BAR - CAPITOSEATTLE             WA</t>
  </si>
  <si>
    <t>TST* BBS TERIYAKI GRSEATTLE             WA</t>
  </si>
  <si>
    <t>TST* BURGERMASTER - UNIVESEATTLE      WA</t>
  </si>
  <si>
    <t>TST* CARMELO'S TACOS - CHSEATTLE      WA</t>
  </si>
  <si>
    <t>TST* CHURCHILL'S STESPOKANE             WA</t>
  </si>
  <si>
    <t>TST* EL CAMION - SAND POISEATTLE      WA</t>
  </si>
  <si>
    <t>TST* EL CAMION - SANSEATTLE             WA</t>
  </si>
  <si>
    <t>TST* GRADUATE ANN ARBOR  ANN ARBOR    MI</t>
  </si>
  <si>
    <t>TST* GRAIN HOUSE - SEATTLSEATTLE      WA</t>
  </si>
  <si>
    <t>TST* HEY BAGEL 00206SEATTLE             WA</t>
  </si>
  <si>
    <t>TST* JAMBA JUICE - 521 - SEATTLE      WA</t>
  </si>
  <si>
    <t>TST* MR. WEST - UNIVERSITSEATTLE      WA</t>
  </si>
  <si>
    <t>TST* ROUGH &amp; TUMBLE PUB  SEATTLE      WA</t>
  </si>
  <si>
    <t>TST* SAINT BREAD 000SEATTLE             WA</t>
  </si>
  <si>
    <t>TST*AGUA VERDE CAFE      Seattle      WA</t>
  </si>
  <si>
    <t>TST*ANCHORHEAD COFFEE -  Seattle      WA</t>
  </si>
  <si>
    <t>TST*BLAZING BAGELS - BLA Seattle WA</t>
  </si>
  <si>
    <t>TST*BLAZING BAGELS - ISS Issaquah     WA</t>
  </si>
  <si>
    <t>TST*BOBS BURGER &amp; BREW   Burlington   WA</t>
  </si>
  <si>
    <t>TST*BOMBAY BURGER        Seattle      WA</t>
  </si>
  <si>
    <t>TST*BOUNTY KITCHEN       Seattle      WA</t>
  </si>
  <si>
    <t>TST*EL CAMION - SAND POI Seattle      WA</t>
  </si>
  <si>
    <t>TST*GRAIN HOUSE - SEATTL Seattle      WA</t>
  </si>
  <si>
    <t>TST*HEY BAGEL            Seattle      WA</t>
  </si>
  <si>
    <t>TST*JUPITER              Winthrop     WA</t>
  </si>
  <si>
    <t>TST*MAGNUSON CAFE &amp; BREW Seattle WA</t>
  </si>
  <si>
    <t>TST*MIOPOSTO - RAVENNA   Seattle      WA</t>
  </si>
  <si>
    <t>TST*MOES DARRINGTON      Darrington   WA</t>
  </si>
  <si>
    <t>TST*OUTSIDER BBQ         Seattle      WA</t>
  </si>
  <si>
    <t>TST*SAINT BREAD          Seattle      WA</t>
  </si>
  <si>
    <t>TST*SKILLET REGRADE Seattle WA</t>
  </si>
  <si>
    <t>UW FOOD SERVICES         SEATTLE      WA</t>
  </si>
  <si>
    <t>Vashon Island Baking Vashon</t>
  </si>
  <si>
    <t>Veraci Pizza Ballard Seattle</t>
  </si>
  <si>
    <t>VIETLICIOUS              SEATTLE      WA</t>
  </si>
  <si>
    <t>Violet</t>
  </si>
  <si>
    <t>WATERFRONT PIZZA INC     PORT TOWNSENDWA</t>
  </si>
  <si>
    <t>Whey Pat St Andrews</t>
  </si>
  <si>
    <t>WWW.SWEETGREEN.COM       162-65874164 CA</t>
  </si>
  <si>
    <t>XI'AN NOODLES 0000  SEATTLE             WA</t>
  </si>
  <si>
    <t>ZIRAEL VEGAN RESTAURjing dou shi dong shKY</t>
  </si>
  <si>
    <t>SEATTLE U CAMPUS STORE   SEATTLE      WA</t>
  </si>
  <si>
    <t>Education: Secondary</t>
  </si>
  <si>
    <t>change to education: secondary</t>
  </si>
  <si>
    <t>SEATTLE UNIVERSITY CAMPUSSEATTLE      WA</t>
  </si>
  <si>
    <t>WWW.USSAILING.ORG        WWW.USSAILINGRI</t>
  </si>
  <si>
    <t>AMC 0607 SOUTHCENTER 1</t>
  </si>
  <si>
    <t>Enrichment</t>
  </si>
  <si>
    <t>BAMBU LAB STORE 7027AUSTIN              TX</t>
  </si>
  <si>
    <t>Brownpapertickets.com</t>
  </si>
  <si>
    <t>Game Works</t>
  </si>
  <si>
    <t>Game Works Seattle</t>
  </si>
  <si>
    <t>Glazer's Camera</t>
  </si>
  <si>
    <t>PAYPAL *FANDANGO    8668575191          CA</t>
  </si>
  <si>
    <t>Pro Ski</t>
  </si>
  <si>
    <t>PRO SKI SEATTLE     SEATTLE             WA</t>
  </si>
  <si>
    <t>REG THORNTON 14  193SEATTLE             WA</t>
  </si>
  <si>
    <t>Rowlandphoto.com</t>
  </si>
  <si>
    <t>Saas Game Ticket Seattleacwa</t>
  </si>
  <si>
    <t>Science Olympiad Inc</t>
  </si>
  <si>
    <t>Seattle Mariners</t>
  </si>
  <si>
    <t>SHOVEL              GREENLAND           NH</t>
  </si>
  <si>
    <t>Sky Garden Center</t>
  </si>
  <si>
    <t>SLIDEWATERS WATERPARK    CHELAN       WA</t>
  </si>
  <si>
    <t>SP UNIVERSITY BOOK STO   UBOOKSTORE.COWA</t>
  </si>
  <si>
    <t>ST ANDREWS UNIVERSITFIFE                FI</t>
  </si>
  <si>
    <t>Starfire Sports</t>
  </si>
  <si>
    <t>THIRD PLACE BOOKS ONLINE 206-366-3333 WA</t>
  </si>
  <si>
    <t>Ticketmaster</t>
  </si>
  <si>
    <t>United States Sailing Ass</t>
  </si>
  <si>
    <t>USAA Overdraft</t>
  </si>
  <si>
    <t>UW ASUW BIKE SHOP 00SEATTLE             WA</t>
  </si>
  <si>
    <t>UW FOOD SERVICES    SEATTLE             WA</t>
  </si>
  <si>
    <t>UW FOOD SERVICES 000SEATTLE             WA</t>
  </si>
  <si>
    <t>UW RECREATIONS 0888 SEATTLE             WA</t>
  </si>
  <si>
    <t>CRYSTAL MOUNTAIN 360-663-3020 WA</t>
  </si>
  <si>
    <t>Extracirricular</t>
  </si>
  <si>
    <t>EVO - SEATTLE SEATTLE WA</t>
  </si>
  <si>
    <t>GLAZER'S CAMERA          SEATTLE      WA</t>
  </si>
  <si>
    <t>change to extracurricular</t>
  </si>
  <si>
    <t>Jackson Golf</t>
  </si>
  <si>
    <t>RP* SUMMIT AT SNOQUALM ROVERPASS.COMTX</t>
  </si>
  <si>
    <t>SQ *PANDA PHOTOGRAPHIC LASeattle      WA</t>
  </si>
  <si>
    <t>SUMMIT AT SNOQUALMIE ECOM425-4347669 WA</t>
  </si>
  <si>
    <t>University Book Sto</t>
  </si>
  <si>
    <t>Juan Guzman</t>
  </si>
  <si>
    <t>Gardener</t>
  </si>
  <si>
    <t>VENMO            PAYMENT    ***********1231</t>
  </si>
  <si>
    <t>VENMO            PAYMENT    ***********8396</t>
  </si>
  <si>
    <t>FLEURISH 65000000762SEATTLE             WA</t>
  </si>
  <si>
    <t>Gifts</t>
  </si>
  <si>
    <t>7-ELEVEN 23020           SEATTLE      WA</t>
  </si>
  <si>
    <t>Groceries</t>
  </si>
  <si>
    <t>should be groceries</t>
  </si>
  <si>
    <t>AplPay PY *KETTLE HOMISSOULA            MT</t>
  </si>
  <si>
    <t>APNA BAZAR BELLEVUE      BELLEVUE     WA</t>
  </si>
  <si>
    <t>Bluebirdgra</t>
  </si>
  <si>
    <t>CENTRAL CO-OP            SEATTLE      WA</t>
  </si>
  <si>
    <t>Costco</t>
  </si>
  <si>
    <t>COSTCO BY INSTACART</t>
  </si>
  <si>
    <t>COSTCO BY INSTACART      HTTPSINSTACARCA</t>
  </si>
  <si>
    <t>COSTCO BY INSTACART      INSTACART.COMCA</t>
  </si>
  <si>
    <t>COSTCO BY INSTACART      WWW.COSTCO.COCA</t>
  </si>
  <si>
    <t>COSTCO BY INSTACART      WWW.COSTCO.COWA</t>
  </si>
  <si>
    <t>COSTCO WHSE #0110        ISSAQUAH     WA</t>
  </si>
  <si>
    <t>COSTCO WHSE #1190        LYNNWOOD     WA</t>
  </si>
  <si>
    <t>COSTCO WHSE #1190 LYNNWOOD WA</t>
  </si>
  <si>
    <t>DeLaurenti Food &amp; Wine</t>
  </si>
  <si>
    <t>Dropps</t>
  </si>
  <si>
    <t>DROPPS                   WWW.DROPPS.COIL</t>
  </si>
  <si>
    <t>change to groceries</t>
  </si>
  <si>
    <t>FamilyMart</t>
  </si>
  <si>
    <t>Frank's General Store Cherryville</t>
  </si>
  <si>
    <t>HAGGEN 3460              BELLINGHAM   WA</t>
  </si>
  <si>
    <t>HOLIDAY MARKET           BURLINGTON   WA</t>
  </si>
  <si>
    <t>Hungry Bear Market</t>
  </si>
  <si>
    <t>HUNGRYROOT.COM HUNGRYROOT.CONY</t>
  </si>
  <si>
    <t>IC* INSTACART            INSTACART.COMCA</t>
  </si>
  <si>
    <t>IC* INSTACART*SUBSCRIP   INSTACART.COMCA</t>
  </si>
  <si>
    <t>Instacart</t>
  </si>
  <si>
    <t>Instacart via Instacart</t>
  </si>
  <si>
    <t>Kiosk                    Berlin       DF</t>
  </si>
  <si>
    <t>LITTLE DUCK              120-66952564 WA</t>
  </si>
  <si>
    <t>Madrascartl</t>
  </si>
  <si>
    <t>Metropolitan Market</t>
  </si>
  <si>
    <t>METROPOLITAN MARKET      KIRKLAND     WA</t>
  </si>
  <si>
    <t>METROPOLITAN MKT 15      SEATTLE      WA</t>
  </si>
  <si>
    <t>METROPOLITAN MKT 15 SEATTLE WA</t>
  </si>
  <si>
    <t>METROPOLITAN MKT 156</t>
  </si>
  <si>
    <t>Nourish Foods</t>
  </si>
  <si>
    <t>Oriental Supermarket Kelowna</t>
  </si>
  <si>
    <t>PAYPAL *DROPPS           402-935-7733 IL</t>
  </si>
  <si>
    <t>PCC - BURIEN             BURIEN       WA</t>
  </si>
  <si>
    <t>PCC - VIEW RIDGE         SEATTLE      WA</t>
  </si>
  <si>
    <t>PCC View Ridge</t>
  </si>
  <si>
    <t>QFC                 SEATTLE             WA</t>
  </si>
  <si>
    <t>QFC #5807                SEATTLE      WA</t>
  </si>
  <si>
    <t>QFC #5807 SEATTLE WA</t>
  </si>
  <si>
    <t>QFC #5838                KIRKLAND     WA</t>
  </si>
  <si>
    <t>QFC #5872                SEATTLE      WA</t>
  </si>
  <si>
    <t>Quality Food Centers</t>
  </si>
  <si>
    <t>Safeway</t>
  </si>
  <si>
    <t>SAFEWAY #0423            SEATTLE      WA</t>
  </si>
  <si>
    <t>SAFEWAY #0494 0494  ENUMCLAW            WA</t>
  </si>
  <si>
    <t>SAFEWAY #1551 SEATTLE WA</t>
  </si>
  <si>
    <t>SAFEWAY 3275             SEATTLE      WA</t>
  </si>
  <si>
    <t>Seattle Pops - Farmeredmonds</t>
  </si>
  <si>
    <t>Seattle Pops - Farmerseattle</t>
  </si>
  <si>
    <t>Smith Brothers Farms</t>
  </si>
  <si>
    <t>SMITH BROTHERS FARMS     877-6455626  WA</t>
  </si>
  <si>
    <t>SOSIO'S PRODUCE          SEATTLE      WA</t>
  </si>
  <si>
    <t>SP HONEY STINGER HONEYSTINGER.CO</t>
  </si>
  <si>
    <t>SQ *MAINSTAY PROVISIONS DSeattle      WA</t>
  </si>
  <si>
    <t>SQ *PROCTOR FARMERS MARKESeattle      WA</t>
  </si>
  <si>
    <t>SQ *TINY'S ORGANIC, LLC  Seattle      WA</t>
  </si>
  <si>
    <t>Suncove Market</t>
  </si>
  <si>
    <t>Tanners Seafood Tannersfish Cak</t>
  </si>
  <si>
    <t>Thorp Fruit &amp; Antique Mall</t>
  </si>
  <si>
    <t>Total Wine and More</t>
  </si>
  <si>
    <t>TRADER JOE S #130        SEATTLE      WA</t>
  </si>
  <si>
    <t>UW HFS                   SEATTLE      WA</t>
  </si>
  <si>
    <t>Uwajimaya</t>
  </si>
  <si>
    <t>UWAJIMAYA SEATTLE        SEATTLE      WA</t>
  </si>
  <si>
    <t>WHO GIVES A CRAP, INC.   US.WHOGIVESACNY</t>
  </si>
  <si>
    <t>Whole Foods</t>
  </si>
  <si>
    <t>WHOLEFDS CER 10104 SANTA FE NM</t>
  </si>
  <si>
    <t>WHOLEFDS MBD #10630</t>
  </si>
  <si>
    <t>WHOLEFDS MBD #10630      SEATTLE      WA</t>
  </si>
  <si>
    <t>WHOLEFDS RSQ 10103       SEATTLE      WA</t>
  </si>
  <si>
    <t>Wild Salmon Seafood</t>
  </si>
  <si>
    <t>Apple</t>
  </si>
  <si>
    <t>Hardware Technology</t>
  </si>
  <si>
    <t>Apple Store</t>
  </si>
  <si>
    <t>APPLE STORE  #R072       SEATTLE      WA</t>
  </si>
  <si>
    <t>APPLE.COM/BILL</t>
  </si>
  <si>
    <t>APPLE.COM/BILL           866-712- CREDIT</t>
  </si>
  <si>
    <t>GADGET REHAB             SEATTLE      WA</t>
  </si>
  <si>
    <t>Bella Bikowsky</t>
  </si>
  <si>
    <t>Health &amp; Medical</t>
  </si>
  <si>
    <t>CANNON EYECARE - UV      SEATTLE      WA</t>
  </si>
  <si>
    <t>DEPOSIT@MOBILE</t>
  </si>
  <si>
    <t>Evidence Based Treatment</t>
  </si>
  <si>
    <t>EVIDENCE BASED TREATMENT 206-3740109  WA</t>
  </si>
  <si>
    <t>Helene Russ</t>
  </si>
  <si>
    <t>INUA GROUP               WWW.INUA.GROUMT</t>
  </si>
  <si>
    <t>JARED MICHONSKI, PHD     HTTPSWWW.DRJAWA</t>
  </si>
  <si>
    <t>LISA A. EMERSON, PHD     LINKEDIN.COM/WA</t>
  </si>
  <si>
    <t>should be Health &amp; Medical</t>
  </si>
  <si>
    <t>Mdseelig</t>
  </si>
  <si>
    <t>MDSEELIG                 MDSEELIG.COM WA</t>
  </si>
  <si>
    <t>Mdseelig.com</t>
  </si>
  <si>
    <t>Nature Made Naturemade Coca</t>
  </si>
  <si>
    <t>Northwest Auditory Processing Center</t>
  </si>
  <si>
    <t>OPTUM CARE WA MY CHART   425-258-3900 WA</t>
  </si>
  <si>
    <t>PAYPAL *LABORATORYC      8002227566   NC</t>
  </si>
  <si>
    <t>Peony</t>
  </si>
  <si>
    <t>Pureforyou Cout</t>
  </si>
  <si>
    <t>Sodo Vision Care</t>
  </si>
  <si>
    <t>sound medicine   sound medi ***********C9T0</t>
  </si>
  <si>
    <t>sound medicine   sound medi ***********I7O7</t>
  </si>
  <si>
    <t>sound medicine   sound medi ***********N2J4</t>
  </si>
  <si>
    <t>sound medicine   sound medi ***********U6R7</t>
  </si>
  <si>
    <t>sound medicine   sound medi ***********V2P5</t>
  </si>
  <si>
    <t>sound medicine   sound medi ***********X6V4</t>
  </si>
  <si>
    <t>Sound Medicine Medi</t>
  </si>
  <si>
    <t>SP DMOOSEFITNESS         DMOOSE.COM   WY</t>
  </si>
  <si>
    <t>fitness equip?</t>
  </si>
  <si>
    <t>SP PUREFORYOU            PUREFORYOU.COUT</t>
  </si>
  <si>
    <t>SQ *FRED HUTCH CANCER CENSeattle      WA</t>
  </si>
  <si>
    <t>SQ *KATE GROSSMAN MD PLLCgosq.com     WA</t>
  </si>
  <si>
    <t>SQ *PEONY</t>
  </si>
  <si>
    <t>SQ *PEONY                gosq.com     WA</t>
  </si>
  <si>
    <t>Teton Orthopaedics</t>
  </si>
  <si>
    <t>UW MEDICINE              855-520-0400 WA</t>
  </si>
  <si>
    <t>VIDA INTEGRATED HEALTH   THINKVIDA.COMWA</t>
  </si>
  <si>
    <t>Zenniopticl</t>
  </si>
  <si>
    <t>Alain Bellem</t>
  </si>
  <si>
    <t>Home &amp; Garden</t>
  </si>
  <si>
    <t>Tip for movers</t>
  </si>
  <si>
    <t>Amazon</t>
  </si>
  <si>
    <t>AMAZON MKTPL*273Q84KG3   Amzn.com/billWA</t>
  </si>
  <si>
    <t>change to home &amp; garden</t>
  </si>
  <si>
    <t>AMAZON MKTPL*EC40N97Z3   Amzn.com/billWA</t>
  </si>
  <si>
    <t>AMAZON MKTPL*GF1UN5B83   Amzn.com/billWA</t>
  </si>
  <si>
    <t>AMAZON MKTPL*MW7QB7WZ3   Amzn.com/billWA</t>
  </si>
  <si>
    <t>AMAZON MKTPL*N322C53H1   Amzn.com/billWA</t>
  </si>
  <si>
    <t>AMAZON MKTPL*NI8I808V2   Amzn.com/billWA</t>
  </si>
  <si>
    <t>AMAZON MKTPL*NN6730OD0   Amzn.com/billWA</t>
  </si>
  <si>
    <t>AMAZON MKTPL*P05GB2GW3   Amzn.com/billWA</t>
  </si>
  <si>
    <t>AMAZON MKTPL*QQ4DT5PS3   Amzn.com/billWA</t>
  </si>
  <si>
    <t>AMAZON MKTPL*QZ40E1J43   Amzn.com/billWA</t>
  </si>
  <si>
    <t>AMAZON MKTPL*TH6WJ55D3   Amzn.com/billWA</t>
  </si>
  <si>
    <t>AMAZON MKTPL*US5PT8663   Amzn.com/billWA</t>
  </si>
  <si>
    <t>AMAZON MKTPL*Z52ZS0DB1   Amzn.com/billWA</t>
  </si>
  <si>
    <t>AMAZON MKTPL*Z54JZ8642   Amzn.com/billWA</t>
  </si>
  <si>
    <t>AMAZON MKTPL*Z56Q89YW1   Amzn.com/billWA</t>
  </si>
  <si>
    <t>AMAZON MKTPL*Z58Q362O1   Amzn.com/billWA</t>
  </si>
  <si>
    <t>AMAZON MKTPL*Z702C1CJ2   Amzn.com/billWA</t>
  </si>
  <si>
    <t>AMAZON MKTPL*Z77XG2681   Amzn.com/billWA</t>
  </si>
  <si>
    <t>AMAZON MKTPL*Z79WK7O91   Amzn.com/billWA</t>
  </si>
  <si>
    <t>AMAZON MKTPL*ZC8QI0BP1   Amzn.com/billWA</t>
  </si>
  <si>
    <t>AMAZON MKTPL*ZC9RT2EF1   Amzn.com/billWA</t>
  </si>
  <si>
    <t>AMAZON MKTPL*ZD4US5WL1   Amzn.com/billWA</t>
  </si>
  <si>
    <t>AMAZON MKTPL*ZG4154MU1   Amzn.com/billWA</t>
  </si>
  <si>
    <t>AMAZON MKTPLACE PMTS</t>
  </si>
  <si>
    <t>AMAZON PRIME PMTS        amzn.com/billWA</t>
  </si>
  <si>
    <t>AMAZON PRIME PMTS        Amzn.com/billWA</t>
  </si>
  <si>
    <t>AMAZON PRIME PMTS Amzn.com/bill W CREDIT</t>
  </si>
  <si>
    <t>AMAZON PRIME*213NF2FAMZN.CO.UK/PM       GB</t>
  </si>
  <si>
    <t>AMAZON PRIME*5316N72Q3   amzn.com/billWA</t>
  </si>
  <si>
    <t>AMAZON PRIME*7R96V3LAMZN.CO.UK/PM       GB</t>
  </si>
  <si>
    <t>AMAZON PRIME*7X9QF4S53   Amzn.com/billWA</t>
  </si>
  <si>
    <t>AMAZON PRIME*824L43403   amzn.com/billWA</t>
  </si>
  <si>
    <t>AMAZON PRIME*8H20B7AAMZN.CO.UK/PM       GB</t>
  </si>
  <si>
    <t>AMAZON PRIME*CD8MF53T3   Amzn.com/billWA</t>
  </si>
  <si>
    <t>AMAZON PRIME*CX8JA8F93   Amzn.com/billWA</t>
  </si>
  <si>
    <t>AMAZON PRIME*ME6UU9WAMZN.CO.UK/PM       GB</t>
  </si>
  <si>
    <t>AMAZON PRIME*NW4220JE2   amzn.com/billWA</t>
  </si>
  <si>
    <t>AMAZON PRIME*NZ74Z5X60   Amzn.com/billWA</t>
  </si>
  <si>
    <t>AMAZON PRIME*P68E02BAMZN.CO.UK/PM       GB</t>
  </si>
  <si>
    <t>AMAZON PRIME*RM6V80PAMZN.CO.UK/PM       GB</t>
  </si>
  <si>
    <t>AMAZON PRIME*RV7G20WAMZN.CO.UK/PM       GB</t>
  </si>
  <si>
    <t>AMAZON PRIME*TS9O522T3   amzn.com/billWA</t>
  </si>
  <si>
    <t>Amazon Prime*Z525889Q1   Amzn.com/billWA</t>
  </si>
  <si>
    <t>AMAZON PRIME*Z54N97PA2   amzn.com/billWA</t>
  </si>
  <si>
    <t>AMAZON PRIME*ZT4FY7XAMZN.CO.UK/PM       GB</t>
  </si>
  <si>
    <t>Amazon.com*0B3HR7EO3     Amzn.com/billWA</t>
  </si>
  <si>
    <t>Amazon.com*7J16U4U33     Amzn.com/billWA</t>
  </si>
  <si>
    <t>Amazon.com*BH4NM58A3     Amzn.com/billWA</t>
  </si>
  <si>
    <t>Amazon.com*CS6563T93     Amzn.com/billWA</t>
  </si>
  <si>
    <t>Amazon.com*NN5O80NT1     Amzn.com/billWA</t>
  </si>
  <si>
    <t>Amazon.com*QB3Z36JM3     Amzn.com/billWA</t>
  </si>
  <si>
    <t>Amazon.com*RX1U73SC3     Amzn.com/billWA</t>
  </si>
  <si>
    <t>Amazon.com*Z58QK5JE2     Amzn.com/billWA</t>
  </si>
  <si>
    <t>Amazon.com*ZC3ND69W0     Amzn.com/billWA</t>
  </si>
  <si>
    <t>Amazon.com*ZE7HH6781     Amzn.com/billWA</t>
  </si>
  <si>
    <t>Amazon.com*ZU8UZ1MB0     Amzn.com/billWA</t>
  </si>
  <si>
    <t>AMZ*5a93g3xcp Lumen FieldSeattle      WA</t>
  </si>
  <si>
    <t>AplPay GADGET REHAB SEATTLE             WA</t>
  </si>
  <si>
    <t>CITY PEOPLE`S MERC       SEATTLE      WA</t>
  </si>
  <si>
    <t>COSTCO *ANNUAL RENEWAL   800-774-2678 WA</t>
  </si>
  <si>
    <t>COVERSANDALL.COM         COVERSANDALL.GA</t>
  </si>
  <si>
    <t>COVERSANDALL.COM SUWANEE  GA      CREDIT</t>
  </si>
  <si>
    <t>Dunn Lake Union</t>
  </si>
  <si>
    <t>DUNN LUMBER         SEATTLE             WA</t>
  </si>
  <si>
    <t>Epic Barber Shop</t>
  </si>
  <si>
    <t>Etsy</t>
  </si>
  <si>
    <t>FedEx</t>
  </si>
  <si>
    <t>GRAINGER                 800-4724643  IL</t>
  </si>
  <si>
    <t>HARBOR FREIGHT TOOLS 377 SEATTLE      WA</t>
  </si>
  <si>
    <t>Heartwoods Bonsai &amp; Zseattle</t>
  </si>
  <si>
    <t>HOTWIRE REFRIGERATION    info.hotwire.WA</t>
  </si>
  <si>
    <t>IN *SHADES BY MARKHAM LLC425-4430156 WA</t>
  </si>
  <si>
    <t>should be interior design</t>
  </si>
  <si>
    <t>INTEGRITY ENERGY SYSTEM  425-4194676  WA</t>
  </si>
  <si>
    <t>JENNIFER LOOMIS PHOTSEATTLE             WA</t>
  </si>
  <si>
    <t>JUDAICAWEBSTORE.COM WWW.JUDAICAWENY</t>
  </si>
  <si>
    <t>KENMORE CAMERA           KENMORE      WA</t>
  </si>
  <si>
    <t>KYOTO ARTS, LLC          SEATTLE      WA</t>
  </si>
  <si>
    <t>LEV HAOLAM.COM SBUT RAHEL</t>
  </si>
  <si>
    <t>LOWE'S OF NORTH SEATSEATTLE             WA</t>
  </si>
  <si>
    <t>Luzern Solutions</t>
  </si>
  <si>
    <t>Phillips</t>
  </si>
  <si>
    <t>Macnaught U Macna</t>
  </si>
  <si>
    <t>Maple Leaf Ace</t>
  </si>
  <si>
    <t>MAPLE LEAF ACE           SEATTLE      WA</t>
  </si>
  <si>
    <t>MAPLE LEAF ACE 0000 SEATTLE             WA</t>
  </si>
  <si>
    <t>MAPLE LEAF ACE SEATTLE WA</t>
  </si>
  <si>
    <t>Pamper Haus</t>
  </si>
  <si>
    <t>PAYPAL *ETSY INC SAN JOSE NY</t>
  </si>
  <si>
    <t>PAYPAL *EURO PRO         402-935-7733 MA</t>
  </si>
  <si>
    <t>PAYPAL *RITIK            402-935-7733 CA</t>
  </si>
  <si>
    <t>PP*NORDISCOCOR           8476471424   IL</t>
  </si>
  <si>
    <t>PURPLE INNOVATION LLLEHI                UT</t>
  </si>
  <si>
    <t>R&amp;R PRODUCTS             520-8893593  AZ</t>
  </si>
  <si>
    <t>Rockler Hdwe</t>
  </si>
  <si>
    <t>SNORKEL HOT TUBS INC     800-9626208  WA</t>
  </si>
  <si>
    <t>SP HENSON SHAVING        KITCHENER NORCD</t>
  </si>
  <si>
    <t>SP J-B WELD              ORDER.JBWELD.GA</t>
  </si>
  <si>
    <t>should home &amp; garden</t>
  </si>
  <si>
    <t>SP PEACE LOVE HAPPINES   120-65471211 WA</t>
  </si>
  <si>
    <t>STONEWAY HARDWARE BALL</t>
  </si>
  <si>
    <t>Stoneway Hardware Ballar</t>
  </si>
  <si>
    <t>SWALLOWTAIL GARDEN SEEDS 707-3267070  CA</t>
  </si>
  <si>
    <t>SWANSONS NURSERY 2       SEATTLE      WA</t>
  </si>
  <si>
    <t>TACOMA SCREW PRODUCTS INC</t>
  </si>
  <si>
    <t>TACOMA SCREW PRODUCTS INCSEATTLE      WA</t>
  </si>
  <si>
    <t>The Historic DavenpoSpokane             WA</t>
  </si>
  <si>
    <t>The Home Depot</t>
  </si>
  <si>
    <t>THE HOME DEPOT      REDMOND             WA</t>
  </si>
  <si>
    <t>THE HOME DEPOT #4702</t>
  </si>
  <si>
    <t>THE HOME DEPOT #4706</t>
  </si>
  <si>
    <t>THE HOME DEPOT #4706     SEATTLE      WA</t>
  </si>
  <si>
    <t>TWEEDY &amp; POPP HDWE AT</t>
  </si>
  <si>
    <t>TWEEDY &amp; POPP HDWE AT UW SEATTLE      WA</t>
  </si>
  <si>
    <t>Uline Shipping</t>
  </si>
  <si>
    <t>VENMO *JENARO ROJAS 8558124430          NY</t>
  </si>
  <si>
    <t>WebstaurantStore</t>
  </si>
  <si>
    <t>Who Gives A Crap</t>
  </si>
  <si>
    <t>Williams-Sonoma</t>
  </si>
  <si>
    <t>WILLIAMS-SONOMA 6181SEATTLE             WA</t>
  </si>
  <si>
    <t>WWW.CORRYSCLEANING.COM</t>
  </si>
  <si>
    <t>Zelle Transfer to Oualabasse</t>
  </si>
  <si>
    <t>Zelle: Miguel Luis</t>
  </si>
  <si>
    <t>Zelle: Scott Cavuoto</t>
  </si>
  <si>
    <t>VENMO            PAYMENT    ***********0637</t>
  </si>
  <si>
    <t>Housekeeper</t>
  </si>
  <si>
    <t>VENMO            PAYMENT    ***********0716</t>
  </si>
  <si>
    <t>VENMO            PAYMENT    ***********1610</t>
  </si>
  <si>
    <t>VENMO            PAYMENT    ***********3496</t>
  </si>
  <si>
    <t>VENMO            PAYMENT    ***********4860</t>
  </si>
  <si>
    <t>VENMO            PAYMENT    ***********5391</t>
  </si>
  <si>
    <t>VENMO            PAYMENT    ***********5871</t>
  </si>
  <si>
    <t>VENMO            PAYMENT    ***********7458</t>
  </si>
  <si>
    <t>VENMO            PAYMENT    ***********8457</t>
  </si>
  <si>
    <t>VENMO            PAYMENT    ***********8991</t>
  </si>
  <si>
    <t>FID BKG SVC LLC  MONEYLINE  ***********WWC1</t>
  </si>
  <si>
    <t>Income, Investment</t>
  </si>
  <si>
    <t>Healthy Paws</t>
  </si>
  <si>
    <t>Insurance</t>
  </si>
  <si>
    <t>HEALTHY PAWS PET INSUR   855-898-8991 GA</t>
  </si>
  <si>
    <t>HEALTHY PAWS PET INSUR   WWW.HEALTHYPAGA</t>
  </si>
  <si>
    <t>PROG DIRECT INS  INS PREM   ***********Jude</t>
  </si>
  <si>
    <t>Progressive</t>
  </si>
  <si>
    <t>PROGRESSIVE *INSURANCE   800-776-4737 OH</t>
  </si>
  <si>
    <t>Pure Insurance</t>
  </si>
  <si>
    <t>TRANSAMERICA     PREMIUM    ***********7909</t>
  </si>
  <si>
    <t>Transamerica Premium</t>
  </si>
  <si>
    <t>USAA INSURANCE BILL PAYMENT</t>
  </si>
  <si>
    <t>USAA Insurance Payment</t>
  </si>
  <si>
    <t>USAA INSURANCE PAYMENT   WWW.USAA.COM TX</t>
  </si>
  <si>
    <t>INTEREST PAID</t>
  </si>
  <si>
    <t>Interest Income</t>
  </si>
  <si>
    <t>AAA Membership</t>
  </si>
  <si>
    <t>Membership</t>
  </si>
  <si>
    <t>ANNUAL FEE 07/25 THROUGH 06/26</t>
  </si>
  <si>
    <t>LAURELHURST BEACH CLUB   206-5242010  WA</t>
  </si>
  <si>
    <t>PP*LAURELHURST BEACH CLUBSEATTLE      WA</t>
  </si>
  <si>
    <t>PROCLUB BELLEVUE         BELLEVUE     WA</t>
  </si>
  <si>
    <t>SEATTLE MAKERS      SEATTLE             WA</t>
  </si>
  <si>
    <t>TENNIS CENTER AT SANSEATTLE             WA</t>
  </si>
  <si>
    <t>TONAL SYSTEMS, INC</t>
  </si>
  <si>
    <t>change to subscription/ digital</t>
  </si>
  <si>
    <t>TONAL SYSTEMS, INC       TONAL.COM    CA</t>
  </si>
  <si>
    <t>Ubs Bank Loan Payment</t>
  </si>
  <si>
    <t>Mortgage</t>
  </si>
  <si>
    <t>UBS BANK USA     LOAN PAYMT ***********6302</t>
  </si>
  <si>
    <t>DIAMOND PARKING SERVIC</t>
  </si>
  <si>
    <t>Parking</t>
  </si>
  <si>
    <t>DIAMOND PARKING SERVICES 509-295-6490 WA</t>
  </si>
  <si>
    <t>HANGTAG PARKING          WWW.HANGTAG.IFL</t>
  </si>
  <si>
    <t>LAZ PARKING M28309       SEATTLE      WA</t>
  </si>
  <si>
    <t>METROPOLIS PARKING       METROPOLIS.IOTN</t>
  </si>
  <si>
    <t>ParkWhiz, Inc.</t>
  </si>
  <si>
    <t>ParkWhiz, Inc.           Chicago      IL</t>
  </si>
  <si>
    <t>PAYBYPHONE DIAMOND PAR   877-6102054  WA</t>
  </si>
  <si>
    <t>PAYBYPHONE DIAMOND PARKIN</t>
  </si>
  <si>
    <t>PRIME PARKING SYSTEMS LL RENTON       WA</t>
  </si>
  <si>
    <t>SCC ONLINE PARKING       SEATTLE      WA</t>
  </si>
  <si>
    <t>SDOT PAYBYPHONE PARKING  2066845260   WA</t>
  </si>
  <si>
    <t>SDOT PAYBYPHONE PARKING 206-684-5260 WA</t>
  </si>
  <si>
    <t>SEA AIRPORT PARKING      2067874069   WA</t>
  </si>
  <si>
    <t>SEA AIRPORT PARKING 2067874069 WA</t>
  </si>
  <si>
    <t>UW PAY BY PHONE          SEATTLE      WA</t>
  </si>
  <si>
    <t>UW PAY BY PHONE 206-685-1553 WA</t>
  </si>
  <si>
    <t>EPIC BARBER SHOP         SEATTLE      WA</t>
  </si>
  <si>
    <t>Personal Care</t>
  </si>
  <si>
    <t>change to health &amp; medical</t>
  </si>
  <si>
    <t>FULLSCRIPT* R588685504 HTTPSUS.FULLSNH</t>
  </si>
  <si>
    <t>SQ *DRIFTWOOD NATURAL SKIgosq.com WA</t>
  </si>
  <si>
    <t>SQ *STYLECLASSEDGE       Seattle      WA</t>
  </si>
  <si>
    <t>Vagaro_*Refine Nails a SEATTLE WA</t>
  </si>
  <si>
    <t>ALL THE BEST PET CARE    206-529-8000 WA</t>
  </si>
  <si>
    <t>Pets</t>
  </si>
  <si>
    <t>Chewy</t>
  </si>
  <si>
    <t>Healthy Paws Debitpmt</t>
  </si>
  <si>
    <t>Healthy Paws Pet Insur</t>
  </si>
  <si>
    <t>HEALTHY PAWS PET INSURAN TRACIM@HEALTHPA</t>
  </si>
  <si>
    <t>Monica's Grooming</t>
  </si>
  <si>
    <t>Mud Bay Pet Supplies</t>
  </si>
  <si>
    <t>MUD BAY UNIVERSITY VILLAGSEATTLE      WA</t>
  </si>
  <si>
    <t>MUD BAY UNIVERSITY VILLAGSEATTLE WA</t>
  </si>
  <si>
    <t>PAYPAL *PETSNOWY         402-935-7733 CA</t>
  </si>
  <si>
    <t>Posh Paws</t>
  </si>
  <si>
    <t>RAVENNA ANIMAL HOSPITAL  SEATTLE      WA</t>
  </si>
  <si>
    <t>BARTELL DRUG 06931       SEATTLE      WA</t>
  </si>
  <si>
    <t>Pharmacy</t>
  </si>
  <si>
    <t>BARTELL DRUG 06973 SEATTLE WA</t>
  </si>
  <si>
    <t>CVS/PHARMACY #10387      SEATTLE      WA</t>
  </si>
  <si>
    <t>KATTERMANS SAND POINSEATTLE             WA</t>
  </si>
  <si>
    <t>Kattermans Sand Point</t>
  </si>
  <si>
    <t>KATTERMANS SAND POINT PHA</t>
  </si>
  <si>
    <t>KATTERMANS SAND POINT PHASEATTLE      WA</t>
  </si>
  <si>
    <t>THORNE RESEARCH     SUMMERVILLE         SC</t>
  </si>
  <si>
    <t>Walgreens</t>
  </si>
  <si>
    <t>ANTHROPIC           SAN FRANCISCO       CA</t>
  </si>
  <si>
    <t>Professional</t>
  </si>
  <si>
    <t>CLAUDE.AI SUBSCRIPTISAN FRANCISCO       CA</t>
  </si>
  <si>
    <t>CLINE BOT INC       WILMINGTON          DE</t>
  </si>
  <si>
    <t>CURSOR, AI POWERED INEW YORK            NY</t>
  </si>
  <si>
    <t>GOOGLE *CLOUD 3C872W     g.co/helppay#CA</t>
  </si>
  <si>
    <t>GOOGLE *CLOUD 4TM9zV     g.co/HelpPay#CA</t>
  </si>
  <si>
    <t>GOOGLE *CLOUD Dx3V98     g.co/HelpPay#CA</t>
  </si>
  <si>
    <t>GOOGLE *CLOUD Q6vC4L     g.co/helppay#CA</t>
  </si>
  <si>
    <t>GOOGLE *CLOUD wB3WJ7     g.co/HelpPay#CA</t>
  </si>
  <si>
    <t>Google Cloud</t>
  </si>
  <si>
    <t>GOOGLE*CLOUD 75HWWL      G.CO/HELPPAY#CA</t>
  </si>
  <si>
    <t>GOOGLE*CLOUD 7DHR2D      G.CO/HELPPAY#CA</t>
  </si>
  <si>
    <t>HP *INSTANT INK          855-785-2777 CA</t>
  </si>
  <si>
    <t>HP Instant Ink</t>
  </si>
  <si>
    <t>LinkedIn</t>
  </si>
  <si>
    <t>LINKEDINPREC *110476MOUNTAIN VIEW</t>
  </si>
  <si>
    <t>LINKEDINPREC *228987MOUNTAIN VIEW</t>
  </si>
  <si>
    <t>LINKEDINPREC *552653MOUNTAIN VIEW</t>
  </si>
  <si>
    <t>LINKEDINPREC *679157MOUNTAIN VIEW</t>
  </si>
  <si>
    <t>Lucillia</t>
  </si>
  <si>
    <t>OPENAI              SAN FRANCISCO       CA</t>
  </si>
  <si>
    <t>OPENAI *CHATGPT SUBSSAN FRANCISCO       CA</t>
  </si>
  <si>
    <t>OPENAI* CHATGPT CREDSAN FRANCISCO       CA</t>
  </si>
  <si>
    <t>PAYPAL *SYDNEY.MARIEJO   402-935-7733 CA</t>
  </si>
  <si>
    <t>SQSP* DOMAIN#2019485NEW YORK            NY</t>
  </si>
  <si>
    <t>SQSP* DOMAIN#2019489NEW YORK            NY</t>
  </si>
  <si>
    <t>SQSP* DOMAIN#2021995NEW YORK            NY</t>
  </si>
  <si>
    <t>SQSP* DOMAIN#2023197NEW YORK            NY</t>
  </si>
  <si>
    <t>SQSP* DOMAIN#2057487NEW YORK            NY</t>
  </si>
  <si>
    <t>SQSP* DOMAIN#2061082NEW YORK            NY</t>
  </si>
  <si>
    <t>Stephanie Kuzell</t>
  </si>
  <si>
    <t>Sydney.mariejo</t>
  </si>
  <si>
    <t>ACT THEATRE WEB 206-292-7660 WA</t>
  </si>
  <si>
    <t>R&amp;R</t>
  </si>
  <si>
    <t>shorten to R&amp;R</t>
  </si>
  <si>
    <t>FSP*SEATTLE BOULDERING PRSEATTLE      WA</t>
  </si>
  <si>
    <t>GAME WORKS SEATTLE KIOSKSSEATTLE      WA</t>
  </si>
  <si>
    <t>GEORGIA O'KEEFFE MUSEUM SANTA FE NM</t>
  </si>
  <si>
    <t>HIST MUSEUM/PALACE OF GO 5054765101 NM</t>
  </si>
  <si>
    <t>Seattle Symphony         Seattle      WA</t>
  </si>
  <si>
    <t>should be entertainment</t>
  </si>
  <si>
    <t>TEN THOUSAND WAVES 150-59829304 NM</t>
  </si>
  <si>
    <t>ADOBE Adobe Systems SAN JOSE            CA</t>
  </si>
  <si>
    <t>Subscriptions / Digital</t>
  </si>
  <si>
    <t>APPLE.COM/BILL           866-712-7753 CA</t>
  </si>
  <si>
    <t>Borowitzreport Substac Borowitzreporca</t>
  </si>
  <si>
    <t>DISCORD* NITROYEARLYSAN FRANCISCO       CA</t>
  </si>
  <si>
    <t>GLOBAL JEWISH FUTURE     FUTUREOFJEWISCA</t>
  </si>
  <si>
    <t>should subscriptions/ digital</t>
  </si>
  <si>
    <t>GOOGLE *Disney Mobile 855-836-3987 CA</t>
  </si>
  <si>
    <t>GOOGLE *Duolingo 855-836-3987 CA</t>
  </si>
  <si>
    <t>GOOGLE *Google Nest      855-836-3987 CA</t>
  </si>
  <si>
    <t>should be subscriptions / digital</t>
  </si>
  <si>
    <t>HBOMAX</t>
  </si>
  <si>
    <t>HLU*HULUPLUS             hulu.com/billCA</t>
  </si>
  <si>
    <t>Hulu</t>
  </si>
  <si>
    <t>Hulu                     877-8244858  CA</t>
  </si>
  <si>
    <t>Kindle Svcs*7W2RQ5QE3    888-802-3080 WA</t>
  </si>
  <si>
    <t>Libro.fm</t>
  </si>
  <si>
    <t>LIBRO.FM AUDIOBOOKS      413-206-9290 WA</t>
  </si>
  <si>
    <t>MIGADU.COM EMAIL SRVSCHACHEN B. REUTE   ZH</t>
  </si>
  <si>
    <t>Netflix</t>
  </si>
  <si>
    <t>Netflix                  1 8445052993 CA</t>
  </si>
  <si>
    <t>Netflix.com              408-5403700  CA</t>
  </si>
  <si>
    <t>Netflix.com              netflix.com  CA</t>
  </si>
  <si>
    <t>NETFLIX.COM              NETFLIX.COM  CA</t>
  </si>
  <si>
    <t>NYTimes.COM NY TIMES(800)698-4637       NY</t>
  </si>
  <si>
    <t>NYTIMES* 800-698-4637 NY</t>
  </si>
  <si>
    <t>PAYPAL *STEAM GAMES 4259522985          WA</t>
  </si>
  <si>
    <t>Prime Video *ZD7N08B62   888-802-3080 WA</t>
  </si>
  <si>
    <t>Prime Video *ZG4NX6QF0   888-802-3080 WA</t>
  </si>
  <si>
    <t>Prime Video *ZP4IK6970   888-802-3080 WA</t>
  </si>
  <si>
    <t>QUICKEN INC 650-250-1900 CA</t>
  </si>
  <si>
    <t>REMARKABLE          OSLO                OS</t>
  </si>
  <si>
    <t>REMARKABLE OSLO</t>
  </si>
  <si>
    <t>Spotify</t>
  </si>
  <si>
    <t>Spotify USA              877-7781161  NY</t>
  </si>
  <si>
    <t>Thefp.com</t>
  </si>
  <si>
    <t>Tonal.com</t>
  </si>
  <si>
    <t>Fisheries Supply</t>
  </si>
  <si>
    <t>Syc</t>
  </si>
  <si>
    <t>North Lake Marina</t>
  </si>
  <si>
    <t>American Express Credit Card</t>
  </si>
  <si>
    <t>AMEX CLEAR PLUS CREDIT</t>
  </si>
  <si>
    <t>ELECTRONIC PAYMENT RECEIVED-THANK</t>
  </si>
  <si>
    <t>Ext Credit Card Credit PAYMENT - THANK YOU      BEAVERTON    OR</t>
  </si>
  <si>
    <t>Fidelity Brokerage Services</t>
  </si>
  <si>
    <t>OD CC ADVANCE</t>
  </si>
  <si>
    <t>ONLINE PAYMENT - THANK YOU</t>
  </si>
  <si>
    <t>USAA Credit Card</t>
  </si>
  <si>
    <t>USAA FUNDS TRANSFER CR</t>
  </si>
  <si>
    <t>USAA FUNDS TRANSFER DB</t>
  </si>
  <si>
    <t>USAA Transfer</t>
  </si>
  <si>
    <t>LYFT   *1 RIDE 04-18     LYFT.COM     CA</t>
  </si>
  <si>
    <t>Transportation</t>
  </si>
  <si>
    <t>change to transportation</t>
  </si>
  <si>
    <t>UBER *TRIP HELP.UBER.COM help.uber.comNL</t>
  </si>
  <si>
    <t>AEROP. ADOLFO SUAREZ MADRMADRID       ES</t>
  </si>
  <si>
    <t>Travel</t>
  </si>
  <si>
    <t>ALASKA AIR 0272394527601SEATTLE WA</t>
  </si>
  <si>
    <t>shorten to travel</t>
  </si>
  <si>
    <t>ALCAMPO LOGRONO          LOGRONO      ES</t>
  </si>
  <si>
    <t>ALIMENTACION PRIMOS      LOGRONO      ES</t>
  </si>
  <si>
    <t>ALOFT TOKYO GINZA -C*                   JP</t>
  </si>
  <si>
    <t>AMERICAN EXPRESS TRASEATTLE             WA</t>
  </si>
  <si>
    <t>Amk Bryce Canyon Gift</t>
  </si>
  <si>
    <t>ANA AIR 2057210998390SEATTLE WA</t>
  </si>
  <si>
    <t>ANA AIR 2057210998391SEATTLE WA</t>
  </si>
  <si>
    <t>AP-1 ARABAT MOND-ETXA    GASTEIZ-VITO ES</t>
  </si>
  <si>
    <t>Apartments St Glasgow</t>
  </si>
  <si>
    <t>AplPay 2420 SPANISH MOAB                UT</t>
  </si>
  <si>
    <t>AplPay ALBERTSONS #0MISSOULA            MT</t>
  </si>
  <si>
    <t>AplPay CIRCLE K 6558SPOKANE VALLE       WA</t>
  </si>
  <si>
    <t>AplPay CITY-MARKET #CORTEZ              CO</t>
  </si>
  <si>
    <t>AplPay DURANGO BAGELDURANGO             CO</t>
  </si>
  <si>
    <t>AplPay FUEL STOP 113EVANSTON            WY</t>
  </si>
  <si>
    <t>AplPay GIFF'S BARBECKANAB               UT</t>
  </si>
  <si>
    <t>AplPay GOOD FOOD STOMISSOULA            MT</t>
  </si>
  <si>
    <t>AplPay HEALTHY BEINGJackson             WY</t>
  </si>
  <si>
    <t>AplPay LS TUBA CITY TUBA CITY           AZ</t>
  </si>
  <si>
    <t>AplPay MAVERIK #353 JACKSON             WY</t>
  </si>
  <si>
    <t>AplPay MAVERIK #581 CLEARFIELD          UT</t>
  </si>
  <si>
    <t>AplPay MESA VERDE VIMANCOS              CO</t>
  </si>
  <si>
    <t>AplPay MOBILE PASMO TOKYO               JP</t>
  </si>
  <si>
    <t>AplPay NATURAL GROCEDURANGO             CO</t>
  </si>
  <si>
    <t>AplPay REI #231 JACKJACKSON             WY</t>
  </si>
  <si>
    <t>AplPay SPEEDWAY 4631TUBA CITY           AZ</t>
  </si>
  <si>
    <t>AplPay SPOKANE KOA  SPOKANE VALLEY      WA</t>
  </si>
  <si>
    <t>AplPay THREE FORKS KTHREE FORKS         MT</t>
  </si>
  <si>
    <t>AplPay TOWNPUMP WHITWHITEHALL           MT</t>
  </si>
  <si>
    <t>AplPay TST* HIDEAWAYSEDONA              AZ</t>
  </si>
  <si>
    <t>AplPay TST* UMI SUSHSPOKANE             WA</t>
  </si>
  <si>
    <t>AplPay WALKER TRUE VMOAB                UT</t>
  </si>
  <si>
    <t>AplPay WESTGATE STATWEST YELLOWST       MT</t>
  </si>
  <si>
    <t>APPLE ANNIES ANTIQUE GALLCASHMERE     WA</t>
  </si>
  <si>
    <t>ARASHIYUGIONBETTEI AKYOTO               JP</t>
  </si>
  <si>
    <t>ARRIZUL CONGRESS         SAN SEBASTIANES</t>
  </si>
  <si>
    <t>ASUTYKYOTO ASUTYSHINJAPAN               JP</t>
  </si>
  <si>
    <t>At Seattleaquarium</t>
  </si>
  <si>
    <t>ATPSEITT  M-50S-&amp;gt;N-IITMADRID       ES</t>
  </si>
  <si>
    <t>Autobacs Osaka</t>
  </si>
  <si>
    <t>AVIS RENT A CAR     MISSOULA            MT</t>
  </si>
  <si>
    <t>AZZIST MEMBER       TOKYO               JP</t>
  </si>
  <si>
    <t>BACKWATER RIPPLES PRIV   KOTTAYAM     II</t>
  </si>
  <si>
    <t>BAKERY CAFE C NAMBA *                   JP</t>
  </si>
  <si>
    <t>BAR LA SENDA             LOGRONO      ES</t>
  </si>
  <si>
    <t>BAR PRADOVIEJO           LOGRONO      ES</t>
  </si>
  <si>
    <t>BIDEGI A8/A1 GIPUZKOA    DONOSTIA-SAN ES</t>
  </si>
  <si>
    <t>BODEGAS PAGOS DE GANUZA  OYON         ES</t>
  </si>
  <si>
    <t>BODEGON EL REFUGIO       LOGRO/O      ES</t>
  </si>
  <si>
    <t>Bumpodo</t>
  </si>
  <si>
    <t>stationery in japan</t>
  </si>
  <si>
    <t>CALENDA PORTALES         LOGRO/O      ES</t>
  </si>
  <si>
    <t>CARNICERIA INAKI BALERDI DONOSTIA-SAN ES</t>
  </si>
  <si>
    <t>CASA VICTOR              LOGROO       ES</t>
  </si>
  <si>
    <t>CENTARAGRANDHOTELOSAOSAKA               JP</t>
  </si>
  <si>
    <t>CIAL DUTYFREE AND RETA   ERNAKULAM    II</t>
  </si>
  <si>
    <t>change to travel</t>
  </si>
  <si>
    <t>Circle K</t>
  </si>
  <si>
    <t>CITY MARKET #0208 FUCORTEZ              CO</t>
  </si>
  <si>
    <t>City of Durango</t>
  </si>
  <si>
    <t>City of Seattle, Passport</t>
  </si>
  <si>
    <t>City of Umatilla</t>
  </si>
  <si>
    <t>CL *TRIPCHARGES          TRIPCHRG.COM VA</t>
  </si>
  <si>
    <t>CLEAR *CLEARME.COM  NEW YORK            NY</t>
  </si>
  <si>
    <t>COCOKARAFINE        KANAGAWA            JP</t>
  </si>
  <si>
    <t>Crazy Sports Adelboden</t>
  </si>
  <si>
    <t>CSA-GGA-DAMAGE INSURAN clover.com CA</t>
  </si>
  <si>
    <t>CU4TRO                   LOGRONO      ES</t>
  </si>
  <si>
    <t>DAISO JAPAN - ION SINGAPORE</t>
  </si>
  <si>
    <t>DIPMAHALTAMEIKESANNOTOKYO               JP</t>
  </si>
  <si>
    <t>DTW CNBC SMARTSHOP       Detroit      MI</t>
  </si>
  <si>
    <t>DTW MOD Pizza            Detroit      MI</t>
  </si>
  <si>
    <t>DUNHAMS 068              ALPENA       MI</t>
  </si>
  <si>
    <t>E.S. MUSAKOLA            MONDRAGON    ES</t>
  </si>
  <si>
    <t>EIRAKUYA            KYOTO               JP</t>
  </si>
  <si>
    <t>EL ANGEL PORTALES        LOGRONO      ES</t>
  </si>
  <si>
    <t>ENXALAO                  DONOSTIA     ES</t>
  </si>
  <si>
    <t>Erlebnisdrogerie Adelboden</t>
  </si>
  <si>
    <t>Expedia</t>
  </si>
  <si>
    <t>EXPEDIA 72063891554924   EXPEDIA.COM  NV</t>
  </si>
  <si>
    <t>EXPEDIA 73119260004408   EXPEDIA.COM  WA</t>
  </si>
  <si>
    <t>EXPEDIA 732451371614EXPEDIA.COM         WA</t>
  </si>
  <si>
    <t>EXPMONCAL                LOGRONO      ES</t>
  </si>
  <si>
    <t>EXPO2025TICKETSITE OSAKA</t>
  </si>
  <si>
    <t>FURETSUSHIYUMA-TOO-KESUTO</t>
  </si>
  <si>
    <t>GASOLEOS MARQUEZ, S.L.   ALMAZAN (SORIES</t>
  </si>
  <si>
    <t>GEKKEIKAN OKURAKINENKYOTO               JP</t>
  </si>
  <si>
    <t>GESTORES DE DEPORTE Y DESSAN SEBASTIANES</t>
  </si>
  <si>
    <t>GINREITAXI          KYOTO               JP</t>
  </si>
  <si>
    <t>GLOVER STREET MARKET     TWISP        WA</t>
  </si>
  <si>
    <t>GOSEA                    DONOSTIA     ES</t>
  </si>
  <si>
    <t>HAKONE KOWAKIEN TENY*                   JP</t>
  </si>
  <si>
    <t>HATTORI TAXI        OSAKA               JP</t>
  </si>
  <si>
    <t>HAWAIIAN AIRLINES HOHONOLULU</t>
  </si>
  <si>
    <t>Heinemann Duty Free/Fil.2Schonefeld   DF</t>
  </si>
  <si>
    <t>HOTEL SILKEN PUERTA MA   MADRID       ES</t>
  </si>
  <si>
    <t>HYATT AT OLIVE 8 F&amp;B     SEATTLE      WA</t>
  </si>
  <si>
    <t>INTERGLOBE AA3LPUW44430  GURGAON HARYAII</t>
  </si>
  <si>
    <t>INTERGLOBE AE53W3Q55443  GURGAON HARYAII</t>
  </si>
  <si>
    <t>INTERGLOBE AQZ3CVI46981  GURGAON HARYAII</t>
  </si>
  <si>
    <t>ITALIAN FAMILY PIZZA     131-27305592 IL</t>
  </si>
  <si>
    <t>ITO-YA</t>
  </si>
  <si>
    <t>ITOYA HONTEN</t>
  </si>
  <si>
    <t>JOLLY PUMPKIN DTW        DETROIT      MI</t>
  </si>
  <si>
    <t>JR CENTRAL          JAPAN               JP</t>
  </si>
  <si>
    <t>JR TOKAI TOURS KYOTOKYOTO               JP</t>
  </si>
  <si>
    <t>JR WEST             JAPAN               JP</t>
  </si>
  <si>
    <t>JRC SMART EX        TOKYO               JP</t>
  </si>
  <si>
    <t>KARAKU -KYOTO-SHI KY*                   JP</t>
  </si>
  <si>
    <t>KARRIKA TABERNA          DONOSTIA     ES</t>
  </si>
  <si>
    <t>KUROCHIKU           KYOTO               JP</t>
  </si>
  <si>
    <t>Lagardere Fil. 272       Frankfurt am DF</t>
  </si>
  <si>
    <t>LAVANDERIA OPEN BLUE     LOGRONO      ES</t>
  </si>
  <si>
    <t>LE MERIDIEN KOCHI FRON   ERNAKULAM    II</t>
  </si>
  <si>
    <t>LEMERIDIEN KOCHI         ERNAKULAM    II</t>
  </si>
  <si>
    <t>Lime</t>
  </si>
  <si>
    <t>Logrono</t>
  </si>
  <si>
    <t>LUFTHAN     2204087702866NEW YORK     NY</t>
  </si>
  <si>
    <t>LUFTHAN     2204088682200NEW YORK     NY</t>
  </si>
  <si>
    <t>lufthansa.com</t>
  </si>
  <si>
    <t>LYSA MODA Y COMPLEMENTOS MADRID       ES</t>
  </si>
  <si>
    <t>M S HARRISONS MALAYALAM  ERNAKULAM    II</t>
  </si>
  <si>
    <t>should be travel</t>
  </si>
  <si>
    <t>M S HARRISONS MALAYALAM  IDUKKI       II</t>
  </si>
  <si>
    <t>MAISENDO GIONTEN    KYOTO               JP</t>
  </si>
  <si>
    <t>MARIA ESTHER MARTINEZ    DONOSTIA SAN ES</t>
  </si>
  <si>
    <t>MASHSG SINGAPORE</t>
  </si>
  <si>
    <t>MESA VERDE NATIONAL MESA VERDE NA       CO</t>
  </si>
  <si>
    <t>MUNNAR SPICE PALACE      IDUKKI       II</t>
  </si>
  <si>
    <t>Navajo Nation Monument Vamonument Vallut</t>
  </si>
  <si>
    <t>NOCHE Y DIA GRAN VIA 67  LOGRONO      ES</t>
  </si>
  <si>
    <t>OBUBUTEA AIR        KYOTO               JP</t>
  </si>
  <si>
    <t>Oester Sport Ag Adelboden</t>
  </si>
  <si>
    <t>ONLY YOU HOTEL ATOCHA    MADRID       ES</t>
  </si>
  <si>
    <t>Orca</t>
  </si>
  <si>
    <t>ORCA                     8889886722   WA</t>
  </si>
  <si>
    <t>OSAKA CASTLE        OSAKA               JP</t>
  </si>
  <si>
    <t>PAMPANO EVENTOS          LOGRONO      ES</t>
  </si>
  <si>
    <t>PARKING OKENDO-PAGO EMV  DONOSTIA-SAN ES</t>
  </si>
  <si>
    <t>PASSPORTSERVICES PAYMENT    4771</t>
  </si>
  <si>
    <t>PAYPAL *STATEBANKIN      2227535771   SG</t>
  </si>
  <si>
    <t>PAYPAL *TRAINLINE        07725264272  GB</t>
  </si>
  <si>
    <t>PHOTAIR 18               FRANKFURT    DF</t>
  </si>
  <si>
    <t>PY *RANCHO SEDONA RVSEDONA              AZ</t>
  </si>
  <si>
    <t>Raccolto</t>
  </si>
  <si>
    <t>Rancho Sedona Rv Parksedona Az via Payrix</t>
  </si>
  <si>
    <t>RESTAURANTE EL MANA      LOGRONO      ES</t>
  </si>
  <si>
    <t>RESTAURANTE MONTYS       MADRID       ES</t>
  </si>
  <si>
    <t>RESTAURANTE TAL CUAL     LOGRONO      ES</t>
  </si>
  <si>
    <t>Sandoratsugu Fuchu</t>
  </si>
  <si>
    <t>SARAHS HAND EMBROIDERY   ERNAKULAM    II</t>
  </si>
  <si>
    <t>Sarasa N/AP15 NAVARRA    PAMPLONA     ES</t>
  </si>
  <si>
    <t>SCANDINAVIAN AIRLINEUNITED STATES OF AME</t>
  </si>
  <si>
    <t>SERCOTEL LOGRONO         LOGRONO      ES</t>
  </si>
  <si>
    <t>SHELLFISH LOGRONO        LOGRONO      ES</t>
  </si>
  <si>
    <t>Shree Gas Station</t>
  </si>
  <si>
    <t>SIMPLY CHILE             LOGRONO      ES</t>
  </si>
  <si>
    <t>SINGAPOREAIR6184574088375 -  NY   CREDIT</t>
  </si>
  <si>
    <t>SINGAPOREAIR6184574088376 -  NY   CREDIT</t>
  </si>
  <si>
    <t>SMOKEANDSPIN        OSAKA               JP</t>
  </si>
  <si>
    <t>Souvenir Scheidegger Adelboden</t>
  </si>
  <si>
    <t>SP A LA MAISON DE PR     ALAMAISONDEPRFL</t>
  </si>
  <si>
    <t>SPICE TREE MUNNAR        IDUKKI       II</t>
  </si>
  <si>
    <t>SQ*ZAKKA&amp;BOLO TORITO TE</t>
  </si>
  <si>
    <t>dining japan</t>
  </si>
  <si>
    <t>SUN MOUNTAIN LODGE       WINTHROP     WA</t>
  </si>
  <si>
    <t>SUSHI KIZAEMON AIR  KYOTO               JP</t>
  </si>
  <si>
    <t>TAXI CARD OSAKA KOZIOSAKA               JP</t>
  </si>
  <si>
    <t>Teamlab Planets Tokyo</t>
  </si>
  <si>
    <t>Teapond Kiyosumi-shiratokyo</t>
  </si>
  <si>
    <t>Tsutayabutsukusutoaapitsutokyo</t>
  </si>
  <si>
    <t>TSUTENKAKU          OSAKA               JP</t>
  </si>
  <si>
    <t>Uw Trans Pay Station</t>
  </si>
  <si>
    <t>Val the View Campgroun Oljato Monumeaz</t>
  </si>
  <si>
    <t>Visa Provisioning Service</t>
  </si>
  <si>
    <t>Vrbo HA6L44TX 512-759-0902 TX</t>
  </si>
  <si>
    <t>WA PARKSRESERVATIONSWEB  398293706httpWA</t>
  </si>
  <si>
    <t>WA PARKSRESERVATIONSWEB  948760235httpWA</t>
  </si>
  <si>
    <t>Washington State Ferries</t>
  </si>
  <si>
    <t>Washington Vehicle Licensing</t>
  </si>
  <si>
    <t>YASAKA              KYOTO               JP</t>
  </si>
  <si>
    <t>YELLOWSTONE NATIONALYELWSTN NL PK       WY</t>
  </si>
  <si>
    <t>YUCATAN                  MADRID       ES</t>
  </si>
  <si>
    <t>ZMARE                    DONOSTIA     ES</t>
  </si>
  <si>
    <t>ATM Fee Rebate</t>
  </si>
  <si>
    <t>Unknown</t>
  </si>
  <si>
    <t>Homestreet Bank</t>
  </si>
  <si>
    <t>Unavailable</t>
  </si>
  <si>
    <t>CITY OF SEATTLE          206-6845226  WA</t>
  </si>
  <si>
    <t>Utilities</t>
  </si>
  <si>
    <t>ok</t>
  </si>
  <si>
    <t>Comcast</t>
  </si>
  <si>
    <t>COMCAST / XFINITY        800-266-2278 WA</t>
  </si>
  <si>
    <t>COMCAST CABLE COMM       800-COMCAST  WA</t>
  </si>
  <si>
    <t>Psccu</t>
  </si>
  <si>
    <t>PSCCU            ONLINE PMT ***********7POS</t>
  </si>
  <si>
    <t>PUGET SOUND ENERGY INC   888-225-5773 WA</t>
  </si>
  <si>
    <t>Quantum Fiber</t>
  </si>
  <si>
    <t>QUANTUM FIBER            833-250-6306 LA</t>
  </si>
  <si>
    <t>Seattle Public Utilities</t>
  </si>
  <si>
    <t>SEATTLEUTILTIES  WEB_PAY    ***********1924</t>
  </si>
  <si>
    <t>SEATTLEUTILTIES  WEB_PAY    ***********2025</t>
  </si>
  <si>
    <t>SEATTLEUTILTIES  WEB_PAY    ***********2125</t>
  </si>
  <si>
    <t>SEATTLEUTILTIES  WEB_PAY    ***********2825</t>
  </si>
  <si>
    <t>SEATTLEUTILTIES  WEB_PAY    ***********2925</t>
  </si>
  <si>
    <t>SPOT</t>
  </si>
  <si>
    <t>Spot Globalstala</t>
  </si>
  <si>
    <t>flight wifi?</t>
  </si>
  <si>
    <t>T-Mobile</t>
  </si>
  <si>
    <t>T-MOBILE PARK            206-6643185  WA</t>
  </si>
  <si>
    <t>8020 Inc</t>
  </si>
  <si>
    <t>Van</t>
  </si>
  <si>
    <t>AplPay FISHERIES SUPSEATTLE             WA</t>
  </si>
  <si>
    <t>DISCOUNT-TIRE-CO WASSEATTLE             WA</t>
  </si>
  <si>
    <t>Montana Ace Eastgate</t>
  </si>
  <si>
    <t>Nomadic Supply Su</t>
  </si>
  <si>
    <t>PAYPAL *PANTHER RV PANTHE</t>
  </si>
  <si>
    <t>PAYPAL *WHITE TOP A WHITE4029357733   CA</t>
  </si>
  <si>
    <t>Rockler WW  Hdwe 02</t>
  </si>
  <si>
    <t>Rockler WW  Hdwe 02      Seattle      WA</t>
  </si>
  <si>
    <t>Starlink</t>
  </si>
  <si>
    <t>STARLINK INTERNET        310-6829683  CA</t>
  </si>
  <si>
    <t>Wright Designs</t>
  </si>
  <si>
    <t>Wright Designs L Sale</t>
  </si>
  <si>
    <t>WRIGHT DESIGNS L SALE       ***********</t>
  </si>
  <si>
    <t>A Saily</t>
  </si>
  <si>
    <t/>
  </si>
  <si>
    <t>AplPay GETYOURGUIDE DOVER               DE</t>
  </si>
  <si>
    <t>Best Buy</t>
  </si>
  <si>
    <t>Check #4777</t>
  </si>
  <si>
    <t>Check #996322</t>
  </si>
  <si>
    <t>Check #996324</t>
  </si>
  <si>
    <t>Check #996328</t>
  </si>
  <si>
    <t>COGNITION LABS (DEVISAN FRANCISCO       CA</t>
  </si>
  <si>
    <t>CORE DEVICES        SAN FRANCISCO       CA</t>
  </si>
  <si>
    <t>CVS</t>
  </si>
  <si>
    <t>Cyclical Design Produseattle</t>
  </si>
  <si>
    <t>DEFY SEATTLE        TUKWILA             WA</t>
  </si>
  <si>
    <t>Dsquared Hospitality Seattle</t>
  </si>
  <si>
    <t>ETEAMSPONSOR        CONCORD             CA</t>
  </si>
  <si>
    <t>Evergreen Guardian</t>
  </si>
  <si>
    <t>Expedited Shipping Fee for</t>
  </si>
  <si>
    <t>Ext Credit Card Credit 4297453                  AUTOPAYLANG*!01</t>
  </si>
  <si>
    <t>FIRE SOUL LIMITED LIda ban shi zhong yanOS</t>
  </si>
  <si>
    <t>GADGET REHAB 00-0803SEATTLE             WA</t>
  </si>
  <si>
    <t>Hudson News</t>
  </si>
  <si>
    <t>Ian Windham</t>
  </si>
  <si>
    <t>Inua Group Groumt</t>
  </si>
  <si>
    <t>Kate Grossman Md Pllc</t>
  </si>
  <si>
    <t>Lawson</t>
  </si>
  <si>
    <t>Lnvm</t>
  </si>
  <si>
    <t>Max</t>
  </si>
  <si>
    <t>Moderntribe</t>
  </si>
  <si>
    <t>PAYPAL *MSNOW MSNOW 4029357733          MI</t>
  </si>
  <si>
    <t>Place.com</t>
  </si>
  <si>
    <t>Portland Ultimate Flyportland</t>
  </si>
  <si>
    <t>Pugetsounde</t>
  </si>
  <si>
    <t>Ridge</t>
  </si>
  <si>
    <t>Rudy's</t>
  </si>
  <si>
    <t>Seattle University</t>
  </si>
  <si>
    <t>Sky Zone</t>
  </si>
  <si>
    <t>Sodexo Live at</t>
  </si>
  <si>
    <t>The Station</t>
  </si>
  <si>
    <t>Topscore Ulti Usetopscore Cpa</t>
  </si>
  <si>
    <t>Transfer to Venmo</t>
  </si>
  <si>
    <t>Twistonline</t>
  </si>
  <si>
    <t>View Ridge</t>
  </si>
  <si>
    <t>Amount</t>
  </si>
  <si>
    <t>Ext Credit Card Credit 4297453                  AUTOPAYLANG*!01</t>
  </si>
  <si>
    <t>Ext Credit Card Debit EZELLS FAMOUS CHICKEN    SEATTLE      WA</t>
  </si>
  <si>
    <t>Ext Credit Card Debit GNC                      SEATTLE      WA</t>
  </si>
  <si>
    <t>Ext Credit Card Debit 76 - THE POINT           SEATTLE      WA</t>
  </si>
  <si>
    <t>Ext Credit Card Debit VM PARKING GARAGE        SEATTLE      WA</t>
  </si>
  <si>
    <t>Ext Credit Card Debit SQ *ORCAS ADVENTURES &amp;   OLGA         WA</t>
  </si>
  <si>
    <t>Ext Credit Card Debit SQ *ORCAS ISLAND GOLF    EASTSOUND    WA</t>
  </si>
  <si>
    <t>Ext Credit Card Debit CLEVER COW CREAMERY      EASTSOUND    WA</t>
  </si>
  <si>
    <t>Ext Credit Card Debit ISLAND MARKET            EASTSOUND    WA</t>
  </si>
  <si>
    <t>Ext Credit Card Debit SAFEWAY #1551            SEATTLE      WA</t>
  </si>
  <si>
    <t>Ext Credit Card Debit SQ *TAQUERIA AND PUPUS   EASTSOUND    WA</t>
  </si>
  <si>
    <t>Ext Credit Card Debit PAON SURI                EASTSOUND    WA</t>
  </si>
  <si>
    <t>Ext Credit Card Debit FATBURGER GUILDFORD VI   SURREY       BC</t>
  </si>
  <si>
    <t>Ext Credit Card Debit FRANK'S GENERAL STORE    CHERRYVILLE  BC</t>
  </si>
  <si>
    <t>Ext Credit Card Debit SAVE ON FOODS 2255       SURREY       BC</t>
  </si>
  <si>
    <t>Ext Credit Card Debit DENNY'S 03-023 KELOWNA   KELOWNA      BC</t>
  </si>
  <si>
    <t>Ext Credit Card Debit SQ *DOWNLOW CHICKEN UB   VANCOUVER    BC</t>
  </si>
  <si>
    <t>Ext Credit Card Debit JOS ITALIAN DELI         VANCOUVER    BC</t>
  </si>
  <si>
    <t>Ext Credit Card Debit LITTLE UMBRELLA          VANCOUVER    BC</t>
  </si>
  <si>
    <t>Ext Credit Card Debit HONK PARKING             866-675-7337 ON</t>
  </si>
  <si>
    <t>Ext Credit Card Debit COUNTRY MEADOWS GOLF C   RICHMOND     BC</t>
  </si>
  <si>
    <t>Ext Credit Card Debit TST*BOBS BURGER &amp; BREW   BURLINGTON   WA</t>
  </si>
  <si>
    <t>Ext Credit Card Debit EXPEDIA HOTELCOM731800   UK.HOTELS.COMGB</t>
  </si>
  <si>
    <t>Ext Credit Card Debit Interest Charge on Purcha</t>
  </si>
  <si>
    <t>Ext Credit Card Debit ZG * RENTAPPLICATION     206-516-2265 WA</t>
  </si>
  <si>
    <t>Ext Credit Card Debit WAFISH&amp;WILDLIC-SVC*FEE   OLYMPIA      WA</t>
  </si>
  <si>
    <t>Ext Credit Card Debit WA FISH &amp; WILD LICENSE   OLYMPIA      WA</t>
  </si>
  <si>
    <t>Ext Credit Card Debit CL *TRIPCHARGES          GLEN ALLEN   VA</t>
  </si>
  <si>
    <t>Ext Credit Card Debit ACTBLUE* EILEEN.LAUBAC   BOSTON       MA</t>
  </si>
  <si>
    <t>Ext Credit Card Debit CSAIRP90 WDP90725042679  PARIS        FR</t>
  </si>
  <si>
    <t>Ext Credit Card Debit P462086                  SEATTLE      DC</t>
  </si>
  <si>
    <t>Date</t>
  </si>
  <si>
    <t>TST* TASTE OF INDIA SEATTLE             WA</t>
  </si>
  <si>
    <t>46630 N BEND WAY 574NORTH BEND          WA</t>
  </si>
  <si>
    <t>DUNN LUMBER CO      BELLEVUE            WA</t>
  </si>
  <si>
    <t>PIE FOR THE PEOPLE NSNOQUALMIE PASS     WA</t>
  </si>
  <si>
    <t>LEE'S SUMMIT DELI &amp; SNOQUALMIE PS       WA</t>
  </si>
  <si>
    <t>EZELLS FAMOUS CHICKESEATTLE             WA</t>
  </si>
  <si>
    <t>PAYPAL *WORLDFOOTBA 9708709898          CO</t>
  </si>
  <si>
    <t>DICK'S DRIVE IN BROASEATTLE             WA</t>
  </si>
  <si>
    <t>ATRE SHINAGAWA      TOKYO               JP</t>
  </si>
  <si>
    <t>KURA SUSHI          TOKYO               JP</t>
  </si>
  <si>
    <t>PLUSTABENTOKYOTOKANSKYOTO               JP</t>
  </si>
  <si>
    <t>GITHUB              SAN FRANCISCO       CA</t>
  </si>
  <si>
    <t>HAHAHA AIR          OSAKA               JP</t>
  </si>
  <si>
    <t>DEERLINE AIR        NARA                JP</t>
  </si>
  <si>
    <t>FAMILY MART         *                   JP</t>
  </si>
  <si>
    <t>GOODKNIGHTICE NARA SNARA                JP</t>
  </si>
  <si>
    <t>LAWSON              *                   JP</t>
  </si>
  <si>
    <t>SEVEN ELEVEN        *                   JP</t>
  </si>
  <si>
    <t>VENMO *MILES LIPSON 8558124430          NY</t>
  </si>
  <si>
    <t>KANJI HANNKO MAKUDOUNARA                JP</t>
  </si>
  <si>
    <t>KIOSKSHINAGAWAKANSENTOKYO               JP</t>
  </si>
  <si>
    <t>AplPay KINOKUNIYA BOSEATTLE             WA</t>
  </si>
  <si>
    <t>AplPay REI #11 SEATTSEATTLE             WA</t>
  </si>
  <si>
    <t>AplPay SUSHI%AYCE   CHICAGO             IL</t>
  </si>
  <si>
    <t>MOBILE PAYMENT - THANK YOU</t>
  </si>
  <si>
    <t>TESLA MOTORS CANADA TORONTO</t>
  </si>
  <si>
    <t>TICKET VENDING JMMS TOKYO               JP</t>
  </si>
  <si>
    <t>POKEMON CENTER TOKYOTOKYO               JP</t>
  </si>
  <si>
    <t>THEWAGYUBROTHERS PG TOKYO               JP</t>
  </si>
  <si>
    <t>bumpodo             qian dai tian qu    TO</t>
  </si>
  <si>
    <t>DANDADAN ASAKUSATEN TOKYO               JP</t>
  </si>
  <si>
    <t>STARBUCKS COFFEE JAP*                   JP</t>
  </si>
  <si>
    <t>SUMMIT              *                   JP</t>
  </si>
  <si>
    <t>AUTOBACS GROUP      MITA                JP</t>
  </si>
  <si>
    <t>KINJIHARAJYUKUTAKESHTOKYO               JP</t>
  </si>
  <si>
    <t>DENIMIO             heng bang shi bao tuKA</t>
  </si>
  <si>
    <t>KATO                TOKYO               JP</t>
  </si>
  <si>
    <t>NIKKOUMARUSHOKUDOU PKANAGAWA            JP</t>
  </si>
  <si>
    <t>TICKET COUNTER      TOKYO               JP</t>
  </si>
  <si>
    <t>6951310 - PEET'S COFSEATTLE             WA</t>
  </si>
  <si>
    <t>STUDIO 45           SEATTLE             WA</t>
  </si>
  <si>
    <t>PAYPAL *REGALCINEMA 8778355734          TN</t>
  </si>
  <si>
    <t>QFC - SOUND VIEW    SEATTLE             WA</t>
  </si>
  <si>
    <t>SHELL SERVICE STATIOEDMONDS             WA</t>
  </si>
  <si>
    <t>UNION 76 09553892   SEATTLE             WA</t>
  </si>
  <si>
    <t>PY *ONSITE NEWS 0000PHILADELPHIA        PA</t>
  </si>
  <si>
    <t>SAILY INC.          LEWES               DE</t>
  </si>
  <si>
    <t>AMAZON PRIME*R70Z389AMZN.CO.UK/PM       GB</t>
  </si>
  <si>
    <t>BELLEVUE GUN CLUB BEBELLEVUE            WA</t>
  </si>
  <si>
    <t>AplPay TST* THAI FUSSEATTLE             WA</t>
  </si>
  <si>
    <t>COLMAR HOME CENTER 0MARGATE CITY        NJ</t>
  </si>
  <si>
    <t>TST* 7TH STREET BURGNEW YORK            NY</t>
  </si>
  <si>
    <t>BAY STREET    460001MONTCLAIR           NJ</t>
  </si>
  <si>
    <t>VERY FRESH NOODLES /NEW YORK            NY</t>
  </si>
  <si>
    <t>AMAZON PRIME*RC2PT4CAMZN.CO.UK/PM       GB</t>
  </si>
  <si>
    <t>NJT-PAYGO - OR170008ORANGE              NJ</t>
  </si>
  <si>
    <t>NYCT PAYGO          NEW YORK            NY</t>
  </si>
  <si>
    <t>PATH TAPP PAYGO CP  NEW JERSEY          NJ</t>
  </si>
  <si>
    <t>TST* ZABARS 00005814NEW YORK            NY</t>
  </si>
  <si>
    <t>LINKEDINPREC *797030MOUNTAIN VIEW</t>
  </si>
  <si>
    <t>LIRR STATION TIX    JAMAICA             NY</t>
  </si>
  <si>
    <t>TST* JUST PHO YOU 00NEW YORK            NY</t>
  </si>
  <si>
    <t>MONICA'S TLC GROOMINSEATTLE             WA</t>
  </si>
  <si>
    <t>HI NY HOSTEL 139-222NEW YORK            NY</t>
  </si>
  <si>
    <t>SIXT RENT A CAR SLU PALMA DE MALLORCA</t>
  </si>
  <si>
    <t>AplPay SAMURAI NOODLSeattle             WA</t>
  </si>
  <si>
    <t>FIVE GUYS WA 1027 QSSEATTLE             WA</t>
  </si>
  <si>
    <t>GITHUB, INC.        SAN FRANCISCO       CA</t>
  </si>
  <si>
    <t>APPLE.COM/BILL      INTERNET CHARGE     CA</t>
  </si>
  <si>
    <t>AplPay APPLE ONLINE CUPERTINO           CA</t>
  </si>
  <si>
    <t>AplPay APPLE.COM/BILINTERNET CHARGE     CA</t>
  </si>
  <si>
    <t>EXPEDIA 731432666940EXPEDIA.COM         WA</t>
  </si>
  <si>
    <t>AplPay TST* MEE SUM SEATTLE             WA</t>
  </si>
  <si>
    <t>AMAZON PRIME*OR9JH8RAMZN.CO.UK/PM       GB</t>
  </si>
  <si>
    <t>LASTPASS.COM        BOSTON              MA</t>
  </si>
  <si>
    <t>LS JRA BIKE SHOP    SEATTLE             WA</t>
  </si>
  <si>
    <t>PAYPAL *LIME RIDE IB4029357733          CA</t>
  </si>
  <si>
    <t>AplPay SIERRA FORESTKENT                WA</t>
  </si>
  <si>
    <t>AplPay TFL TRAVEL CHTFL.GOV.UK/CP       GB</t>
  </si>
  <si>
    <t>AplPay TRAINLINE TraLONDON              GB</t>
  </si>
  <si>
    <t>CURSOR USAGE  MAY   NEW YORK            NY</t>
  </si>
  <si>
    <t>METROPOLITAN MARKETSSEATTLE             WA</t>
  </si>
  <si>
    <t>AMAZON PRIME*WD2W52KAMZN.CO.UK/PM       GB</t>
  </si>
  <si>
    <t>AplPay ETSY, INC.   BROOKLYN            NY</t>
  </si>
  <si>
    <t>LINKEDINPREC *375223MOUNTAIN VIEW</t>
  </si>
  <si>
    <t>LEUCHARS            GLASGOW             GB</t>
  </si>
  <si>
    <t>TREXMED             EDINBURGH           GB</t>
  </si>
  <si>
    <t>ST ANDREWS LINKS - TST. ANDREWS         GB</t>
  </si>
  <si>
    <t>AplPay APPLE STORE RSEATTLE             WA</t>
  </si>
  <si>
    <t>AplPay TST* DINGFELDSEATTLE             WA</t>
  </si>
  <si>
    <t>Interest Charge on Cash Advances</t>
  </si>
  <si>
    <t>RENEWAL MEMBERSHIP FEE</t>
  </si>
  <si>
    <t>SQSP* INV183850886  NEW YORK            NY</t>
  </si>
  <si>
    <t>EXPEDIA 731180696530EXPEDIA.COM         WA</t>
  </si>
  <si>
    <t>Crystal Mountain TikEnumclaw            WA</t>
  </si>
  <si>
    <t>PY *TACO DEL MAR - AAUBURN              WA</t>
  </si>
  <si>
    <t>APPLE STORE R072 R07SEATTLE             WA</t>
  </si>
  <si>
    <t>AplPay MCDONALDS 137TIBSHELF            GB</t>
  </si>
  <si>
    <t>CEDARS OF LEBANON   SEATTLE             WA</t>
  </si>
  <si>
    <t>EASYJET             LUTON               GB</t>
  </si>
  <si>
    <t>PAYPAL *B H PHOTO   8002215743          NY</t>
  </si>
  <si>
    <t>PAYPAL *QUAD LOCK   4029357733          AU</t>
  </si>
  <si>
    <t>AplPay APPLE.COM/US CUPERTINO           CA</t>
  </si>
  <si>
    <t>AplPay AVANTI WEST CBIRMINGHAM          GB</t>
  </si>
  <si>
    <t>FRED MEYERS         BELLEVUE            WA</t>
  </si>
  <si>
    <t>AMAZON PRIME*4624A69AMZN.CO.UK/PM       GB</t>
  </si>
  <si>
    <t>EAGLE VISION CENTER JACKSON             WY</t>
  </si>
  <si>
    <t>CURSOR USAGE  APR   NEW YORK            NY</t>
  </si>
  <si>
    <t>CURSOR USAGE MID  MANEW YORK            NY</t>
  </si>
  <si>
    <t>PAYPAL *ETSY INC    8446593879          NY</t>
  </si>
  <si>
    <t>AMAZON PRIME*0T9CY5VAMZN.CO.UK/PM       GB</t>
  </si>
  <si>
    <t>AER LINGUS          DUBLIN              CO</t>
  </si>
  <si>
    <t>AplPay LS ST ANDREWSST ANDREWS          FI</t>
  </si>
  <si>
    <t>LINKEDINPRE *9533806MOUNTAIN VIEW</t>
  </si>
  <si>
    <t>LS ST ANDREWS LINKS ST ANDREWS          FI</t>
  </si>
  <si>
    <t>FEDEX OFFICE        SEATTLE             WA</t>
  </si>
  <si>
    <t>QUIZLET.COM         510-495-6550        CA</t>
  </si>
  <si>
    <t>ALADDIN GYRO RESTAURSEATTLE             WA</t>
  </si>
  <si>
    <t>CURSOR USAGE MID  APNEW YORK            NY</t>
  </si>
  <si>
    <t>AplPay NORDSTROM    SEATTLE             WA</t>
  </si>
  <si>
    <t>CHINA EASTERN AIR CHUNITED KINGDOM      GB</t>
  </si>
  <si>
    <t>PAYPAL *ARSENIC ANY 5187278838          VT</t>
  </si>
  <si>
    <t>PAYPAL *CLOUDFLARE  4029357733          CA</t>
  </si>
  <si>
    <t>VENMO *MAGGIE VODICK8558124430          NY</t>
  </si>
  <si>
    <t>AplPay TST* ANJAPPARBELLEVUE            WA</t>
  </si>
  <si>
    <t>*LAKE CITY          SEATTLE            W</t>
  </si>
  <si>
    <t>CASH ADVANCE FEE</t>
  </si>
  <si>
    <t>TFL TRAVEL REFUND   TFL.GOV.UK/CP       GB</t>
  </si>
  <si>
    <t>AMAZON PRIME*RH0065XAMZN.CO.UK/PM       GB</t>
  </si>
  <si>
    <t>ACTIVE CULTURE CAFE BEND                OR</t>
  </si>
  <si>
    <t>ARCO#04124BELLA CHANSANDY               OR</t>
  </si>
  <si>
    <t>AplPay UBER TRIP    HTTPS://HELP.UBER.COGB</t>
  </si>
  <si>
    <t>END OF THE TRAIL IV ROCHESTER           WA</t>
  </si>
  <si>
    <t>LNE RAILWAY KGX STN LONDON              GB</t>
  </si>
  <si>
    <t>VENMO *ADAM MARMORST8558124430          NY</t>
  </si>
  <si>
    <t>SHELL SERVICE STATIOSUNRIVER            OR</t>
  </si>
  <si>
    <t>VENMO *SHANNON BOSCH8558124430          NY</t>
  </si>
  <si>
    <t>BRITISH AIRWAYS BritHARMONDSWORTH       GB</t>
  </si>
  <si>
    <t>SAFEWAY #1665 1665  REDMOND             OR</t>
  </si>
  <si>
    <t>UNION 76 09518481   YAKIMA              WA</t>
  </si>
  <si>
    <t>TST* KEDAI MAKAN CAPSEATTLE             WA</t>
  </si>
  <si>
    <t>SQSP* INV177244147  NEW YORK            NY</t>
  </si>
  <si>
    <t>Amex Send: Transfer to Card-Inactivity</t>
  </si>
  <si>
    <t>THANH VI 0000       SEATTLE             WA</t>
  </si>
  <si>
    <t>AplPay TESCO STORE 3ST. ANDREWS         GB</t>
  </si>
  <si>
    <t>THE FREE PRESS      NEW YORK            NY</t>
  </si>
  <si>
    <t>UW HFS 0000         SEATTLE             WA</t>
  </si>
  <si>
    <t>AMAZON PRIME*R65X76OAMZN.CO.UK/PM       GB</t>
  </si>
  <si>
    <t>CURSOR USAGE  MAR   NEW YORK            NY</t>
  </si>
  <si>
    <t>LINKEDINPRE *5868230MOUNTAIN VIEW</t>
  </si>
  <si>
    <t>AplPay EDINBURGH TRAEDINBURGH           GB</t>
  </si>
  <si>
    <t>AplPay SAINSBURY'S EEDINBURGH           GB</t>
  </si>
  <si>
    <t>FLOWER MATTERS-F3199SINGAPORE           SG</t>
  </si>
  <si>
    <t>GIFTS GREETINGS PTE SINGAPORE           SG</t>
  </si>
  <si>
    <t>GRAB*A-7MH896PWWIBW8SINGAPORE           SG</t>
  </si>
  <si>
    <t>AWFULLY CHOCOLATE - SINGAPORE           SG</t>
  </si>
  <si>
    <t>AplPay BOOTS THE CHEST ANDREWS          GB</t>
  </si>
  <si>
    <t>AplPay HOLLAND &amp; BARST ANDREWS          GB</t>
  </si>
  <si>
    <t>AplPay WWW.HOSTELWORDUBLIN              CO</t>
  </si>
  <si>
    <t>DESIGN MUSEUM SHOP PSINGAPORE           SG</t>
  </si>
  <si>
    <t>THE BERRY SPOT      SINGAPORE           SG</t>
  </si>
  <si>
    <t>AplPay COFF.EE* COCOSAN FRANCISCO       CA</t>
  </si>
  <si>
    <t>SP VLOUSNOW.COM     BETHESDA            MD</t>
  </si>
  <si>
    <t>7E - TERMINAL 2     SINGAPORE           SG</t>
  </si>
  <si>
    <t>7-ELEVEN T3 #03-12  SINGAPORE           SG</t>
  </si>
  <si>
    <t>AMBASSADOR TRANSIT HSINGAPORE           SG</t>
  </si>
  <si>
    <t>AplPay ZETTLE *THE NNEWPORT-ON-TAY      GB</t>
  </si>
  <si>
    <t>SINGAPOREAIR UNITED UNITED STATES       NY</t>
  </si>
  <si>
    <t>GREPTILE            MIDDLETOWN          DE</t>
  </si>
  <si>
    <t>AplPay CANDY TYME WESEATTLE             WA</t>
  </si>
  <si>
    <t>AplPay MIDNIGHT COOKSeattle             WA</t>
  </si>
  <si>
    <t>UNION 76 09486093   SEATTLE             WA</t>
  </si>
  <si>
    <t>SP VC ULTEUIMATE    LONDON              GB</t>
  </si>
  <si>
    <t>HOTEL ON BOOKING.COMAMSTERDAM           NL</t>
  </si>
  <si>
    <t>SEA AIRPORT PARKING SEATTLE             WA</t>
  </si>
  <si>
    <t>TST* SIZZLE&amp;CRUNCH USEATTLE             WA</t>
  </si>
  <si>
    <t>VENMO *SEBASTIAN BYR8558124430          NY</t>
  </si>
  <si>
    <t>UKULTIMATE          LONDON              GB</t>
  </si>
  <si>
    <t>SHELL SERVICE STATIOEASTON              WA</t>
  </si>
  <si>
    <t>AMAZON PRIME*RI85E93AMZN.CO.UK/PM       GB</t>
  </si>
  <si>
    <t>SNB S201121         Manchester          GB</t>
  </si>
  <si>
    <t>TRAINLINE Trainline LONDON              GB</t>
  </si>
  <si>
    <t>TRADER JOE S #137 00SEATTLE             WA</t>
  </si>
  <si>
    <t>AplPay BOMBAY EXPRESSEATTLE             WA</t>
  </si>
  <si>
    <t>RIO BRAVO 0688800220NORTH BEND          WA</t>
  </si>
  <si>
    <t>ALASKA AIRLINES     SEATTLE             WA</t>
  </si>
  <si>
    <t>SAFEWAY FOOD STORE  ISSAQUAH            WA</t>
  </si>
  <si>
    <t>UW TRANS SVC PAY STASEATTLE             WA</t>
  </si>
  <si>
    <t>AMAZON PRIME*R20V94KAMZN.CO.UK/PM       GB</t>
  </si>
  <si>
    <t>EXXONMOBIL 4594     ENNIS               MT</t>
  </si>
  <si>
    <t>LINKEDINPRE *1747913LNKD.IN/BILL        CA</t>
  </si>
  <si>
    <t>CURSOR USAGE  FEB   NEW YORK            NY</t>
  </si>
  <si>
    <t>RV TOWN 436845559151EASTON              WA</t>
  </si>
  <si>
    <t>CLAUDE.AI SUBSCRIPTIPASADENA            CA</t>
  </si>
  <si>
    <t>BLACKBURN DRUG 65000JACKSON             WY</t>
  </si>
  <si>
    <t>MODMEDUS_MP*TETON ORJACKSON             WY</t>
  </si>
  <si>
    <t>BOOTS THE CHEMIST   ST ANDREWS          GB</t>
  </si>
  <si>
    <t>PAYPAL *ARSENIC ANY 4029357733          VT</t>
  </si>
  <si>
    <t>SAFEWAY FUEL STATIONARLINGTON           WA</t>
  </si>
  <si>
    <t>VENMO  *ADAM MARMORS8558124430          NY</t>
  </si>
  <si>
    <t>ARCO#82880TANG &amp; CHEISSAQUAH            WA</t>
  </si>
  <si>
    <t>TACO BELL           BELLEVUE            WA</t>
  </si>
  <si>
    <t>AMAZON MARKEPLACE NA PA</t>
  </si>
  <si>
    <t>AMAZON PRIME*RT91L4HAMZN.CO.UK/PM       GB</t>
  </si>
  <si>
    <t>SP MOTION BOARDSHOP SEATTLE             WA</t>
  </si>
  <si>
    <t>AMAZON PRIME*TK4KO2ZAMZN.CO.UK/PM       GB</t>
  </si>
  <si>
    <t>LINKEDINPRE *7915122LNKD.IN/BILL        CA</t>
  </si>
  <si>
    <t>AplPay LS ST ANDREWSST ANDREWS          GB</t>
  </si>
  <si>
    <t>VENMO  *KATRINA GRIF8558124430          NY</t>
  </si>
  <si>
    <t>CURSOR USAGE  JAN   NEW YORK            NY</t>
  </si>
  <si>
    <t>KIWI.COM 524335     BRNO                CZ</t>
  </si>
  <si>
    <t>SAFEWAY #1528 1528  NORTH BEND          WA</t>
  </si>
  <si>
    <t>UNION 76 00464024   SEATTLE             WA</t>
  </si>
  <si>
    <t>ROOSEVELT VISION ROOSEATTLE             WA</t>
  </si>
  <si>
    <r>
      <t>AMAZON.COM</t>
    </r>
    <r>
      <rPr>
        <sz val="10"/>
        <color rgb="FF000000"/>
        <rFont val="Helvetica Neue"/>
        <family val="2"/>
      </rPr>
      <t xml:space="preserve">          </t>
    </r>
    <r>
      <rPr>
        <u/>
        <sz val="10"/>
        <color rgb="FF000000"/>
        <rFont val="Helvetica Neue"/>
        <family val="2"/>
      </rPr>
      <t>AMZN.COM/BILL</t>
    </r>
    <r>
      <rPr>
        <sz val="10"/>
        <color rgb="FF000000"/>
        <rFont val="Helvetica Neue"/>
        <family val="2"/>
      </rPr>
      <t xml:space="preserve">       WA</t>
    </r>
  </si>
  <si>
    <t>AplPay SUMUP*TAXI   DUNDEE</t>
  </si>
  <si>
    <t>AplPay INDIGO BC - LVANCOUVER           CA</t>
  </si>
  <si>
    <t>AplPay METROPOLITAN SEATTLE             WA</t>
  </si>
  <si>
    <t>AplPay STEVE'S POKE Vancouver           CA</t>
  </si>
  <si>
    <t>AplPay SUBWAY 47663 RICHMOND            CA</t>
  </si>
  <si>
    <t>AplPay UBER TRIP    HTTPS://HELP.UBER.CO</t>
  </si>
  <si>
    <t>CURSOR USAGE  DEC   NEW YORK            NY</t>
  </si>
  <si>
    <t>IMPARK00010695U     VANCOUVER           CA</t>
  </si>
  <si>
    <t>INDIGO BC - LOT 034 VANCOUVER           CA</t>
  </si>
  <si>
    <t>SUBWAY 47663        RICHMOND            CA</t>
  </si>
  <si>
    <t>STEVE'S POKE BAR - CVancouver           CA</t>
  </si>
  <si>
    <t>EXPEDIATSPUS        EXPEDIA.COM         WA</t>
  </si>
  <si>
    <t>SP BIA SLEEP        VANCOUVER           CA</t>
  </si>
  <si>
    <t>UBER</t>
  </si>
  <si>
    <t>SCISSORS &amp; SCOTCH 43SEATTLE             WA</t>
  </si>
  <si>
    <t>AplPay CHIPOTLE 2574SEATTLE             WA</t>
  </si>
  <si>
    <t>SHELL SERVICE STATIOSEATTLE             WA</t>
  </si>
  <si>
    <t>THE HARVEST VINE    SEATTLE             WA</t>
  </si>
  <si>
    <t>NISHINO             SEATTLE             WA</t>
  </si>
  <si>
    <t>AMAZON PRIME*CF97H77AMZN.CO.UK/PM       GB</t>
  </si>
  <si>
    <t>CITY PEOPLE S MERC  SEATTLE             WA</t>
  </si>
  <si>
    <t>CHEVRON 0098995/CHEVPACKWOOD            WA</t>
  </si>
  <si>
    <t>POPEYES 13798 1379  GRAHAM              WA</t>
  </si>
  <si>
    <t>WHITE PASS CO RESTAUNACHES              WA</t>
  </si>
  <si>
    <t>ST ANDREWS SHUTTLE LDUNFERMLINE         GB</t>
  </si>
  <si>
    <t>Virgin Atlantic AirwCrawley             W</t>
  </si>
  <si>
    <t>REI #11 SEATTLE     SEATTLE             WA</t>
  </si>
  <si>
    <t>MICROSOFT*XBOX      MSBILL.INFO</t>
  </si>
  <si>
    <t>AMAZON PRIME*TV87O1CAMZN.CO.UK/PM       GB</t>
  </si>
  <si>
    <t>LINKEDINPRE *4479848LNKD.IN/BILL        CA</t>
  </si>
  <si>
    <t>VENMO  *NINA KIBRIA 8558124430          NY</t>
  </si>
  <si>
    <t>AplPay LIME*PASS FA6SAN FRANCISCO       CA</t>
  </si>
  <si>
    <t>AplPay UBER EATS    help.uber.com       CA</t>
  </si>
  <si>
    <t>PREMIUM PARKING P551SEATTLE             WA</t>
  </si>
  <si>
    <t>SUMMIT AT SNOQUALMIESNOQUALMIE PA       WA</t>
  </si>
  <si>
    <t>SUMMIT AT SNOQUALMIESNOQUALMIE PASS     WA</t>
  </si>
  <si>
    <t>AplPay RACHEL'S GINGseattle             WA</t>
  </si>
  <si>
    <t>Category</t>
  </si>
  <si>
    <t>USAA JJK MDS VISA PAYMENT ***********5521</t>
  </si>
  <si>
    <t>HP *INSTANT INK</t>
  </si>
  <si>
    <t>DD *DOORDASH BABAR</t>
  </si>
  <si>
    <t>J'AIME LES CREPES  QPS</t>
  </si>
  <si>
    <t>WSFERRIES-KINGSTON</t>
  </si>
  <si>
    <t>QUANTUM FIBER</t>
  </si>
  <si>
    <t>WWW COSTCO COM</t>
  </si>
  <si>
    <t>Olympic Equipment Rentals</t>
  </si>
  <si>
    <t>NORDLAND GENERAL STORE</t>
  </si>
  <si>
    <t>Spotify P3CDC3B795</t>
  </si>
  <si>
    <t>WSFERRIES-COLMAN DOCK</t>
  </si>
  <si>
    <t>NORWEGIAN AIR S</t>
  </si>
  <si>
    <t>SCANDINAVIAN AI</t>
  </si>
  <si>
    <t>Southgate Roller Rinkseattle</t>
  </si>
  <si>
    <t>Airbnb</t>
  </si>
  <si>
    <t>Buckaroo Annef</t>
  </si>
  <si>
    <t>Jaes Asian Bistro Andseattle</t>
  </si>
  <si>
    <t>TST*EL CAMION - SAND POI Seattle      WA</t>
  </si>
  <si>
    <t>Nick</t>
  </si>
  <si>
    <t>The Container Store</t>
  </si>
  <si>
    <t>Spo</t>
  </si>
  <si>
    <t>SPO*BYREK&amp;BAGUETTE       SEATTLE      WA</t>
  </si>
  <si>
    <t>TST*ANCHORHEAD COFFEE -  Seattle      WA</t>
  </si>
  <si>
    <t>Tweed and Popp Hardware</t>
  </si>
  <si>
    <t>METROPOLITAN MKT 15      SEATTLE      WA</t>
  </si>
  <si>
    <t>Goodwill</t>
  </si>
  <si>
    <t>GOODWILL - SEATTLE.      SEATTLE      WA</t>
  </si>
  <si>
    <t>SMITH BROTHERS FARMS     877-6455626  WA</t>
  </si>
  <si>
    <t>HBO Max</t>
  </si>
  <si>
    <t>PAYPAL *HBOMAX HELP.HBOMA402-935-7733 NY</t>
  </si>
  <si>
    <t>Vision Forward Associati</t>
  </si>
  <si>
    <t>APPLE.COM/BILL           866-712-7753 CA</t>
  </si>
  <si>
    <t>US Postal Service</t>
  </si>
  <si>
    <t>SQ *KATE GROSSMAN MD PLLCgosq.com     WA</t>
  </si>
  <si>
    <t>CHEVRON 0203477          SEATTLE      WA</t>
  </si>
  <si>
    <t>KATTERMANS SAND POINT PHASEATTLE      WA</t>
  </si>
  <si>
    <t>TONAL SYSTEMS, INC       TONAL.COM    CA</t>
  </si>
  <si>
    <t>SQ *PEONY                gosq.com     WA</t>
  </si>
  <si>
    <t>SDOT PAYBYPHONE PARKING  2066842489   WA</t>
  </si>
  <si>
    <t>UWAJIMAYA SEATTLE        SEATTLE      WA</t>
  </si>
  <si>
    <t>My Favorite Deli</t>
  </si>
  <si>
    <t>Grain House Seattl</t>
  </si>
  <si>
    <t>TST*GRAIN HOUSE - SEATTL Seattle      WA</t>
  </si>
  <si>
    <t>SEATTLE UNIVERSITY CAMPUSSEATTLE      WA</t>
  </si>
  <si>
    <t>Kattermans Sand Point Pha</t>
  </si>
  <si>
    <t>DUNN BELLEVUE</t>
  </si>
  <si>
    <t>Wise</t>
  </si>
  <si>
    <t>USAA CREDIT CARD PAYMENT SAN ANTONIO  TX</t>
  </si>
  <si>
    <t>USAA INSURANCE PAYMENT   WWW.USAA.COM TX</t>
  </si>
  <si>
    <t>COMCAST / XFINITY        800-266-2278 WA</t>
  </si>
  <si>
    <t>SQ *SHAKE SHACK          Seattle      WA</t>
  </si>
  <si>
    <t>AMC Theatres</t>
  </si>
  <si>
    <t>TST* VIOLET SEATTLE      SEATTLE      WA</t>
  </si>
  <si>
    <t>PAYPAL *HOME DEPOT       402-935-7733 GA</t>
  </si>
  <si>
    <r>
      <t>Netflix.com</t>
    </r>
    <r>
      <rPr>
        <sz val="10"/>
        <color rgb="FF000000"/>
        <rFont val="Helvetica Neue"/>
        <family val="2"/>
      </rPr>
      <t xml:space="preserve">              </t>
    </r>
    <r>
      <rPr>
        <u/>
        <sz val="10"/>
        <color rgb="FF000000"/>
        <rFont val="Helvetica Neue"/>
        <family val="2"/>
      </rPr>
      <t>netflix.com</t>
    </r>
    <r>
      <rPr>
        <sz val="10"/>
        <color rgb="FF000000"/>
        <rFont val="Helvetica Neue"/>
        <family val="2"/>
      </rPr>
      <t>  CA</t>
    </r>
  </si>
  <si>
    <t>STARLINK INTERNET        310-6829683  CA</t>
  </si>
  <si>
    <t>USAA FSB-OVERDRAFT       SAN ANTONIO  TX</t>
  </si>
  <si>
    <t>LIBRO.FM AUDIOBOOKS      413-206-9290 WA</t>
  </si>
  <si>
    <t>PAYPAL *SYDNEY.MARIEJO   402-935-7733 CA</t>
  </si>
  <si>
    <t>COSTCO BY INSTACART      INSTACART.COMCA</t>
  </si>
  <si>
    <t>RF *MDSEELIG             206-456-2500 WA</t>
  </si>
  <si>
    <t>DD *DOORDASH BABAR       DOORDASH.COM CA</t>
  </si>
  <si>
    <t>PCC - VIEW RIDGE         SEATTLE      WA</t>
  </si>
  <si>
    <t>CHIPOTLE 1984            SEATTLE      WA</t>
  </si>
  <si>
    <t>Interest On Cash Advances</t>
  </si>
  <si>
    <t>76 - THE POINT           SEATTLE      WA</t>
  </si>
  <si>
    <t>MENB529 MENCHIES QUEEN   SEATTLE      WA</t>
  </si>
  <si>
    <t>TESLA SUBSCRIPTION US    PALO ALTO    CA</t>
  </si>
  <si>
    <t>SQ *DSQUARED HOSPITALITY Seattle      WA</t>
  </si>
  <si>
    <t>WWW COSTCO COM           800-955-2292 WA</t>
  </si>
  <si>
    <t>NORTH LAKE MARINA        425-487-2676 WA</t>
  </si>
  <si>
    <t>Hulu                     877-8244858  CA</t>
  </si>
  <si>
    <t>COSTCO BY INSTACART      WWW.COSTCO.COWA</t>
  </si>
  <si>
    <t>CHIPOTLE 0469            BELLEVUE     WA</t>
  </si>
  <si>
    <t>Dicks Sporting Goods     Seattle      WA</t>
  </si>
  <si>
    <t>EINSTEIN BROS BAGELS2171 SEATTLE      WA</t>
  </si>
  <si>
    <t>QFC #5807                SEATTLE      WA</t>
  </si>
  <si>
    <t>HP *INSTANT INK          855-785-2777 CA</t>
  </si>
  <si>
    <t>QUANTUM FIBER            833-250-6306 LA</t>
  </si>
  <si>
    <t>COSTCO WHSE #0001        SEATTLE      WA</t>
  </si>
  <si>
    <t>CAFE JAVASTI             SEATTLE      WA</t>
  </si>
  <si>
    <t>WA VEHICLE LICENSING     360-902-7470 WA</t>
  </si>
  <si>
    <t>WHO GIVES A CRAP, INC.   US.WHOGIVESACNY</t>
  </si>
  <si>
    <t>BLVD   *RUDY'S LAURELHURSSEATTLE      WA</t>
  </si>
  <si>
    <t>Subway 27300             Seattle      WA</t>
  </si>
  <si>
    <t>Starlink                 Hawthorne    CA</t>
  </si>
  <si>
    <r>
      <t>NETFLIX.COM</t>
    </r>
    <r>
      <rPr>
        <sz val="10"/>
        <color rgb="FF000000"/>
        <rFont val="Helvetica Neue"/>
        <family val="2"/>
      </rPr>
      <t xml:space="preserve">              </t>
    </r>
    <r>
      <rPr>
        <u/>
        <sz val="10"/>
        <color rgb="FF000000"/>
        <rFont val="Helvetica Neue"/>
        <family val="2"/>
      </rPr>
      <t>NETFLIX.COM</t>
    </r>
    <r>
      <rPr>
        <sz val="10"/>
        <color rgb="FF000000"/>
        <rFont val="Helvetica Neue"/>
        <family val="2"/>
      </rPr>
      <t>  CA</t>
    </r>
  </si>
  <si>
    <t>WILLIAMS-SONOMA 6181     SEATTLE      WA</t>
  </si>
  <si>
    <t>MUD BAY UNIVERSITY VILLAGSEATTLE      WA</t>
  </si>
  <si>
    <t>TST*HEY BAGEL            Seattle      WA</t>
  </si>
  <si>
    <t>O'REILLY 2527            SEATTLE      WA</t>
  </si>
  <si>
    <t>76 - VILLAGE MARKET 76   SEATTLE      WA</t>
  </si>
  <si>
    <t>DROPPS                   WWW.DROPPS.COIL</t>
  </si>
  <si>
    <t>PAGLIACCI MADISON        SEATTLE      WA</t>
  </si>
  <si>
    <t>GAME WORKS SEATTLE KIOSKSSEATTLE      WA</t>
  </si>
  <si>
    <t>TST*BA BAR - UNIVERSITY  SEATTLE      WA</t>
  </si>
  <si>
    <t>GOOGLE *CLOUD ZS9XNz     g.co/HelpPay#CA</t>
  </si>
  <si>
    <t>SP PUREFORYOU            PUREFORYOU.COUT</t>
  </si>
  <si>
    <t>PAYPAL *BLUEBIRDGRA      509-996-3526 WA</t>
  </si>
  <si>
    <t>FSP*SODO VISION CARE     SEATTLE      WA</t>
  </si>
  <si>
    <t>SP MODERNTRIBE           MODERNTRIBE.CTX</t>
  </si>
  <si>
    <t>Sky Zone Seattle Tukwila Tukwila      WA</t>
  </si>
  <si>
    <t>Spotify P3AFAA7E5A       New York     NY</t>
  </si>
  <si>
    <t>WWW.ROWLANDPHOTO.COM     WWW.ROWLANDPHWA</t>
  </si>
  <si>
    <t>SQ *FRANKIE &amp; JO'S       Seattle      WA</t>
  </si>
  <si>
    <t>DUNN LAKE UNION          SEATTLE      WA</t>
  </si>
  <si>
    <t>FISHERIES SUPPLY         SEATTLE      WA</t>
  </si>
  <si>
    <t>CHIPOTLE 2574            SEATTLE      WA</t>
  </si>
  <si>
    <t>KATSU BURGER &amp; BAR       SEATTLE      WA</t>
  </si>
  <si>
    <t>SHELL OIL10006227010     SEATTLE      WA</t>
  </si>
  <si>
    <t>SP TWISTONLINE           187-72486790 OR</t>
  </si>
  <si>
    <t>WSDOT-GOODTOGO ONLINE    RENTON       WA</t>
  </si>
  <si>
    <t>ORCA                     888-988-6722 WA</t>
  </si>
  <si>
    <t>SHREE GAS STATION THORP  THORP        WA</t>
  </si>
  <si>
    <t>ORCA                     8889886722   WA</t>
  </si>
  <si>
    <t>BROWN BEAR CAR WASH - 15TSEATTLE      WA</t>
  </si>
  <si>
    <t>ZSK*IT THORPFRUIT ANTI   THORP        WA</t>
  </si>
  <si>
    <t>PAGLIACCI SAND POINT     206-726-1717 WA</t>
  </si>
  <si>
    <t>CITY OF UMATILLA         UMATILLA     OR</t>
  </si>
  <si>
    <t>GULF OIL 92068864        HUNTINGTON   OR</t>
  </si>
  <si>
    <t>SP NATURE MADE           NATUREMADE.COCA</t>
  </si>
  <si>
    <t>STARBUCKS STORE 11158    SEATTLE      WA</t>
  </si>
  <si>
    <t>AMK BRYCE CANYON GIFT    BRYCE        UT</t>
  </si>
  <si>
    <t>SAFEWAY #1207            SEDONA       AZ</t>
  </si>
  <si>
    <t>THE HOME DEPOT #4706     SEATTLE      WA</t>
  </si>
  <si>
    <t>PY *RANCHO SEDONA RV PARKSEDONA       AZ</t>
  </si>
  <si>
    <t>SQ *STARFIRE SPORTS      Tukwila      WA</t>
  </si>
  <si>
    <t>INUA GROUP               WWW.INUA.GROUMT</t>
  </si>
  <si>
    <t>VAL*THE VIEW CAMPGROUN   OLJATO-MONUMEAZ</t>
  </si>
  <si>
    <t>SAAS GAME TICKET         WWW.SEATTLEACWA</t>
  </si>
  <si>
    <t>City of Durango          DURANGO      CO</t>
  </si>
  <si>
    <t>NAVAJO NATION MONUMENT VAMONUMENT VALLUT</t>
  </si>
  <si>
    <t>PROGRESSIVE *INSURANCE   800-776-4737 OH</t>
  </si>
  <si>
    <t>SQ *TACOS CHUKIS CENTRAL Seattle      WA</t>
  </si>
  <si>
    <t>CIRCLE K # 09654         KIRKLAND     WA</t>
  </si>
  <si>
    <t>SODEXO LIVE AT WSF       253-2268578  WA</t>
  </si>
  <si>
    <t>WSFERRIES-FAUNTLEROY     SEATTLE      WA</t>
  </si>
  <si>
    <t>PAYPAL *DROPPS           402-935-7733 IL</t>
  </si>
  <si>
    <t>MONTANA ACE - EASTGATE   MISSOULA     MT</t>
  </si>
  <si>
    <t>HEALTHY PAWS PET INSUR   WWW.HEALTHYPAGA</t>
  </si>
  <si>
    <t>UWAJIMAYA BELLEVUE       BELLEVUE     WA</t>
  </si>
  <si>
    <t>TOTAL WINE AND MORE      BELLEVUE     WA</t>
  </si>
  <si>
    <t>REI #11 SEATTLE          SEATTLE      WA</t>
  </si>
  <si>
    <t>MARLAI FINE THAI CUISINE SEATTLE      WA</t>
  </si>
  <si>
    <t>MAPLE LEAF ACE           SEATTLE      WA</t>
  </si>
  <si>
    <t>MCMASTER-CARR            630-834-9600 IL</t>
  </si>
  <si>
    <t>ARCO#83231EMANUEL II LLC BELLEVUE     WA</t>
  </si>
  <si>
    <t>76 - HUNGRY BEAR MARKET  BELLEVUE     WA</t>
  </si>
  <si>
    <t>PAYPAL *EBAY US          786-762-515  CA</t>
  </si>
  <si>
    <t>Rockler WW  Hdwe 02      Seattle      WA</t>
  </si>
  <si>
    <t>LIME*RIDE W6WR           LI.ME        CA</t>
  </si>
  <si>
    <t>Vans Seattle             Seattle      WA</t>
  </si>
  <si>
    <t>THE STATION CC           SEATTLE      WA</t>
  </si>
  <si>
    <t>CHILI'S DELI             SEATTLE      WA</t>
  </si>
  <si>
    <t>STARBUCKS STORE 03238    SEATTLE      WA</t>
  </si>
  <si>
    <t>SQ *MOLLY MOON'S UVILLAGESeattle      WA</t>
  </si>
  <si>
    <t>PAYPAL *PUGETSOUNDE      4029357733   WA</t>
  </si>
  <si>
    <t>SPOT                     WWW.GLOBALSTALA</t>
  </si>
  <si>
    <t>GOOGLE*CLOUD XPCZC2      CC GOOGLE.COMCA</t>
  </si>
  <si>
    <t>RIDGE PIZZA              SEATTLE      WA</t>
  </si>
  <si>
    <t>TM *TICKETMASTER         800-653-8000 CA</t>
  </si>
  <si>
    <t>TST*ROAM BAR LLC         Seattle      WA</t>
  </si>
  <si>
    <t>TST*BALLARD PIZZA        Seattle      WA</t>
  </si>
  <si>
    <t>SUNCOVE MARKET           ORONDO       WA</t>
  </si>
  <si>
    <t>SQ *CHELAN STATION RERUNSCHELAN       WA</t>
  </si>
  <si>
    <t>76 - MARKET PLACE        ORONDO       WA</t>
  </si>
  <si>
    <t>MS* NO.1APARTMENTS-ST    GLASGOW      GB</t>
  </si>
  <si>
    <t>LS LAUGHING BUDDHA       120-63298274 WA</t>
  </si>
  <si>
    <t>SAFEWAY #1589            LEAVENWORTH  WA</t>
  </si>
  <si>
    <t>SPOTHERO 844-356-8054    SPOTHERO.COM IL</t>
  </si>
  <si>
    <t>SUBWAY 22280             SEATTLE      WA</t>
  </si>
  <si>
    <t>STARBUCKS STORE 03324    SEATTLE      WA</t>
  </si>
  <si>
    <t>AAA WA MEMBERSHIP 00     800-562-2582 WA</t>
  </si>
  <si>
    <t>BROWN BEAR CAR WASH #1026SEATTLE      WA</t>
  </si>
  <si>
    <t>Spotify P39FBA334F       New York     NY</t>
  </si>
  <si>
    <t>PAYPAL *MACNAUGHT U MACNA813-628-5506 FL</t>
  </si>
  <si>
    <t>IC* INSTACART            INSTACART.COMCA</t>
  </si>
  <si>
    <t>FRANK'S GENERAL STORE    CHERRYVILLE  CD</t>
  </si>
  <si>
    <t>eBay O*17-13491-31996    Toronto      CD</t>
  </si>
  <si>
    <t>SHELL OIL12504839015     SEATTLE      WA</t>
  </si>
  <si>
    <t>TST*DINGFELDERS DELICAT  Seattle      WA</t>
  </si>
  <si>
    <t>SQ *MACRINA - CAPITOL HILSeattle      WA</t>
  </si>
  <si>
    <t>SQ *BATCH BAKING COMPANY SEATTLE      WA</t>
  </si>
  <si>
    <t>SQ *SEATTLE POPS - FARMEREdmonds      WA</t>
  </si>
  <si>
    <r>
      <t>Amazon.com</t>
    </r>
    <r>
      <rPr>
        <sz val="10"/>
        <color rgb="FF000000"/>
        <rFont val="Helvetica Neue"/>
        <family val="2"/>
      </rPr>
      <t xml:space="preserve">*2A24M10I3     </t>
    </r>
    <r>
      <rPr>
        <u/>
        <sz val="10"/>
        <color rgb="FF000000"/>
        <rFont val="Helvetica Neue"/>
        <family val="2"/>
      </rPr>
      <t>Amzn.com/billWA</t>
    </r>
  </si>
  <si>
    <t>STARBUCKS STORE 02810    SEATTLE      WA</t>
  </si>
  <si>
    <t>LISA A. EMERSON, PHD     LINKEDIN.COM/WA</t>
  </si>
  <si>
    <t>Etsy.com - Chicamaze     844-6593879  NY</t>
  </si>
  <si>
    <t>TST*QUEEN CAPHE - EM     Seattle      WA</t>
  </si>
  <si>
    <t>SQ *SEATTLE POPS - FARMERSeattle      WA</t>
  </si>
  <si>
    <t>STARBUCKS 02810          SEATTLE      WA</t>
  </si>
  <si>
    <t>SQ *QUEEN ANNE COFFEE CO.Seattle      WA</t>
  </si>
  <si>
    <t>JEBENA CAFE &amp; MARKET LLC SEATTLE      WA</t>
  </si>
  <si>
    <t>SP STORY IN A BOTTLE W   142-55909326 WA</t>
  </si>
  <si>
    <t>ULINE  *SHIP SUPPLIES    800-295- CREDIT</t>
  </si>
  <si>
    <t>AMAZON MKTPL*FI8UH9NO3   Amzn.com/billWA</t>
  </si>
  <si>
    <t>SP UNIVERSITY BOOK STO   120-66343400 WA</t>
  </si>
  <si>
    <t>FREDDYS BREWPUB          KELOWNA      CD</t>
  </si>
  <si>
    <t>APPLE.COM/BILL           800-275-2273 CA</t>
  </si>
  <si>
    <t>THE HOME DEPOT #4715     BELLINGHAM   WA</t>
  </si>
  <si>
    <t>COSTCO GAS #1216         BELLINGHAM   WA</t>
  </si>
  <si>
    <t>COSTCO WHSE#1216         BELLINGHAM   WA</t>
  </si>
  <si>
    <t>ORIENTAL SUPERMARKET     KELOWNA      CD</t>
  </si>
  <si>
    <t>PHO EVER LLC             BELLEVUE     WA</t>
  </si>
  <si>
    <t>WALGREENS #6890          SEATTLE      WA</t>
  </si>
  <si>
    <t>CHIPOTLE 1083            SEATTLE      WA</t>
  </si>
  <si>
    <t>TST*MEE SUM SEATTLE UNIV Seattle      WA</t>
  </si>
  <si>
    <t>STARBUCKS STORE 47207    BELLEVUE     WA</t>
  </si>
  <si>
    <t>JAMJUREE THAI            SEATTLE      WA</t>
  </si>
  <si>
    <t>BackCountry - Seattle    Seattle      WA</t>
  </si>
  <si>
    <t>TST*BLAZING BAGELS - BLA Seattle      WA</t>
  </si>
  <si>
    <t>SQ *RACHEL'S GINGER BEER seattle      WA</t>
  </si>
  <si>
    <t>TST*PORTAGE BAY CAFE - R Seattle      WA</t>
  </si>
  <si>
    <t>APPLE STORE  #R072       SEATTLE      WA</t>
  </si>
  <si>
    <t>STARBUCKS STORE 03376    SEATTLE      WA</t>
  </si>
  <si>
    <t>CTLP*CANTEEN VENDING S   CHARLOTTE    NC</t>
  </si>
  <si>
    <t>ETSY, INC.               718-8557955  NY</t>
  </si>
  <si>
    <t>JACKSON PRK GOLF #720540 2063634747   WA</t>
  </si>
  <si>
    <t>PAGLIACCI SAND POINT     SEATTLE      WA</t>
  </si>
  <si>
    <t>ARCO#00818RED SEA SERVIC SEATTLE      WA</t>
  </si>
  <si>
    <t>COSTCO WHSE #0670        SPOKANE      WA</t>
  </si>
  <si>
    <t>ULINE  *SHIP SUPPLIES    800-295-5510 WI</t>
  </si>
  <si>
    <t>MDSEELIG                 MDSEELIG.COM WA</t>
  </si>
  <si>
    <t>YELP-GRUBHUB*TASTEOFIN   8775851085   NY</t>
  </si>
  <si>
    <t>SUPER SAVE GAS #11       MERRITT      CD</t>
  </si>
  <si>
    <t>PEKING GARDEN AG         ZUERICH      CH</t>
  </si>
  <si>
    <t>Etsy.com - ProvenceDecor 844-6593879  NY</t>
  </si>
  <si>
    <t>SOUVENIR SCHEIDEGGER     ADELBODEN    CH</t>
  </si>
  <si>
    <t>BAECKEREI HAUETER        ADELBODEN    CH</t>
  </si>
  <si>
    <t>Oester Sport AG          Adelboden    CH</t>
  </si>
  <si>
    <t>Crazy Sports Ltd.        Adelboden    CH</t>
  </si>
  <si>
    <t>PAYPAL *LITB             4029357733   HK</t>
  </si>
  <si>
    <t>DD *DOORDASH MONSOONSE   DOORDASH.COM CA</t>
  </si>
  <si>
    <t>PAMPER HAUS              415-754-0166 CA</t>
  </si>
  <si>
    <t>UW PAY BY PHONE          SEATTLE      WA</t>
  </si>
  <si>
    <t>Erlebnisdrogerie GmbH    Adelboden    CH</t>
  </si>
  <si>
    <t>POSH PAWS                SEATTLE      WA</t>
  </si>
  <si>
    <t>THREE SACKS FULL         SEATTLE      WA</t>
  </si>
  <si>
    <t>Teton Orthopaedics       307-7333900  WY</t>
  </si>
  <si>
    <t>SQ *LITTLE CONEY         SEATTLE      WA</t>
  </si>
  <si>
    <t>AMAZON MKTPLACE PMTS Amzn.com/bil CREDIT</t>
  </si>
  <si>
    <t>COSTCO WHSE #0662        BURLINGTON   WA</t>
  </si>
  <si>
    <t>T-MOBILE PARK            206-6643185  WA</t>
  </si>
  <si>
    <t>HLU*HULUPLUS             hulu.com/billCA</t>
  </si>
  <si>
    <t>TM *SEATTLE MARINERS-T   800-653-8000 CA</t>
  </si>
  <si>
    <t>SQ *DON AND JOE'S MEATS  SEATTLE      WA</t>
  </si>
  <si>
    <t>SEATTLE METER PARKING    2066842489   WA</t>
  </si>
  <si>
    <t>FEDEX OFFIC51800051847   SEATTLE      WA</t>
  </si>
  <si>
    <t>76 - ROOSEVELT 76        SEATTLE      WA</t>
  </si>
  <si>
    <t>SUMUP  *ZW GASTRO GMBH   WILDERSWIL   CH</t>
  </si>
  <si>
    <t>GOOGLE*CLOUD KZXMRS      CC GOOGLE.COMCA</t>
  </si>
  <si>
    <t>MOBILE SUICA APPLE V     TOKYO        JP</t>
  </si>
  <si>
    <t>STARBUCKS COFFEE JAPAN   TOKYO        JP</t>
  </si>
  <si>
    <t>SEVEN-ELEVEN             TOKYO        JP</t>
  </si>
  <si>
    <t>JAPAN AIRPORT BLDG SHOP  TOKYO        JP</t>
  </si>
  <si>
    <t>HILTON SEATTLE PARKING   SEATTLE      WA</t>
  </si>
  <si>
    <t>JR EAST SHOPPING CENTER  SIBUYAKU     JP</t>
  </si>
  <si>
    <t>ITALO MAX GMBH           WOHLEN AG    CH</t>
  </si>
  <si>
    <t>HILTON SEATTLE FB        SEATTLE      WA</t>
  </si>
  <si>
    <t>ELEPHANT CAR WASH        BELLEVUE     WA</t>
  </si>
  <si>
    <t>MARUMARU                 NARA         JP</t>
  </si>
  <si>
    <t>PUBLIC HOUSE RITZ        NARA         JP</t>
  </si>
  <si>
    <t>FURETSUSHIYUMATOOKESUTOMONARA         JP</t>
  </si>
  <si>
    <t>FAMILYMART               TOKYO        JP</t>
  </si>
  <si>
    <t>YAMAKARANA               NARA         JP</t>
  </si>
  <si>
    <t>RAKUTENPAY CARAMELBISCUITNARA         JP</t>
  </si>
  <si>
    <t>SANDORATSUGU             FUCHU        JP</t>
  </si>
  <si>
    <t>GLANTA KYOTO SANJOKAWAR  KYOTO        JP</t>
  </si>
  <si>
    <t>JMS*YAGIBUTUGUTEN        KYOTO        JP</t>
  </si>
  <si>
    <t>APNA BAZAR BELLEVUE      BELLEVUE     WA</t>
  </si>
  <si>
    <t>SPO*MIRAKUTEISUSHI&amp;RAMEN PORTLAND     OR</t>
  </si>
  <si>
    <t>BROWN BEAR CAR WASH - NE SEATTLE      WA</t>
  </si>
  <si>
    <t>PAYPAL *PATHSPEAKSP      7162130350   NY</t>
  </si>
  <si>
    <t>AUTOZONE #5197           ARLINGTON    WA</t>
  </si>
  <si>
    <t>TENPOZAN MARKET PLACE    OSAKA        JP</t>
  </si>
  <si>
    <t>SQ*RIVIVE                OSAKA        JP</t>
  </si>
  <si>
    <t>Sky Lagoon - Retail Ca   Kopavogur    IS</t>
  </si>
  <si>
    <t>KRUSE MEADOWS ONPOINT CU LAKE OSWEGO  OR</t>
  </si>
  <si>
    <t>STARBUCKS STORE 85766    RIDGEFIELD   WA</t>
  </si>
  <si>
    <t>CHEVRON 0305496          CASTLE ROCK  WA</t>
  </si>
  <si>
    <t>SQ *INHABIT DESIGN WORKS PORTLAND     OR</t>
  </si>
  <si>
    <t>Spotify P390163664       New York     NY</t>
  </si>
  <si>
    <t>HUDSON ST 1479           SEATAC       WA</t>
  </si>
  <si>
    <t>SQ*SQUARE MERCHANT       NARA         JP</t>
  </si>
  <si>
    <t>SQ *CAPITOL HILL - WESTMASeattle      WA</t>
  </si>
  <si>
    <t>SQ *PACHA COLLECTIVE     Seattle      WA</t>
  </si>
  <si>
    <t>WWW.JFSSEATTLE.ORG       JFSSEATTLE.ORWA</t>
  </si>
  <si>
    <t>DUNN GREENLAKE           SEATTLE      WA</t>
  </si>
  <si>
    <t>PAYPAL *PANTHER RV PANTHE402-935-7733 WA</t>
  </si>
  <si>
    <t>WWW.CORRYSCLEANING.COM   WWW.CORRYSCLEWA</t>
  </si>
  <si>
    <t>EXPEDITED SHIPPING FEE FOR 2068</t>
  </si>
  <si>
    <t>MCDONALD'S               TOKYO        JP</t>
  </si>
  <si>
    <t>ITOYA HONTEN             TOKYO        JP</t>
  </si>
  <si>
    <t>ITO-YA                   Tokyo        JP</t>
  </si>
  <si>
    <t>THE HOME DEPOT #4702     SEATTLE      WA</t>
  </si>
  <si>
    <t>IN *WRIGHT DESIGNS LLC   360-5727839  WA</t>
  </si>
  <si>
    <t>SQ*TEAPOND KIYOSUMI-SHIRATOKYO        JP</t>
  </si>
  <si>
    <t>SQ*BUMPODO               TOKYO        JP</t>
  </si>
  <si>
    <t>EPIC BARBER SHOP         SEATTLE      WA</t>
  </si>
  <si>
    <t>WHOLEFDS RSQ 10103       SEATTLE      WA</t>
  </si>
  <si>
    <t>LUZERN SOLUTIONS LLC     415-429-3880 TX</t>
  </si>
  <si>
    <t>PAYPAL *CHEWY INC        402-935-7733 FL</t>
  </si>
  <si>
    <t>EXPEDIA 73181411974404   EXPEDIA.COM  WA</t>
  </si>
  <si>
    <t>AUTOBACS (POS)           OSAKA        JP</t>
  </si>
  <si>
    <t>TSUTAYABUTSUKUSUTOAAPITSUTOKYO        JP</t>
  </si>
  <si>
    <t>LAWSON                   TOKYO        JP</t>
  </si>
  <si>
    <t>SQ*DENIMIO               TOKYO        JP</t>
  </si>
  <si>
    <t>TST*CAFFE FIORE - QA     Seattle      WA</t>
  </si>
  <si>
    <t>SHELL OIL 57445958606    SEATTLE      WA</t>
  </si>
  <si>
    <t>GLAZER'S CAMERA SEATTLE  WA       CREDIT</t>
  </si>
  <si>
    <t>a.saily                  Lewes        DE</t>
  </si>
  <si>
    <t>TEAMLAB PLANETS TOKYO    03-6670-3911 JP</t>
  </si>
  <si>
    <t>IN *SYDNEY MARIE ARBORIST952-5945731  WA</t>
  </si>
  <si>
    <t>PAYPAL *MADRASCARTL      402-935-7733 CA</t>
  </si>
  <si>
    <t>AMAZON MKTPL*IF1QL9TA3   Amzn.com/billWA</t>
  </si>
  <si>
    <t>SEA PEETS COFFEE SS 1310 TUKWILA      WA</t>
  </si>
  <si>
    <t>GLAZER'S CAMERA          SEATTLE      WA</t>
  </si>
  <si>
    <t>EVIDENCE BASED TREATMENT 206-3740109  WA</t>
  </si>
  <si>
    <t>AMAZON MKTPL*061WN5NY3   Amzn.com/billWA</t>
  </si>
  <si>
    <t>STONEWAY HARDWARE BALLAR SEATTLE  CREDIT</t>
  </si>
  <si>
    <t>CHIPOTLE 2554            SEATTLE      WA</t>
  </si>
  <si>
    <t>STARBUCKS CONC C PHL     PHILADELPHIA PA</t>
  </si>
  <si>
    <t>SRSMRKTPLACE.COM 9311    847-286-2500 IL</t>
  </si>
  <si>
    <t>Netflix.com              408-5403700  CA</t>
  </si>
  <si>
    <t>10098 CAVA SUBURBAN SQ   ARDMORE      PA</t>
  </si>
  <si>
    <t>The Webstaurant Store Inc717-392-7472 PA</t>
  </si>
  <si>
    <t>AMAZON MKTPL*6E4ZE8763   Amzn.com/billWA</t>
  </si>
  <si>
    <t>PAYPAL *EBAY US          786762515    CA</t>
  </si>
  <si>
    <t>AMAZON MKTPL*NL2152RU0   Amzn.com/billWA</t>
  </si>
  <si>
    <t>AMAZON MKTPL*NL4NU0RP0   Amzn.com/billWA</t>
  </si>
  <si>
    <t>STONEWAY HARDWARE BALLAR SEATTLE      WA</t>
  </si>
  <si>
    <t>TACOMA SCREW PRODUCTS INCSEATTLE      WA</t>
  </si>
  <si>
    <t>PAYPAL *JINUOKEJM9S      4029357733   HK</t>
  </si>
  <si>
    <t>Jamaican Me Crazy        MARGATE CITY NJ</t>
  </si>
  <si>
    <t>SAFEWAY FUEL0534         ARLINGTON    WA</t>
  </si>
  <si>
    <t>SDOT PAYBYPHONE PARKING  2066845260   WA</t>
  </si>
  <si>
    <t>PIKE&amp;PINE ST2275         SEATTLE      WA</t>
  </si>
  <si>
    <t>STARBUCKS EVENINGS SEA   SEATTLE      WA</t>
  </si>
  <si>
    <t>TST*AGUA VERDE CAFE      Seattle      WA</t>
  </si>
  <si>
    <t>SAFEWAY #0423            SEATTLE      WA</t>
  </si>
  <si>
    <t>PAYPAL *ATLANTICBRI      8005332210   NY</t>
  </si>
  <si>
    <t>BIDEGI A8/A1 GIPUZKOA    DONOSTIA-SAN ES</t>
  </si>
  <si>
    <t>LAZ PARKING ECOMMERCE    860-522-7641 CT</t>
  </si>
  <si>
    <t>SQ *DIPPY'S ICE CREAM    Seattle      WA</t>
  </si>
  <si>
    <t>AMZ*5a93g3xcp Lumen FieldSeattle      WA</t>
  </si>
  <si>
    <t>SHELL OIL10006032014     SEATTLE      WA</t>
  </si>
  <si>
    <t>TST*MOES DARRINGTON      Darrington   WA</t>
  </si>
  <si>
    <t>76 - CHELAN 76           CHELAN       WA</t>
  </si>
  <si>
    <t>SQ *AUT-TO MOCHA 6       Cashmere     WA</t>
  </si>
  <si>
    <t>APPLE ANNIES ANTIQUE GALLCASHMERE     WA</t>
  </si>
  <si>
    <t>HIGH TREK CHELAN         CHELAN       WA</t>
  </si>
  <si>
    <t>SLIDEWATERS WATERPARK    CHELAN       WA</t>
  </si>
  <si>
    <t>AMAZON MKTPL*N322C53H1   Amzn.com/billWA</t>
  </si>
  <si>
    <t>QFC #5872                SEATTLE      WA</t>
  </si>
  <si>
    <t>CHEVRON 0205343          SNOQUALMIE PAWA</t>
  </si>
  <si>
    <t>AAA WA MEMBERSHIP 01     800-562-2582 WA</t>
  </si>
  <si>
    <t>GOOGLE *CLOUD Dx3V98     g.co/HelpPay#CA</t>
  </si>
  <si>
    <t>SQ *MOLLY MOON'S MADRONA Seattle      WA</t>
  </si>
  <si>
    <t>SP UNIVERSITY BOOK STO   UBOOKSTORE.COWA</t>
  </si>
  <si>
    <t>SP DMOOSEFITNESS         DMOOSE.COM   WY</t>
  </si>
  <si>
    <t>PP*LAURELHURST BEACH CLUBSEATTLE      WA</t>
  </si>
  <si>
    <t>CASUALFOOD  2130         Frankfurt am DF</t>
  </si>
  <si>
    <t>Lagardere Fil. 272       Frankfurt am DF</t>
  </si>
  <si>
    <t>AEROP. ADOLFO SUAREZ MADRMADRID       ES</t>
  </si>
  <si>
    <t>HOTEL SILKEN PUERTA MA   MADRID       ES</t>
  </si>
  <si>
    <t>E.S. MUSAKOLA            MONDRAGON    ES</t>
  </si>
  <si>
    <t>Spotify USA              877-7781161  NY</t>
  </si>
  <si>
    <t>ENXALAO                  DONOSTIA     ES</t>
  </si>
  <si>
    <t>MARIA ESTHER MARTINEZ    DONOSTIA SAN ES</t>
  </si>
  <si>
    <t>ARRIZUL CONGRESS         SAN SEBASTIANES</t>
  </si>
  <si>
    <t>LYSA MODA Y COMPLEMENTOS MADRID       ES</t>
  </si>
  <si>
    <t>YUCATAN                  MADRID       ES</t>
  </si>
  <si>
    <t>AP-1 ARABAT MOND-ETXA    GASTEIZ-VITO ES</t>
  </si>
  <si>
    <t>RESTAURANTE MONTYS       MADRID       ES</t>
  </si>
  <si>
    <t>ZMARE                    DONOSTIA     ES</t>
  </si>
  <si>
    <t>KARRIKA TABERNA          DONOSTIA     ES</t>
  </si>
  <si>
    <t>RED LIGHT                SEATTLE      WA</t>
  </si>
  <si>
    <t>CHEVRON 0205257          SEATTLE      WA</t>
  </si>
  <si>
    <t>EXPEDIA 72063891554924   EXPEDIA.COM  NV</t>
  </si>
  <si>
    <t>GOSEA                    DONOSTIA     ES</t>
  </si>
  <si>
    <t>Sarasa N/AP15 NAVARRA    PAMPLONA     ES</t>
  </si>
  <si>
    <t>PARKING OKENDO-PAGO EMV  DONOSTIA-SAN ES</t>
  </si>
  <si>
    <t>BAR PRADOVIEJO           LOGRONO      ES</t>
  </si>
  <si>
    <t>EL ANGEL PORTALES        LOGRONO      ES</t>
  </si>
  <si>
    <t>CASA VICTOR              LOGROO       ES</t>
  </si>
  <si>
    <t>BODEGAS PAGOS DE GANUZA  OYON         ES</t>
  </si>
  <si>
    <t>LAVANDERIA OPEN BLUE     LOGRONO      ES</t>
  </si>
  <si>
    <t>SHELLFISH LOGRONO        LOGRONO      ES</t>
  </si>
  <si>
    <t>ALCAMPO LOGRONO          LOGRONO      ES</t>
  </si>
  <si>
    <t>SP PEACE LOVE HAPPINES   120-65471211 WA</t>
  </si>
  <si>
    <t>METROPOLITAN CAFE &amp; DELI SEATTLE      WA</t>
  </si>
  <si>
    <t>BODEGON EL REFUGIO       LOGRO/O      ES</t>
  </si>
  <si>
    <t>CALENDA PORTALES         LOGRO/O      ES</t>
  </si>
  <si>
    <t>PHOTAIR 18               FRANKFURT    DF</t>
  </si>
  <si>
    <t>BAR LA SENDA             LOGRONO      ES</t>
  </si>
  <si>
    <t>CASUALFOOD 2630 1 + APM  Frankfurt am DF</t>
  </si>
  <si>
    <t>SANTO COFFEE CO.         SEATTLE      WA</t>
  </si>
  <si>
    <t>ALIMENTACION PRIMOS      LOGRONO      ES</t>
  </si>
  <si>
    <t>ONLY YOU HOTEL ATOCHA    MADRID       ES</t>
  </si>
  <si>
    <t>SIMPLY CHILE             LOGRONO      ES</t>
  </si>
  <si>
    <t>DTW MOD Pizza            Detroit      MI</t>
  </si>
  <si>
    <t>SQ *BLANK SLATE CREAMERY Ann Arbor    MI</t>
  </si>
  <si>
    <t>RESTAURANTE TAL CUAL     LOGRONO      ES</t>
  </si>
  <si>
    <t>EXPMONCAL                LOGRONO      ES</t>
  </si>
  <si>
    <t>DTW CNBC SMARTSHOP       Detroit      MI</t>
  </si>
  <si>
    <t>CU4TRO                   LOGRONO      ES</t>
  </si>
  <si>
    <t>JOLLY PUMPKIN DTW        DETROIT      MI</t>
  </si>
  <si>
    <t>PAMPANO EVENTOS          LOGRONO      ES</t>
  </si>
  <si>
    <t>RESTAURANTE EL MANA      LOGRONO      ES</t>
  </si>
  <si>
    <t>NOCHE Y DIA GRAN VIA 67  LOGRONO      ES</t>
  </si>
  <si>
    <t>U-DISTRICT               clover.com   WA</t>
  </si>
  <si>
    <t>ATPSEITT  M-50S-&amp;gt;N-IITMADRID       ES</t>
  </si>
  <si>
    <t>GASOLEOS MARQUEZ, S.L.   ALMAZAN (SORIES</t>
  </si>
  <si>
    <t>TST* GRADUATE ANN ARBOR  ANN ARBOR    MI</t>
  </si>
  <si>
    <t>LUFTHAN     2204088682200NEW YORK     NY</t>
  </si>
  <si>
    <t>PAYPAL *TRAINLINE        07725264272  GB</t>
  </si>
  <si>
    <t>SHELL OIL 52175500058    PINCONNING   MI</t>
  </si>
  <si>
    <t>DUNHAMS 068              ALPENA       MI</t>
  </si>
  <si>
    <t>CHIPOTLE 1219            ANN ARBOR    MI</t>
  </si>
  <si>
    <t>UW MEDICINE              855-520-0400 WA</t>
  </si>
  <si>
    <t>METHOW VALLEY CIDERHOUSE WINTHROP     WA</t>
  </si>
  <si>
    <t>SQ *SHERIS SWEET SHOPPE  Winthrop     WA</t>
  </si>
  <si>
    <t>FLO SERVICES USA INC     WWW.FLO.COM  MI</t>
  </si>
  <si>
    <t>SUN MOUNTAIN LODGE       WINTHROP     WA</t>
  </si>
  <si>
    <t>SKAGIT GEN STR           ROCKPORT     WA</t>
  </si>
  <si>
    <t>GLOVER STREET MARKET     TWISP        WA</t>
  </si>
  <si>
    <t>TST*JUPITER              Winthrop     WA</t>
  </si>
  <si>
    <t>SQ *CINNAMON TWISP BAKERYTWISP        WA</t>
  </si>
  <si>
    <t>SERCOTEL LOGRONO         LOGRONO      ES</t>
  </si>
  <si>
    <t>ITALIAN FAMILY PIZZA     131-27305592 IL</t>
  </si>
  <si>
    <t>SQ *MOUNTAIN MEALS AND CAChelan       WA</t>
  </si>
  <si>
    <t>STARBUCKS STORE 02958    SEATTLE      WA</t>
  </si>
  <si>
    <t>PAYPAL *80 20 INC        260-248-8030 IN</t>
  </si>
  <si>
    <t>VM PARKING BARONESS LOT  SEATTLE      WA</t>
  </si>
  <si>
    <t>TST*BOBS BURGER &amp; BREW   Burlington   WA</t>
  </si>
  <si>
    <t>GRAINGER                 800-4724643  IL</t>
  </si>
  <si>
    <t>HEALTHY PAWS PET INSUR   855-898-8991 GA</t>
  </si>
  <si>
    <t>HARBOR FREIGHT TOOLS 377 SEATTLE      WA</t>
  </si>
  <si>
    <t>PAYBYPHONE DIAMOND PAR   877-6102054  WA</t>
  </si>
  <si>
    <t>VIETLICIOUS              SEATTLE      WA</t>
  </si>
  <si>
    <t>WHOLEFDS MBD #10630      SEATTLE      WA</t>
  </si>
  <si>
    <t>TST*BOMBAY BURGER        Seattle      WA</t>
  </si>
  <si>
    <t>INTEGRITY ENERGY SYSTEM  425-4194676  WA</t>
  </si>
  <si>
    <t>EXPEDIA 73119260004408   EXPEDIA.COM  WA</t>
  </si>
  <si>
    <t>LAURELHURST BEACH CLUB   206-5242010  WA</t>
  </si>
  <si>
    <t>UW FOOD SERVICES         SEATTLE      WA</t>
  </si>
  <si>
    <t>SQ *FRED HUTCH CANCER CENSeattle      WA</t>
  </si>
  <si>
    <t>HOTWIRE REFRIGERATION    info.hotwire.WA</t>
  </si>
  <si>
    <t>GADGET REHAB             SEATTLE      WA</t>
  </si>
  <si>
    <t>WA PARKSRESERVATIONSWEB  948760235httpWA</t>
  </si>
  <si>
    <t>WA PARKSRESERVATIONSWEB  398293706httpWA</t>
  </si>
  <si>
    <t>DD *DOORDASH NOITHAICU   DOORDASH.COM CA</t>
  </si>
  <si>
    <t>PAYPAL *WHITE TOP A WHITE4029357733   CA</t>
  </si>
  <si>
    <t>THE GRATEFUL BREAD       SEATTLE      WA</t>
  </si>
  <si>
    <t>CARILLON POINT PARKING   KIRKLAND     WA</t>
  </si>
  <si>
    <t>SQ *SOUTH LAKE UNION FRESSeattle      WA</t>
  </si>
  <si>
    <t>GOOGLE *CLOUD wB3WJ7     g.co/HelpPay#CA</t>
  </si>
  <si>
    <t>SQ *JUNI VINTAGE         Seattle      WA</t>
  </si>
  <si>
    <t>COSTCO *ANNUAL RENEWAL   800-774-2678 WA</t>
  </si>
  <si>
    <t>TPD WEDGWOOD 103         SEATTLE      WA</t>
  </si>
  <si>
    <t>CHEVRON 0097258          SEATTLE      WA</t>
  </si>
  <si>
    <t>DD *DOORDASH DINGFELDE   DOORDASH.COM CA</t>
  </si>
  <si>
    <t>ParkWhiz, Inc.           Chicago      IL</t>
  </si>
  <si>
    <t>WWW.SWEETGREEN.COM       162-65874164 CA</t>
  </si>
  <si>
    <r>
      <t>Amazon.com</t>
    </r>
    <r>
      <rPr>
        <sz val="10"/>
        <color rgb="FF000000"/>
        <rFont val="Helvetica Neue"/>
        <family val="2"/>
      </rPr>
      <t xml:space="preserve">*NN5O80NT1     </t>
    </r>
    <r>
      <rPr>
        <u/>
        <sz val="10"/>
        <color rgb="FF000000"/>
        <rFont val="Helvetica Neue"/>
        <family val="2"/>
      </rPr>
      <t>Amzn.com/billWA</t>
    </r>
  </si>
  <si>
    <t>AMAZON MKTPL*NN6730OD0   Amzn.com/billWA</t>
  </si>
  <si>
    <t>TACO BELL 031340         REDMOND      WA</t>
  </si>
  <si>
    <t>QFC #5838                KIRKLAND     WA</t>
  </si>
  <si>
    <t>KYOTO ARTS, LLC          SEATTLE      WA</t>
  </si>
  <si>
    <t>KENMORE CAMERA           KENMORE      WA</t>
  </si>
  <si>
    <t>AMAZON PRIME*NZ74Z5X60   Amzn.com/billWA</t>
  </si>
  <si>
    <t>DELAURENTI ITALIAN  INTERSEATTLE      WA</t>
  </si>
  <si>
    <t>SQ *TINY'S ORGANIC, LLC  Seattle      WA</t>
  </si>
  <si>
    <t>TWEEDY &amp; POPP HDWE AT UW SEATTLE      WA</t>
  </si>
  <si>
    <t>SQ *SEATTLE GRAND CENTRALSeattle      WA</t>
  </si>
  <si>
    <t>LUFTHAN     2204087702866NEW YORK     NY</t>
  </si>
  <si>
    <t>CL *TRIPCHARGES          TRIPCHRG.COM VA</t>
  </si>
  <si>
    <t>SWANSONS NURSERY 2       SEATTLE      WA</t>
  </si>
  <si>
    <t>TST* ROUGH &amp; TUMBLE PUB  SEATTLE      WA</t>
  </si>
  <si>
    <t>SQ *PROCTOR FARMERS MARKESeattle      WA</t>
  </si>
  <si>
    <t>SP STUDIORA BOUTIQUE     120-67172131 WA</t>
  </si>
  <si>
    <t>AMAZON PRIME PMTS        amzn.com/billWA</t>
  </si>
  <si>
    <t>AMAZON PRIME PMTS        Amzn.com/billWA</t>
  </si>
  <si>
    <t>CHIPOTLE 1364            BELLEVUE     WA</t>
  </si>
  <si>
    <t>CHAPULIN OAXAQUENO LLC   SEATTLE      WA</t>
  </si>
  <si>
    <t>PAYPAL *ETSY INC         4029357733   CA</t>
  </si>
  <si>
    <t>COMCAST CABLE COMM       800-COMCAST  WA</t>
  </si>
  <si>
    <t>SP SHOP GOLD DOGS        120-64991811 WA</t>
  </si>
  <si>
    <t>MAD PIZZA                SEATTLE      WA</t>
  </si>
  <si>
    <t>R&amp;R PRODUCTS             520-8893593  AZ</t>
  </si>
  <si>
    <t>METROPOLITAN MARKET      KIRKLAND     WA</t>
  </si>
  <si>
    <t>COSTCO WHSE #0110        ISSAQUAH     WA</t>
  </si>
  <si>
    <t>TST*BLAZING BAGELS - ISS Issaquah     WA</t>
  </si>
  <si>
    <t>AMAZON PRIME*NW4220JE2   amzn.com/billWA</t>
  </si>
  <si>
    <t>TST*MIOPOSTO - RAVENNA   Seattle      WA</t>
  </si>
  <si>
    <t>ALL THE BEST PET CARE    206-529-8000 WA</t>
  </si>
  <si>
    <t>IC* INSTACART*SUBSCRIP   INSTACART.COMCA</t>
  </si>
  <si>
    <t>AMAZON MKTPL*NI8I808V2   Amzn.com/billWA</t>
  </si>
  <si>
    <t>76 - CF UNITED APRO LLC 2BELLEVUE     WA</t>
  </si>
  <si>
    <t>S       A                206-3236600  WA</t>
  </si>
  <si>
    <t>HYATT AT OLIVE 8 F&amp;B     SEATTLE      WA</t>
  </si>
  <si>
    <t>SQ *RAVENNA BREWING CO   Seattle      WA</t>
  </si>
  <si>
    <t>Seattle Symphony         Seattle      WA</t>
  </si>
  <si>
    <t>GOOGLE *Google Nest      855-836-3987 CA</t>
  </si>
  <si>
    <t>GOOGLE *CLOUD 3C872W     g.co/helppay#CA</t>
  </si>
  <si>
    <t>CHIPOTLE 2935            SEATTLE      WA</t>
  </si>
  <si>
    <t>KATHAKALI AN INDIAN EATERKIRKLAND     WA</t>
  </si>
  <si>
    <t>URBAN OUTFITTERS #111    SEATTLE      WA</t>
  </si>
  <si>
    <t>SCC ONLINE PARKING       SEATTLE      WA</t>
  </si>
  <si>
    <t>SQ *STYLECLASSEDGE       Seattle      WA</t>
  </si>
  <si>
    <t>TST*BOUNTY KITCHEN       Seattle      WA</t>
  </si>
  <si>
    <t>Etsy.com - Multiple Shop 844-6593879  NY</t>
  </si>
  <si>
    <t>7-ELEVEN 23020           SEATTLE      WA</t>
  </si>
  <si>
    <r>
      <t>Amazon.com</t>
    </r>
    <r>
      <rPr>
        <sz val="10"/>
        <color rgb="FF000000"/>
        <rFont val="Helvetica Neue"/>
        <family val="2"/>
      </rPr>
      <t xml:space="preserve">*BH4NM58A3     </t>
    </r>
    <r>
      <rPr>
        <u/>
        <sz val="10"/>
        <color rgb="FF000000"/>
        <rFont val="Helvetica Neue"/>
        <family val="2"/>
      </rPr>
      <t>Amzn.com/billWA</t>
    </r>
  </si>
  <si>
    <t>AMAZON PRIME*7X9QF4S53   Amzn.com/billWA</t>
  </si>
  <si>
    <t>TST* CARMELO'S TACOS - CHSEATTLE      WA</t>
  </si>
  <si>
    <t>CHIPOTLE 5280            SEATTLE      WA</t>
  </si>
  <si>
    <t>PP*NORDISCOCOR           8476471424   IL</t>
  </si>
  <si>
    <t>SP A LA MAISON DE PR     ALAMAISONDEPRFL</t>
  </si>
  <si>
    <t>AMAZON MKTPL*QZ40E1J43   Amzn.com/billWA</t>
  </si>
  <si>
    <t>LYFT   *1 RIDE 04-18     LYFT.COM     CA</t>
  </si>
  <si>
    <t>STARBUCKS STORE 03204    SEATTLE      WA</t>
  </si>
  <si>
    <t>CANNON EYECARE - UV      SEATTLE      WA</t>
  </si>
  <si>
    <t>CVS/PHARMACY #10387      SEATTLE      WA</t>
  </si>
  <si>
    <t>SQ *PANDA PHOTOGRAPHIC LASeattle      WA</t>
  </si>
  <si>
    <t>Subway 25523             Seattle      WA</t>
  </si>
  <si>
    <t>PURE FOOD FISH MARKET    SEATTLE      WA</t>
  </si>
  <si>
    <t>SOSIO'S PRODUCE          SEATTLE      WA</t>
  </si>
  <si>
    <t>JOHNNY ROCKETS (PACIFIC) SEATTLE      WA</t>
  </si>
  <si>
    <t>LAZ PARKING M28309       SEATTLE      WA</t>
  </si>
  <si>
    <t>SQ *IRWIN'S BAKERY AND CASEATTLE      WA</t>
  </si>
  <si>
    <t>AMAZON PRIME*TS9O522T3   amzn.com/billWA</t>
  </si>
  <si>
    <t>PAYPAL *LABORATORYC      8002227566   NC</t>
  </si>
  <si>
    <t>CITY OF SEATTLE          206-6845226  WA</t>
  </si>
  <si>
    <t>PUGET SOUND ENERGY INC   888-225-5773 WA</t>
  </si>
  <si>
    <t>MUNNAR SPICE PALACE      IDUKKI       II</t>
  </si>
  <si>
    <t>SILK PALACE              IDUKKI       II</t>
  </si>
  <si>
    <t>SPICE TREE MUNNAR        IDUKKI       II</t>
  </si>
  <si>
    <t>CIAL DUTYFREE AND RETA   ERNAKULAM    II</t>
  </si>
  <si>
    <t>M S HARRISONS MALAYALAM  IDUKKI       II</t>
  </si>
  <si>
    <t>M S HARRISONS MALAYALAM  ERNAKULAM    II</t>
  </si>
  <si>
    <t>AMAZON MKTPL*273Q84KG3   Amzn.com/billWA</t>
  </si>
  <si>
    <t>GOOGLE*CLOUD 75HWWL      G.CO/HELPPAY#CA</t>
  </si>
  <si>
    <t>BACKWATER RIPPLES PRIV   KOTTAYAM     II</t>
  </si>
  <si>
    <t>Kindle Svcs*7W2RQ5QE3    888-802-3080 WA</t>
  </si>
  <si>
    <t>HANGTAG PARKING          WWW.HANGTAG.IFL</t>
  </si>
  <si>
    <t>INTERGLOBE AE53W3Q55443  GURGAON HARYAII</t>
  </si>
  <si>
    <t>DICKS SPORTING GOODS1419 SEATTLE      WA</t>
  </si>
  <si>
    <r>
      <t>Amazon.com</t>
    </r>
    <r>
      <rPr>
        <sz val="10"/>
        <color rgb="FF000000"/>
        <rFont val="Helvetica Neue"/>
        <family val="2"/>
      </rPr>
      <t xml:space="preserve">*QB3Z36JM3     </t>
    </r>
    <r>
      <rPr>
        <u/>
        <sz val="10"/>
        <color rgb="FF000000"/>
        <rFont val="Helvetica Neue"/>
        <family val="2"/>
      </rPr>
      <t>Amzn.com/billWA</t>
    </r>
  </si>
  <si>
    <t>LE MERIDIEN KOCHI FRON   ERNAKULAM    II</t>
  </si>
  <si>
    <t>SINGAPOREAIR6184574088376-            NY</t>
  </si>
  <si>
    <t>SINGAPOREAIR6184574088375-            NY</t>
  </si>
  <si>
    <t>RESTAURANT CHEF PILLAI   ERNAKULAM    II</t>
  </si>
  <si>
    <t>DECATHLON VYTTILA 1323   KOCHI        II</t>
  </si>
  <si>
    <t>LEMERIDIEN KOCHI         ERNAKULAM    II</t>
  </si>
  <si>
    <t>CRAFT TREE               ERNAKULAM    II</t>
  </si>
  <si>
    <t>SARAHS HAND EMBROIDERY   ERNAKULAM    II</t>
  </si>
  <si>
    <t>SQ *PETIT PIERRE BAKERY  Seattle      WA</t>
  </si>
  <si>
    <t>SQ *PAYS PROVENCAL       Bainbridge IsWA</t>
  </si>
  <si>
    <r>
      <t>Amazon.com</t>
    </r>
    <r>
      <rPr>
        <sz val="10"/>
        <color rgb="FF000000"/>
        <rFont val="Helvetica Neue"/>
        <family val="2"/>
      </rPr>
      <t xml:space="preserve">*ZU8UZ1MB0     </t>
    </r>
    <r>
      <rPr>
        <u/>
        <sz val="10"/>
        <color rgb="FF000000"/>
        <rFont val="Helvetica Neue"/>
        <family val="2"/>
      </rPr>
      <t>Amzn.com/billWA</t>
    </r>
  </si>
  <si>
    <t>OPTUM CARE WA MY CHART   425-258-3900 WA</t>
  </si>
  <si>
    <t>ATLAS FREMONT MALL LLC   SEATTLE      WA</t>
  </si>
  <si>
    <t>IPPUDO - CHANGI T3       SINGAPORE    SG</t>
  </si>
  <si>
    <t>GOURMET SARAWAK          SINGAPORE    SG</t>
  </si>
  <si>
    <r>
      <t>Amazon.com</t>
    </r>
    <r>
      <rPr>
        <sz val="10"/>
        <color rgb="FF000000"/>
        <rFont val="Helvetica Neue"/>
        <family val="2"/>
      </rPr>
      <t xml:space="preserve">*0B3HR7EO3     </t>
    </r>
    <r>
      <rPr>
        <u/>
        <sz val="10"/>
        <color rgb="FF000000"/>
        <rFont val="Helvetica Neue"/>
        <family val="2"/>
      </rPr>
      <t>Amzn.com/billWA</t>
    </r>
  </si>
  <si>
    <t>SQ *CATERING BY L'EXPERIEBellevue     WA</t>
  </si>
  <si>
    <t>AMAZON PRIME*CD8MF53T3   Amzn.com/billWA</t>
  </si>
  <si>
    <t>METROPOLIS PARKING       METROPOLIS.IOTN</t>
  </si>
  <si>
    <t>SEATTLE U CAMPUS STORE   SEATTLE      WA</t>
  </si>
  <si>
    <t>PROCLUB BELLEVUE         BELLEVUE     WA</t>
  </si>
  <si>
    <t>PCC - BURIEN             BURIEN       WA</t>
  </si>
  <si>
    <t>SQ *DOWNTOWN BAGEL CO    Seattle      WA</t>
  </si>
  <si>
    <t>Netflix                  1 8445052993 CA</t>
  </si>
  <si>
    <t>COSTCO BY INSTACART      WWW.COSTCO.COCA</t>
  </si>
  <si>
    <t>ELTSA CUSTOM SEWING      SEATTLE      WA</t>
  </si>
  <si>
    <t>VIDA INTEGRATED HEALTH   THINKVIDA.COMWA</t>
  </si>
  <si>
    <t>UW HFS                   SEATTLE      WA</t>
  </si>
  <si>
    <t>INTERGLOBE AQZ3CVI46981  GURGAON HARYAII</t>
  </si>
  <si>
    <t>STARBUCKS 03238          SEATTLE      WA</t>
  </si>
  <si>
    <r>
      <t>Amazon.com</t>
    </r>
    <r>
      <rPr>
        <sz val="10"/>
        <color rgb="FF000000"/>
        <rFont val="Helvetica Neue"/>
        <family val="2"/>
      </rPr>
      <t xml:space="preserve">*CS6563T93     </t>
    </r>
    <r>
      <rPr>
        <u/>
        <sz val="10"/>
        <color rgb="FF000000"/>
        <rFont val="Helvetica Neue"/>
        <family val="2"/>
      </rPr>
      <t>Amzn.com/billWA</t>
    </r>
  </si>
  <si>
    <t>SQ *WESTMAN'S BAGEL AND CSeattle      WA</t>
  </si>
  <si>
    <t>WWW.USSAILING.ORG        WWW.USSAILINGRI</t>
  </si>
  <si>
    <t>INTERGLOBE AA3LPUW44430  GURGAON HARYAII</t>
  </si>
  <si>
    <t>AMAZON PRIME*5316N72Q3   amzn.com/billWA</t>
  </si>
  <si>
    <t>SHELL OIL 10007312001    SEATTLE      WA</t>
  </si>
  <si>
    <t>VOLVO CARS SEATTLE       SEATTLE      WA</t>
  </si>
  <si>
    <t>WA DOL LIC &amp; REG 77458   SEATTLE      WA</t>
  </si>
  <si>
    <t>PAYPAL *STATEBANKIN      2227535771   SG</t>
  </si>
  <si>
    <t>GB* SEATTLE JAZZED       GIVEBUTTER.CODE</t>
  </si>
  <si>
    <t>AMAZON MKTPL*MW7QB7WZ3   Amzn.com/billWA</t>
  </si>
  <si>
    <t>SQ *MACRINA BAKERY - ALOHSeattle      WA</t>
  </si>
  <si>
    <t>JOLLIBEE                 SEATTLE      WA</t>
  </si>
  <si>
    <t>SQ *MAINSTAY PROVISIONS DSeattle      WA</t>
  </si>
  <si>
    <t>GOOGLE *CLOUD 4TM9zV     g.co/HelpPay#CA</t>
  </si>
  <si>
    <t>JAES ASIAN BISTRO AND SUSSEATTLE      WA</t>
  </si>
  <si>
    <t>Banyan Tree Thai RestauraKENT         WA</t>
  </si>
  <si>
    <t>DD *DOORDASH KEDAIMAKA   DOORDASH.COM CA</t>
  </si>
  <si>
    <t>AMAZON MKTPL*P05GB2GW3   Amzn.com/billWA</t>
  </si>
  <si>
    <r>
      <t>Amazon.com</t>
    </r>
    <r>
      <rPr>
        <sz val="10"/>
        <color rgb="FF000000"/>
        <rFont val="Helvetica Neue"/>
        <family val="2"/>
      </rPr>
      <t xml:space="preserve">*7J16U4U33     </t>
    </r>
    <r>
      <rPr>
        <u/>
        <sz val="10"/>
        <color rgb="FF000000"/>
        <rFont val="Helvetica Neue"/>
        <family val="2"/>
      </rPr>
      <t>Amzn.com/billWA</t>
    </r>
  </si>
  <si>
    <t>SP HENSON SHAVING        KITCHENER NORCD</t>
  </si>
  <si>
    <t>AMAZON PRIME*CX8JA8F93   Amzn.com/billWA</t>
  </si>
  <si>
    <t>SWALLOWTAIL GARDEN SEEDS 707-3267070  CA</t>
  </si>
  <si>
    <t>COSTCO WHSE #1190        LYNNWOOD     WA</t>
  </si>
  <si>
    <t>SP J-B WELD              ORDER.JBWELD.GA</t>
  </si>
  <si>
    <t>MAPLE FUELS WASH A TON   MAPLE FALLS  WA</t>
  </si>
  <si>
    <t>HAGGEN 3460              BELLINGHAM   WA</t>
  </si>
  <si>
    <t>TST*OUTSIDER BBQ         Seattle      WA</t>
  </si>
  <si>
    <t>MTNGEAR                  120-64662233 WA</t>
  </si>
  <si>
    <t>THE POINT                SEATTLE      WA</t>
  </si>
  <si>
    <t>AMAZON MKTPL*TH6WJ55D3   Amzn.com/billWA</t>
  </si>
  <si>
    <t>AMAZON MKTPL*QQ4DT5PS3   Amzn.com/billWA</t>
  </si>
  <si>
    <r>
      <t>Amazon.com</t>
    </r>
    <r>
      <rPr>
        <sz val="10"/>
        <color rgb="FF000000"/>
        <rFont val="Helvetica Neue"/>
        <family val="2"/>
      </rPr>
      <t xml:space="preserve">*RX1U73SC3     </t>
    </r>
    <r>
      <rPr>
        <u/>
        <sz val="10"/>
        <color rgb="FF000000"/>
        <rFont val="Helvetica Neue"/>
        <family val="2"/>
      </rPr>
      <t>Amzn.com/billWA</t>
    </r>
  </si>
  <si>
    <t>CITY PEOPLE`S MERC       SEATTLE      WA</t>
  </si>
  <si>
    <t>PAYPAL *ONSENBOY         402-935-7733 CA</t>
  </si>
  <si>
    <t>FSP*SEATTLE BOULDERING PRSEATTLE      WA</t>
  </si>
  <si>
    <t>AMAZON PRIME*824L43403   amzn.com/billWA</t>
  </si>
  <si>
    <t>AMAZON MKTPL*Z77XG2681   Amzn.com/billWA</t>
  </si>
  <si>
    <t>AMAZON MKTPL*GF1UN5B83   Amzn.com/billWA</t>
  </si>
  <si>
    <t>COVERSANDALL.COM         SUWANEE      GA</t>
  </si>
  <si>
    <t>PAYPAL *EURO PRO         402-935-7733 MA</t>
  </si>
  <si>
    <t>TST* EL CAMION - SAND POISEATTLE      WA</t>
  </si>
  <si>
    <t>TST* BURGERMASTER - UNIVESEATTLE      WA</t>
  </si>
  <si>
    <t>TRADER JOE S #130        SEATTLE      WA</t>
  </si>
  <si>
    <t>AMAZON MKTPL*Z79WK7O91   Amzn.com/billWA</t>
  </si>
  <si>
    <t>CENTRAL CO-OP            SEATTLE      WA</t>
  </si>
  <si>
    <t>AMAZON MKTPL*US5PT8663   Amzn.com/billWA</t>
  </si>
  <si>
    <t>CONCESSIONS @LUMEN FIELD SEATTLE      WA</t>
  </si>
  <si>
    <t>AMAZON MKTPL*ZC8QI0BP1   Amzn.com/billWA</t>
  </si>
  <si>
    <t>TST* GRAIN HOUSE - SEATTLSEATTLE      WA</t>
  </si>
  <si>
    <t>AMAZON MKTPL*EC40N97Z3   Amzn.com/billWA</t>
  </si>
  <si>
    <t>GOOGLE *CLOUD Q6vC4L     g.co/helppay#CA</t>
  </si>
  <si>
    <t>DICK'S DRIVE IN EDMONDS  EDMONDS      WA</t>
  </si>
  <si>
    <t>TST* ANCHORHEAD COFFEE - SEATTLE      WA</t>
  </si>
  <si>
    <t>AMAZON MKTPL*ZC9RT2EF1   Amzn.com/billWA</t>
  </si>
  <si>
    <r>
      <t>Amazon.com</t>
    </r>
    <r>
      <rPr>
        <sz val="10"/>
        <color rgb="FF000000"/>
        <rFont val="Helvetica Neue"/>
        <family val="2"/>
      </rPr>
      <t xml:space="preserve">*ZC3ND69W0     </t>
    </r>
    <r>
      <rPr>
        <u/>
        <sz val="10"/>
        <color rgb="FF000000"/>
        <rFont val="Helvetica Neue"/>
        <family val="2"/>
      </rPr>
      <t>Amzn.com/billWA</t>
    </r>
  </si>
  <si>
    <t>CHEVRON 0378582          SEATTLE      WA</t>
  </si>
  <si>
    <t>RAVENNA ANIMAL HOSPITAL  SEATTLE      WA</t>
  </si>
  <si>
    <t>TST* MR. WEST - UNIVERSITSEATTLE      WA</t>
  </si>
  <si>
    <t>AMAZON MKTPL*Z702C1CJ2   Amzn.com/billWA</t>
  </si>
  <si>
    <t>AMAZON MKTPL*ZG4154MU1   Amzn.com/billWA</t>
  </si>
  <si>
    <t>PLAID PANTRY #309        SEATTLE      WA</t>
  </si>
  <si>
    <t>DD *DOORDASH BAITONGTH   DOORDASH.COM CA</t>
  </si>
  <si>
    <t>Prime Video *ZG4NX6QF0   888-802-3080 WA</t>
  </si>
  <si>
    <t>AMAZON MKTPL*Z56Q89YW1   Amzn.com/billWA</t>
  </si>
  <si>
    <t>Amazon Prime*Z525889Q1   Amzn.com/billWA</t>
  </si>
  <si>
    <t>AMAZON MKTPL*Z58Q362O1   Amzn.com/billWA</t>
  </si>
  <si>
    <t>AMAZON MKTPL*Z52ZS0DB1   Amzn.com/billWA</t>
  </si>
  <si>
    <t>SWEETGREEN 11TH + PINE   SEATTLE      WA</t>
  </si>
  <si>
    <t>SQ *MIDNIGHT COOKIE COMPASeattle      WA</t>
  </si>
  <si>
    <t>DD *DOORDASH MAMNOON     DOORDASH.COM CA</t>
  </si>
  <si>
    <t>BARTELL DRUG 06931       SEATTLE      WA</t>
  </si>
  <si>
    <t>GLOBAL JEWISH FUTURE     FUTUREOFJEWISCA</t>
  </si>
  <si>
    <t>AMAZON MKTPL*ZD4US5WL1   Amzn.com/billWA</t>
  </si>
  <si>
    <t>SQ *MIGHTY-O DONUTS CAPITSeattle      WA</t>
  </si>
  <si>
    <t>LITTLE DUCK              120-66952564 WA</t>
  </si>
  <si>
    <t>COVERSANDALL.COM         COVERSANDALL.GA</t>
  </si>
  <si>
    <t>COSTCO BY INSTACART      HTTPSINSTACARCA</t>
  </si>
  <si>
    <t>JARED MICHONSKI, PHD     HTTPSWWW.DRJAWA</t>
  </si>
  <si>
    <t>HOLIDAY MARKET           BURLINGTON   WA</t>
  </si>
  <si>
    <t>TST*SAINT BREAD          Seattle      WA</t>
  </si>
  <si>
    <t>AMAZON MKTPL*Z54JZ8642   Amzn.com/billWA</t>
  </si>
  <si>
    <t>PY *B&amp;E MEATS AND SEAFOODSEATTLE      WA</t>
  </si>
  <si>
    <t>AMAZON PRIME*Z54N97PA2   amzn.com/billWA</t>
  </si>
  <si>
    <t>MOD PIZZA BARKLEY        BELLINGHAM   WA</t>
  </si>
  <si>
    <t>PAYPAL *PETSNOWY         402-935-7733 CA</t>
  </si>
  <si>
    <r>
      <t>Amazon.com</t>
    </r>
    <r>
      <rPr>
        <sz val="10"/>
        <color rgb="FF000000"/>
        <rFont val="Helvetica Neue"/>
        <family val="2"/>
      </rPr>
      <t xml:space="preserve">*Z58QK5JE2     </t>
    </r>
    <r>
      <rPr>
        <u/>
        <sz val="10"/>
        <color rgb="FF000000"/>
        <rFont val="Helvetica Neue"/>
        <family val="2"/>
      </rPr>
      <t>Amzn.com/billWA</t>
    </r>
  </si>
  <si>
    <t>SQ *SAMURAI NOODLE NATIONSeattle      WA</t>
  </si>
  <si>
    <t>SNORKEL HOT TUBS INC     800-9626208  WA</t>
  </si>
  <si>
    <t>DD *DOORDASH SISTERSAN   WWW.DOORDASH.CA</t>
  </si>
  <si>
    <t>PAYPAL *ETSY INC         402-935-7733 NY</t>
  </si>
  <si>
    <t>CINNAMON WORK'S          SEATTLE      WA</t>
  </si>
  <si>
    <t>JACK'S FISH SPOT         SEATTLE      WA</t>
  </si>
  <si>
    <t>Prime Video *ZD7N08B62   888-802-3080 WA</t>
  </si>
  <si>
    <t>THREE GIRLS BAKERY       SEATTLE      WA</t>
  </si>
  <si>
    <t>TOCK AT*TAVERN LAW       2063229734   IL</t>
  </si>
  <si>
    <t>TST* JAMBA JUICE - 521 - SEATTLE      WA</t>
  </si>
  <si>
    <t>Prime Video *ZP4IK6970   888-802-3080 WA</t>
  </si>
  <si>
    <t>PAYPAL *RITIK            402-935-7733 CA</t>
  </si>
  <si>
    <t>PRIME PARKING SYSTEMS LL RENTON       WA</t>
  </si>
  <si>
    <t>WATERFRONT PIZZA INC     PORT TOWNSENDWA</t>
  </si>
  <si>
    <t>SHELL OIL 57444157002    POULSBO      WA</t>
  </si>
  <si>
    <t>SAFEWAY 3275             SEATTLE      WA</t>
  </si>
  <si>
    <t>WSFERRIES-BAINBRIDGE     SEATTLE      WA</t>
  </si>
  <si>
    <t>SQ *SUNRISE COFFEEHOUSE  Port TownsendWA</t>
  </si>
  <si>
    <t>SEA AIRPORT PARKING      2067874069   WA</t>
  </si>
  <si>
    <t>CHIPOTLE 5396            PORT ANGELES WA</t>
  </si>
  <si>
    <r>
      <t>Amazon.com</t>
    </r>
    <r>
      <rPr>
        <sz val="10"/>
        <color rgb="FF000000"/>
        <rFont val="Helvetica Neue"/>
        <family val="2"/>
      </rPr>
      <t xml:space="preserve">*ZE7HH6781     </t>
    </r>
    <r>
      <rPr>
        <u/>
        <sz val="10"/>
        <color rgb="FF000000"/>
        <rFont val="Helvetica Neue"/>
        <family val="2"/>
      </rPr>
      <t>Amzn.com/billWA</t>
    </r>
  </si>
  <si>
    <t>EVEVATED ICECREAM&amp;CANDY  PORT TOWNSENDWA</t>
  </si>
  <si>
    <t>Heinemann Duty Free/Fil.2Schonefeld   DF</t>
  </si>
  <si>
    <t>MAX UND MORITZ           BERLIN       DF</t>
  </si>
  <si>
    <t>Kiosk                    Berlin       DF</t>
  </si>
  <si>
    <t>GOOGLE*CLOUD 7DHR2D      G.CO/HELPPAY#CA</t>
  </si>
  <si>
    <t>Bas-Lux</t>
  </si>
  <si>
    <t>Bas-lux</t>
  </si>
  <si>
    <t>source</t>
  </si>
  <si>
    <t>usaa-cc</t>
  </si>
  <si>
    <t>amex</t>
  </si>
  <si>
    <t>ftcu</t>
  </si>
  <si>
    <t>fue</t>
  </si>
  <si>
    <t>AplPay APPLE ONLINE CUPERTINO           CA</t>
  </si>
  <si>
    <t>AplPay APPLE STORE RSEATTLE             WA</t>
  </si>
  <si>
    <t>EXPEDIA 731180696530EXPEDIA.COM         WA</t>
  </si>
  <si>
    <t>ALASKA AIRLINES     SEATTLE             WA</t>
  </si>
  <si>
    <t>AplPay TRAINLINE TraLONDON              GB</t>
  </si>
  <si>
    <t>TFL TRAVEL REFUND   TFL.GOV.UK/CP       GB</t>
  </si>
  <si>
    <t>AplPay APPLE.COM/BILINTERNET CHARGE     CA</t>
  </si>
  <si>
    <t>AplPay APPLE.COM/US CUPERTINO           CA</t>
  </si>
  <si>
    <t>VENMO *ADAM MARMORST8558124430          NY</t>
  </si>
  <si>
    <t>NJT-PAYGO - OR170008ORANGE              NJ</t>
  </si>
  <si>
    <t>SEVEN ELEVEN        *                   JP</t>
  </si>
  <si>
    <t>GITHUB              SAN FRANCISCO       CA</t>
  </si>
  <si>
    <t>CURSOR USAGE  DEC   NEW YORK            NY</t>
  </si>
  <si>
    <t>AplPay TESCO STORE 3ST. ANDREWS         GB</t>
  </si>
  <si>
    <t>VERY FRESH NOODLES /NEW YORK            NY</t>
  </si>
  <si>
    <t>PAYPAL *LIME RIDE IB4029357733          CA</t>
  </si>
  <si>
    <t>LEE'S SUMMIT DELI &amp; SNOQUALMIE PS       WA</t>
  </si>
  <si>
    <t>NYCT PAYGO          NEW YORK            NY</t>
  </si>
  <si>
    <t>METROPOLITAN MARKETSSEATTLE             WA</t>
  </si>
  <si>
    <t>PATH TAPP PAYGO CP  NEW JERSEY          NJ</t>
  </si>
  <si>
    <t>AplPay MIDNIGHT COOKSeattle             WA</t>
  </si>
  <si>
    <t>VENMO *SEBASTIAN BYR8558124430          NY</t>
  </si>
  <si>
    <t>IMPARK00010695U     VANCOUVER           CA</t>
  </si>
  <si>
    <t>7-ELEVEN T3 #03-12  SINGAPORE           SG</t>
  </si>
  <si>
    <t>ARCO#04124BELLA CHANSANDY               OR</t>
  </si>
  <si>
    <t>AplPay TFL TRAVEL CHTFL.GOV.UK/CP       GB</t>
  </si>
  <si>
    <t>AplPay TST* DINGFELDSEATTLE             WA</t>
  </si>
  <si>
    <t>AplPay ZETTLE *THE NNEWPORT-ON-TAY      GB</t>
  </si>
  <si>
    <t>CURSOR USAGE  JAN   NEW YORK            NY</t>
  </si>
  <si>
    <t>STARBUCKS COFFEE JAP*                   JP</t>
  </si>
  <si>
    <t>UW HFS 0000         SEATTLE             WA</t>
  </si>
  <si>
    <t>AplPay COFF.EE* COCOSAN FRANCISCO       CA</t>
  </si>
  <si>
    <t>7E - TERMINAL 2     SINGAPORE           SG</t>
  </si>
  <si>
    <t>VENMO  *KATRINA GRIF8558124430          NY</t>
  </si>
  <si>
    <t>AMAZON PRIME*TV87O1CAMZN.CO.UK/PM       GB</t>
  </si>
  <si>
    <t>AMAZON PRIME*TK4KO2ZAMZN.CO.UK/PM       GB</t>
  </si>
  <si>
    <t>CURSOR USAGE  FEB   NEW YORK            NY</t>
  </si>
  <si>
    <t>AMAZON PRIME*R20V94KAMZN.CO.UK/PM       GB</t>
  </si>
  <si>
    <t>AMAZON PRIME*R65X76OAMZN.CO.UK/PM       GB</t>
  </si>
  <si>
    <t>AMAZON PRIME*0T9CY5VAMZN.CO.UK/PM       GB</t>
  </si>
  <si>
    <t>AMAZON PRIME*WD2W52KAMZN.CO.UK/PM       GB</t>
  </si>
  <si>
    <t>AMAZON PRIME*RC2PT4CAMZN.CO.UK/PM       GB</t>
  </si>
  <si>
    <t>AplPay MCDONALDS 137TIBSHELF            GB</t>
  </si>
  <si>
    <t>POPEYES 13798 1379  GRAHAM              WA</t>
  </si>
  <si>
    <t>AplPay BOMBAY EXPRESSEATTLE             WA</t>
  </si>
  <si>
    <t>AplPay UBER TRIP    HTTPS://HELP.UBER.CO</t>
  </si>
  <si>
    <t>FAMILY MART         *                   JP</t>
  </si>
  <si>
    <t>KIOSKSHINAGAWAKANSENTOKYO               JP</t>
  </si>
  <si>
    <t>ATRE SHINAGAWA      TOKYO               JP</t>
  </si>
  <si>
    <t>LAWSON              *                   JP</t>
  </si>
  <si>
    <t>SAILY INC.          LEWES               DE</t>
  </si>
  <si>
    <t>UW TRANS SVC PAY STASEATTLE             WA</t>
  </si>
  <si>
    <t>THE FREE PRESS      NEW YORK            NY</t>
  </si>
  <si>
    <t>SEA AIRPORT PARKING SEATTLE             WA</t>
  </si>
  <si>
    <t>LIRR STATION TIX    JAMAICA             NY</t>
  </si>
  <si>
    <t>BAY STREET    460001MONTCLAIR           NJ</t>
  </si>
  <si>
    <t>AplPay UBER TRIP    HTTPS://HELP.UBER.COGB</t>
  </si>
  <si>
    <t>THE BERRY SPOT      SINGAPORE           SG</t>
  </si>
  <si>
    <t>PIE FOR THE PEOPLE NSNOQUALMIE PASS     WA</t>
  </si>
  <si>
    <t>TST* 7TH STREET BURGNEW YORK            NY</t>
  </si>
  <si>
    <t>AplPay RACHEL'S GINGseattle             WA</t>
  </si>
  <si>
    <t>AplPay SAINSBURY'S EEDINBURGH           GB</t>
  </si>
  <si>
    <t>AplPay EDINBURGH TRAEDINBURGH           GB</t>
  </si>
  <si>
    <t>CITY PEOPLE S MERC  SEATTLE             WA</t>
  </si>
  <si>
    <t>TST* ZABARS 00005814NEW YORK            NY</t>
  </si>
  <si>
    <t>VENMO  *ADAM MARMORS8558124430          NY</t>
  </si>
  <si>
    <t>CURSOR USAGE  MAY   NEW YORK            NY</t>
  </si>
  <si>
    <t>ST ANDREWS LINKS - TST. ANDREWS         GB</t>
  </si>
  <si>
    <t>AMAZON PRIME*CF97H77AMZN.CO.UK/PM       GB</t>
  </si>
  <si>
    <t>CURSOR USAGE  APR   NEW YORK            NY</t>
  </si>
  <si>
    <t>PREMIUM PARKING P551SEATTLE             WA</t>
  </si>
  <si>
    <t>WHITE PASS CO RESTAUNACHES              WA</t>
  </si>
  <si>
    <t>AMAZON PRIME*RT91L4HAMZN.CO.UK/PM       GB</t>
  </si>
  <si>
    <t>AMAZON PRIME*RI85E93AMZN.CO.UK/PM       GB</t>
  </si>
  <si>
    <t>AMAZON PRIME*RH0065XAMZN.CO.UK/PM       GB</t>
  </si>
  <si>
    <t>AMAZON PRIME*4624A69AMZN.CO.UK/PM       GB</t>
  </si>
  <si>
    <t>SUBWAY 47663        RICHMOND            CA</t>
  </si>
  <si>
    <t>SQSP* INV177244147  NEW YORK            NY</t>
  </si>
  <si>
    <t>AMAZON PRIME*R70Z389AMZN.CO.UK/PM       GB</t>
  </si>
  <si>
    <t>AMAZON PRIME*OR9JH8RAMZN.CO.UK/PM       GB</t>
  </si>
  <si>
    <t>FEDEX OFFICE        SEATTLE             WA</t>
  </si>
  <si>
    <t>AplPay SUBWAY 47663 RICHMOND            CA</t>
  </si>
  <si>
    <t>RV TOWN 436845559151EASTON              WA</t>
  </si>
  <si>
    <t>TST* SIZZLE&amp;CRUNCH USEATTLE             WA</t>
  </si>
  <si>
    <t>AplPay LIME*PASS FA6SAN FRANCISCO       CA</t>
  </si>
  <si>
    <t>VENMO *MAGGIE VODICK8558124430          NY</t>
  </si>
  <si>
    <t>SHELL SERVICE STATIOEASTON              WA</t>
  </si>
  <si>
    <t>PY *ONSITE NEWS 0000PHILADELPHIA        PA</t>
  </si>
  <si>
    <t>CHEVRON 0098995/CHEVPACKWOOD            WA</t>
  </si>
  <si>
    <t>RIO BRAVO 0688800220NORTH BEND          WA</t>
  </si>
  <si>
    <t>ALADDIN GYRO RESTAURSEATTLE             WA</t>
  </si>
  <si>
    <t>SQSP* INV183850886  NEW YORK            NY</t>
  </si>
  <si>
    <t>AplPay WWW.HOSTELWORDUBLIN              CO</t>
  </si>
  <si>
    <t>AplPay BOOTS THE CHEST ANDREWS          GB</t>
  </si>
  <si>
    <t>PAYPAL *CLOUDFLARE  4029357733          CA</t>
  </si>
  <si>
    <t>INDIGO BC - LOT 034 VANCOUVER           CA</t>
  </si>
  <si>
    <t>QFC - SOUND VIEW    SEATTLE             WA</t>
  </si>
  <si>
    <t>AplPay INDIGO BC - LVANCOUVER           CA</t>
  </si>
  <si>
    <t>AplPay STEVE'S POKE Vancouver           CA</t>
  </si>
  <si>
    <t>AplPay ETSY, INC.   BROOKLYN            NY</t>
  </si>
  <si>
    <t>CURSOR USAGE  MAR   NEW YORK            NY</t>
  </si>
  <si>
    <t>GOODKNIGHTICE NARA SNARA                JP</t>
  </si>
  <si>
    <t>DICK'S DRIVE IN BROASEATTLE             WA</t>
  </si>
  <si>
    <t>AplPay CHIPOTLE 2574SEATTLE             WA</t>
  </si>
  <si>
    <t>6951310 - PEET'S COFSEATTLE             WA</t>
  </si>
  <si>
    <t>PY *TACO DEL MAR - AAUBURN              WA</t>
  </si>
  <si>
    <t>STEVE'S POKE BAR - CVancouver           CA</t>
  </si>
  <si>
    <t>AplPay SUMUP*TAXI   DUNDEE</t>
  </si>
  <si>
    <t>VENMO *SHANNON BOSCH8558124430          NY</t>
  </si>
  <si>
    <t>PLUSTABENTOKYOTOKANSKYOTO               JP</t>
  </si>
  <si>
    <t>CURSOR USAGE MID  APNEW YORK            NY</t>
  </si>
  <si>
    <t>GREPTILE            MIDDLETOWN          DE</t>
  </si>
  <si>
    <t>CURSOR USAGE MID  MANEW YORK            NY</t>
  </si>
  <si>
    <t>VENMO  *NINA KIBRIA 8558124430          NY</t>
  </si>
  <si>
    <t>GRAB*A-7MH896PWWIBW8SINGAPORE           SG</t>
  </si>
  <si>
    <t>APPLE STORE R072 R07SEATTLE             WA</t>
  </si>
  <si>
    <t>SAFEWAY #1528 1528  NORTH BEND          WA</t>
  </si>
  <si>
    <t>AplPay LS ST ANDREWSST ANDREWS          GB</t>
  </si>
  <si>
    <t>PAYPAL *QUAD LOCK   4029357733          AU</t>
  </si>
  <si>
    <t>CLAUDE.AI SUBSCRIPTIPASADENA            CA</t>
  </si>
  <si>
    <t>THANH VI 0000       SEATTLE             WA</t>
  </si>
  <si>
    <t>AplPay METROPOLITAN SEATTLE             WA</t>
  </si>
  <si>
    <t>AplPay TST* MEE SUM SEATTLE             WA</t>
  </si>
  <si>
    <t>KANJI HANNKO MAKUDOUNARA                JP</t>
  </si>
  <si>
    <t>PAYPAL *B H PHOTO   8002215743          NY</t>
  </si>
  <si>
    <t>PAYPAL *ETSY INC    8446593879          NY</t>
  </si>
  <si>
    <t>AplPay TST* ANJAPPARBELLEVUE            WA</t>
  </si>
  <si>
    <t>POKEMON CENTER TOKYOTOKYO               JP</t>
  </si>
  <si>
    <t>LS ST ANDREWS LINKS ST ANDREWS          FI</t>
  </si>
  <si>
    <t>MICROSOFT*XBOX      MSBILL.INFO</t>
  </si>
  <si>
    <t>AMAZON.COM          AMZN.COM/BILL       WA</t>
  </si>
  <si>
    <t>TACO BELL           BELLEVUE            WA</t>
  </si>
  <si>
    <t>COLMAR HOME CENTER 0MARGATE CITY        NJ</t>
  </si>
  <si>
    <t>EZELLS FAMOUS CHICKESEATTLE             WA</t>
  </si>
  <si>
    <t>DEERLINE AIR        NARA                JP</t>
  </si>
  <si>
    <t>NIKKOUMARUSHOKUDOU PKANAGAWA            JP</t>
  </si>
  <si>
    <t>TICKET VENDING JMMS TOKYO               JP</t>
  </si>
  <si>
    <t>CEDARS OF LEBANON   SEATTLE             WA</t>
  </si>
  <si>
    <t>LEUCHARS            GLASGOW             GB</t>
  </si>
  <si>
    <t>AplPay LS ST ANDREWSST ANDREWS          FI</t>
  </si>
  <si>
    <t>AplPay TST* THAI FUSSEATTLE             WA</t>
  </si>
  <si>
    <t>ACTIVE CULTURE CAFE BEND                OR</t>
  </si>
  <si>
    <t>FRED MEYERS         BELLEVUE            WA</t>
  </si>
  <si>
    <t>SP MOTION BOARDSHOP SEATTLE             WA</t>
  </si>
  <si>
    <t>SNB S201121         Manchester          GB</t>
  </si>
  <si>
    <t>KINJIHARAJYUKUTAKESHTOKYO               JP</t>
  </si>
  <si>
    <t>PAYPAL *WORLDFOOTBA 9708709898          CO</t>
  </si>
  <si>
    <t>AWFULLY CHOCOLATE - SINGAPORE           SG</t>
  </si>
  <si>
    <t>SAFEWAY #1665 1665  REDMOND             OR</t>
  </si>
  <si>
    <t>HAHAHA AIR          OSAKA               JP</t>
  </si>
  <si>
    <t>ST ANDREWS SHUTTLE LDUNFERMLINE         GB</t>
  </si>
  <si>
    <t>FIVE GUYS WA 1027 QSSEATTLE             WA</t>
  </si>
  <si>
    <t>KURA SUSHI          TOKYO               JP</t>
  </si>
  <si>
    <t>SUMMIT              *                   JP</t>
  </si>
  <si>
    <t>TST* JUST PHO YOU 00NEW YORK            NY</t>
  </si>
  <si>
    <t>TRADER JOE S #137 00SEATTLE             WA</t>
  </si>
  <si>
    <t>AplPay SAMURAI NOODLSeattle             WA</t>
  </si>
  <si>
    <t>FLOWER MATTERS-F3199SINGAPORE           SG</t>
  </si>
  <si>
    <t>DANDADAN ASAKUSATEN TOKYO               JP</t>
  </si>
  <si>
    <t>AplPay HOLLAND &amp; BARST ANDREWS          GB</t>
  </si>
  <si>
    <t>bumpodo             qian dai tian qu    TO</t>
  </si>
  <si>
    <t>QUIZLET.COM         510-495-6550        CA</t>
  </si>
  <si>
    <t>UNION 76 09553892   SEATTLE             WA</t>
  </si>
  <si>
    <t>SHELL SERVICE STATIOEDMONDS             WA</t>
  </si>
  <si>
    <t>EXXONMOBIL 4594     ENNIS               MT</t>
  </si>
  <si>
    <t>AplPay CANDY TYME WESEATTLE             WA</t>
  </si>
  <si>
    <t>SUMMIT AT SNOQUALMIESNOQUALMIE PA       WA</t>
  </si>
  <si>
    <t>UNION 76 09486093   SEATTLE             WA</t>
  </si>
  <si>
    <t>GITHUB, INC.        SAN FRANCISCO       CA</t>
  </si>
  <si>
    <t>LASTPASS.COM        BOSTON              MA</t>
  </si>
  <si>
    <t>SINGAPOREAIR UNITED UNITED STATES       NY</t>
  </si>
  <si>
    <t>SHELL SERVICE STATIOSEATTLE             WA</t>
  </si>
  <si>
    <t>UNION 76 00464024   SEATTLE             WA</t>
  </si>
  <si>
    <t>Crystal Mountain TikEnumclaw            WA</t>
  </si>
  <si>
    <t>BOOTS THE CHEMIST   ST ANDREWS          GB</t>
  </si>
  <si>
    <t>PAYPAL *REGALCINEMA 8778355734          TN</t>
  </si>
  <si>
    <t>END OF THE TRAIL IV ROCHESTER           WA</t>
  </si>
  <si>
    <t>SAFEWAY FUEL STATIONARLINGTON           WA</t>
  </si>
  <si>
    <t>BLACKBURN DRUG 65000JACKSON             WY</t>
  </si>
  <si>
    <t>46630 N BEND WAY 574NORTH BEND          WA</t>
  </si>
  <si>
    <t>AplPay AVANTI WEST CBIRMINGHAM          GB</t>
  </si>
  <si>
    <t>KATO                TOKYO               JP</t>
  </si>
  <si>
    <t>LINKEDINPRE *1747913LNKD.IN/BILL        CA</t>
  </si>
  <si>
    <t>LINKEDINPRE *7915122LNKD.IN/BILL        CA</t>
  </si>
  <si>
    <t>LINKEDINPRE *4479848LNKD.IN/BILL        CA</t>
  </si>
  <si>
    <t>SHELL SERVICE STATIOSUNRIVER            OR</t>
  </si>
  <si>
    <t>TICKET COUNTER      TOKYO               JP</t>
  </si>
  <si>
    <t>AplPay KINOKUNIYA BOSEATTLE             WA</t>
  </si>
  <si>
    <t>SCISSORS &amp; SCOTCH 43SEATTLE             WA</t>
  </si>
  <si>
    <t>SUMMIT AT SNOQUALMIESNOQUALMIE PASS     WA</t>
  </si>
  <si>
    <t>APPLE.COM/BILL      INTERNET CHARGE     CA</t>
  </si>
  <si>
    <t>SAFEWAY FOOD STORE  ISSAQUAH            WA</t>
  </si>
  <si>
    <t>VENMO *MILES LIPSON 8558124430          NY</t>
  </si>
  <si>
    <t>AUTOBACS GROUP      MITA                JP</t>
  </si>
  <si>
    <t>TST* KEDAI MAKAN CAPSEATTLE             WA</t>
  </si>
  <si>
    <t>AplPay UBER EATS    help.uber.com       CA</t>
  </si>
  <si>
    <t>EASYJET             LUTON               GB</t>
  </si>
  <si>
    <t>THEWAGYUBROTHERS PG TOKYO               JP</t>
  </si>
  <si>
    <t>BRITISH AIRWAYS BritHARMONDSWORTH       GB</t>
  </si>
  <si>
    <t>PAYPAL *ARSENIC ANY 4029357733          VT</t>
  </si>
  <si>
    <t>TST* TASTE OF INDIA SEATTLE             WA</t>
  </si>
  <si>
    <t>ARCO#82880TANG &amp; CHEISSAQUAH            WA</t>
  </si>
  <si>
    <t>UNION 76 09518481   YAKIMA              WA</t>
  </si>
  <si>
    <t>AplPay SUSHI%AYCE   CHICAGO             IL</t>
  </si>
  <si>
    <t>TRAINLINE Trainline LONDON              GB</t>
  </si>
  <si>
    <t>TREXMED             EDINBURGH           GB</t>
  </si>
  <si>
    <t>UKULTIMATE          LONDON              GB</t>
  </si>
  <si>
    <t>HI NY HOSTEL 139-222NEW YORK            NY</t>
  </si>
  <si>
    <t>GIFTS GREETINGS PTE SINGAPORE           SG</t>
  </si>
  <si>
    <t>LNE RAILWAY KGX STN LONDON              GB</t>
  </si>
  <si>
    <t>MONICA'S TLC GROOMINSEATTLE             WA</t>
  </si>
  <si>
    <t>SP VLOUSNOW.COM     BETHESDA            MD</t>
  </si>
  <si>
    <t>AMBASSADOR TRANSIT HSINGAPORE           SG</t>
  </si>
  <si>
    <t>DESIGN MUSEUM SHOP PSINGAPORE           SG</t>
  </si>
  <si>
    <t>AplPay NORDSTROM    SEATTLE             WA</t>
  </si>
  <si>
    <t>AplPay REI #11 SEATTSEATTLE             WA</t>
  </si>
  <si>
    <t>LS JRA BIKE SHOP    SEATTLE             WA</t>
  </si>
  <si>
    <t>PAYPAL *ARSENIC ANY 5187278838          VT</t>
  </si>
  <si>
    <t>REI #11 SEATTLE     SEATTLE             WA</t>
  </si>
  <si>
    <t>MODMEDUS_MP*TETON ORJACKSON             WY</t>
  </si>
  <si>
    <t>STUDIO 45           SEATTLE             WA</t>
  </si>
  <si>
    <t>ROOSEVELT VISION ROOSEATTLE             WA</t>
  </si>
  <si>
    <t>EAGLE VISION CENTER JACKSON             WY</t>
  </si>
  <si>
    <t>THE HARVEST VINE    SEATTLE             WA</t>
  </si>
  <si>
    <t>BELLEVUE GUN CLUB BEBELLEVUE            WA</t>
  </si>
  <si>
    <t>HOTEL ON BOOKING.COMAMSTERDAM           NL</t>
  </si>
  <si>
    <t>DENIMIO             heng bang shi bao tuKA</t>
  </si>
  <si>
    <t>KIWI.COM 524335     BRNO                CZ</t>
  </si>
  <si>
    <t>CHINA EASTERN AIR CHUNITED KINGDOM      GB</t>
  </si>
  <si>
    <t>AplPay SIERRA FORESTKENT                WA</t>
  </si>
  <si>
    <t>*LAKE CITY          SEATTLE            W</t>
  </si>
  <si>
    <t>SP BIA SLEEP        VANCOUVER           CA</t>
  </si>
  <si>
    <t>NISHINO             SEATTLE             WA</t>
  </si>
  <si>
    <t>SP VC ULTEUIMATE    LONDON              GB</t>
  </si>
  <si>
    <t>EXPEDIA 731432666940EXPEDIA.COM         WA</t>
  </si>
  <si>
    <t>Virgin Atlantic AirwCrawley             W</t>
  </si>
  <si>
    <t>DUNN LUMBER CO      BELLEVUE            WA</t>
  </si>
  <si>
    <t>AER LINGUS          DUBLIN              CO</t>
  </si>
  <si>
    <t>EXPEDIATSPUS        EXPEDIA.COM         WA</t>
  </si>
  <si>
    <t>unassigned</t>
  </si>
  <si>
    <t>Vagaro_*Refine Nails and SEATTLE WA</t>
  </si>
  <si>
    <t>KITCHEN &amp; MARKET-MADISON SEATTLE WA</t>
  </si>
  <si>
    <t>NORDRACKCOM8889666283 888-966-6283 CA</t>
  </si>
  <si>
    <t>TM *JON BATISTE 800-653-8000 CA</t>
  </si>
  <si>
    <t>ALASKA AIR SEATTLE WA</t>
  </si>
  <si>
    <t>SHORELINE SCHOOL DISTRICT206-3934215 WA</t>
  </si>
  <si>
    <t>ALASKA AIR 0272105262086SEATTLE WA</t>
  </si>
  <si>
    <t>ALASKA AIR 0272105259538SEATTLE WA</t>
  </si>
  <si>
    <t>ALASKA AIR 0272105260140SEATTLE WA</t>
  </si>
  <si>
    <t>ALASKA AIR 0272105260139SEATTLE WA</t>
  </si>
  <si>
    <t>TST*BA BAR - SOUTH LAKE Seattle WA</t>
  </si>
  <si>
    <t>POKE ALICE 2 SEATTLE WA</t>
  </si>
  <si>
    <t>SP FELLOW PRODUCTS FELLOWPRODUCTCA</t>
  </si>
  <si>
    <t>V. FREITAS LAW, PLLC v@vfreitaslawWA</t>
  </si>
  <si>
    <t>UBER TRIP* TRIP UBER.COM</t>
  </si>
  <si>
    <t>UBER *TRIP HELP.UBER.COM Tokyo</t>
  </si>
  <si>
    <t>GALBI BURGER BROADWAY SEATTLE WA</t>
  </si>
  <si>
    <t>HAWAIIAN AI 1734211890354SEATTLE WA</t>
  </si>
  <si>
    <t>THE NEW STAND ST2889 SEATTLE WA</t>
  </si>
  <si>
    <t>PAYPAL *MOUSPRODUCT 35314369001</t>
  </si>
  <si>
    <t>PAYPAL *BAMBULABUSA 512-915-9986 TX</t>
  </si>
  <si>
    <t>HYATT AT OLIVE 8 F&amp;B SEATTLE WA</t>
  </si>
  <si>
    <t>PAYPAL *TRYHACKME 35314369001</t>
  </si>
  <si>
    <t>COURSEFORHIPAA.COM 407-9066254 FL</t>
  </si>
  <si>
    <t>SOLE FOOD SEATTLE WA</t>
  </si>
  <si>
    <t>QFC #5866 SEATTLE WA</t>
  </si>
  <si>
    <t>PAYPAL *EVO 2068199672 WA</t>
  </si>
  <si>
    <t>LAWRENCE ZANE HUPPIN DPM 206-3443808 WA</t>
  </si>
  <si>
    <t>SMITHOPTICS.COM SMITHOPTICS.COR</t>
  </si>
  <si>
    <t>SP PAMPER HAUS DESIGN STORE.PAMPERHCA</t>
  </si>
  <si>
    <t>UBER *TRIP HELP.UBER.COMCA</t>
  </si>
  <si>
    <t>PAYPAL *ARSENIC ANY 518-727-8838 VT</t>
  </si>
  <si>
    <t>FURY CONSIGNMENT SEATTLE WA</t>
  </si>
  <si>
    <t>PAYPAL *DR BRONNERS DR BR402-935-7733 CA</t>
  </si>
  <si>
    <t>PAYPAL *STANCE 949-391-9030 CA</t>
  </si>
  <si>
    <t>SQ *LUNA BELLA'S CONSIGNMVashon WA</t>
  </si>
  <si>
    <t>TST*RUBINSTEIN BAGELS - Seattle WA</t>
  </si>
  <si>
    <t>SQ *LULA SEATTLE WA</t>
  </si>
  <si>
    <t>PCC - VIEW RIDGE SEATTLE WA</t>
  </si>
  <si>
    <t>THE GRATEFUL BREAD SEATTLE WA</t>
  </si>
  <si>
    <t>TST*CARMELOS TACOS - SE Seattle WA</t>
  </si>
  <si>
    <t>DUNN LAKE UNION SEATTLE WA</t>
  </si>
  <si>
    <t>PAYPAL *ARSENIC ANY ARSEN402-935-7733 VT</t>
  </si>
  <si>
    <t>SEATTLEACADEMY 206-676-6894 WA</t>
  </si>
  <si>
    <t>CONVENFEE 866-492-3463 MA</t>
  </si>
  <si>
    <t>TST*MONSOON - BELLEVUE Bellevue WA</t>
  </si>
  <si>
    <t>PAYPAL *WORLDPACKER 786-897-1926 FL</t>
  </si>
  <si>
    <t>TST*THE BRYANT CORNER CA Seattle WA</t>
  </si>
  <si>
    <t>AIRBNB * HMKNBQB23F AIRBNB.COM CA</t>
  </si>
  <si>
    <t>SP SPIRITUAL GANGSTE SPIRITUALGANGCA</t>
  </si>
  <si>
    <t>TST*BELLE EPICUREAN - EA Seattle WA</t>
  </si>
  <si>
    <t>TST*AGUA VERDE CAFE Seattle WA</t>
  </si>
  <si>
    <t>PAYPAL *FANDANGO 866-857-5191 CA</t>
  </si>
  <si>
    <t>WA DEPT OF HEALTH HSQA 360-236-4508 WA</t>
  </si>
  <si>
    <t>DECATHLON LOGRONO LOGRONO</t>
  </si>
  <si>
    <t>LAVANDERIA OPEN BLUE LOGRONO</t>
  </si>
  <si>
    <t>SIMPLY CHILE LOGRONO</t>
  </si>
  <si>
    <t>AIRBNB * HMSBE25BKD AIRBNB.COM CA</t>
  </si>
  <si>
    <t>CACHITO MIO LARDERO</t>
  </si>
  <si>
    <t>MIKONOS GRAN VIA LOGRONO</t>
  </si>
  <si>
    <t>ALASKA AIR 0272109051092SEATTLE WA</t>
  </si>
  <si>
    <t>ALLIANZ TRAVEL INS ALLIANZINS.USVA</t>
  </si>
  <si>
    <t>as.Saily*saily Lewes DE</t>
  </si>
  <si>
    <t>SQ *JOEY UNIVERSITY VILLASeattle WA</t>
  </si>
  <si>
    <t>TST*EL CAMION - SAND POI Seattle WA</t>
  </si>
  <si>
    <t>PAYPAL *IEFSPACESPT 91051816</t>
  </si>
  <si>
    <t>RUELALA*MMSMOORSLQ RUELALA.COM MA</t>
  </si>
  <si>
    <t>RUELALA*MMSQOQQPNT RUELALA.COM MA</t>
  </si>
  <si>
    <t>SWEETGREEN SOUTH LAKE SEATTLE WA</t>
  </si>
  <si>
    <t>LERNER FAMILY CAFE SEATTLE WA</t>
  </si>
  <si>
    <t>SQ *STYLECLASSEDGE Seattle WA</t>
  </si>
  <si>
    <t>TST*BOUNTY KITCHEN Seattle WA</t>
  </si>
  <si>
    <t>WWW.DWR.COM 800-944-2233 CT</t>
  </si>
  <si>
    <t>TST*KUMA - GEORGETOWN Seattle WA</t>
  </si>
  <si>
    <t>ALASKA AIR 0272106640952SEATTLE WA</t>
  </si>
  <si>
    <t>LS MONTLAKE BICYCLE S 186-69321801 WA</t>
  </si>
  <si>
    <t>PAYPAL *BLACKSTRAP BLACKS402-935-7733 OR</t>
  </si>
  <si>
    <t>KATTERMANS SAND POINT PHASEATTLE WA</t>
  </si>
  <si>
    <t>Amazon.com*B20R95CH2 Amzn.com/billWA</t>
  </si>
  <si>
    <t>PAYPAL *HUEL 402-935-7733 NY</t>
  </si>
  <si>
    <t>WWW.INSPIREDCLOSETSSEA WWW.INSPIREDCWA</t>
  </si>
  <si>
    <t>PAYPAL *EBAY US 786-762-515 CA</t>
  </si>
  <si>
    <t>Vrbo HA8BZ07S 512-7590902 TX</t>
  </si>
  <si>
    <t>SAND POINT GRILL SEATTLE WA</t>
  </si>
  <si>
    <t>WB E-STORE 800-766-0449 BC</t>
  </si>
  <si>
    <t>MPIX 620-231-8050 KS</t>
  </si>
  <si>
    <t>RUELALA*MMTMNQRMTU RUELALA.COM MA</t>
  </si>
  <si>
    <t>SP ENGINEERED NOW ENGINEEREDNOWCO</t>
  </si>
  <si>
    <t>SQ *VISIBLE COFFEE ROASTESeattle WA</t>
  </si>
  <si>
    <t>ANNUAL FEE</t>
  </si>
  <si>
    <t>IKON PASS 888-3654566 CO</t>
  </si>
  <si>
    <t>81394 - WESTLAKE &amp; TERRY SEATTLE WA</t>
  </si>
  <si>
    <t>Vrbo HA8BZ07S 512-759-0902 TX</t>
  </si>
  <si>
    <t>TST*MAMNOON STREET QSR Seattle WA</t>
  </si>
  <si>
    <t>SQ *VOLUNTEER PARK CAFE &amp;Seattle WA</t>
  </si>
  <si>
    <t>NORDSTROM RACK #138 BELLEVUE WA</t>
  </si>
  <si>
    <t>PAYPAL *UNICYCLE 6784944962 GA</t>
  </si>
  <si>
    <t>tripla Co., Ltd. Tokyo</t>
  </si>
  <si>
    <t>ELTSA CUSTOM SEWING SEATTLE WA</t>
  </si>
  <si>
    <t>PAYPAL *SVALBOARD SVALBOA402-935-7733 CA</t>
  </si>
  <si>
    <t>SAFEWAY #1493 SEATAC WA</t>
  </si>
  <si>
    <t>WHOLEFDS BLV 10153 BELLEVUE WA</t>
  </si>
  <si>
    <t>TST*GASWORKS BREWERY Seattle WA</t>
  </si>
  <si>
    <t>IC* INSTACART INSTACART.COMCA</t>
  </si>
  <si>
    <t>GOOGLE *AllTrails com 855-836-3987 CA</t>
  </si>
  <si>
    <t>Title Nine - Seattle Seattle WA</t>
  </si>
  <si>
    <t>PAYPAL *WAKAKUSA CU WAKAK402-935-7733 CA</t>
  </si>
  <si>
    <t>boa-cc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</si>
</sst>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indexed="63"/>
      <name val="Aptos Narrow"/>
      <family val="2"/>
      <scheme val="minor"/>
    </font>
    <font>
      <sz val="11"/>
      <color indexed="8"/>
      <name val="Calibri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u/>
      <sz val="10"/>
      <color rgb="FF000000"/>
      <name val="Helvetica Neue"/>
      <family val="2"/>
    </font>
    <font>
      <u/>
      <sz val="12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indexed="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4" fillId="0" borderId="0"/>
    <xf numFmtId="0" fontId="10" fillId="0" borderId="0" applyNumberForma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1" fillId="0" borderId="0" xfId="0" applyFont="1"/>
    <xf numFmtId="0" fontId="0" fillId="3" borderId="0" xfId="0" applyFill="1"/>
    <xf numFmtId="0" fontId="0" fillId="0" borderId="1" xfId="0" applyBorder="1"/>
    <xf numFmtId="0" fontId="3" fillId="3" borderId="0" xfId="0" applyFont="1" applyFill="1"/>
    <xf numFmtId="0" fontId="3" fillId="0" borderId="0" xfId="0" applyFont="1"/>
    <xf numFmtId="0" fontId="0" fillId="0" borderId="2" xfId="0" applyBorder="1"/>
    <xf numFmtId="0" fontId="0" fillId="3" borderId="2" xfId="0" applyFill="1" applyBorder="1"/>
    <xf numFmtId="0" fontId="0" fillId="5" borderId="2" xfId="0" applyFill="1" applyBorder="1"/>
    <xf numFmtId="0" fontId="0" fillId="5" borderId="0" xfId="0" applyFill="1"/>
    <xf numFmtId="0" fontId="3" fillId="3" borderId="2" xfId="0" applyFont="1" applyFill="1" applyBorder="1"/>
    <xf numFmtId="0" fontId="3" fillId="0" borderId="2" xfId="0" applyFont="1" applyBorder="1"/>
    <xf numFmtId="0" fontId="4" fillId="0" borderId="0" xfId="1"/>
    <xf numFmtId="0" fontId="3" fillId="4" borderId="2" xfId="0" applyFont="1" applyFill="1" applyBorder="1"/>
    <xf numFmtId="0" fontId="0" fillId="0" borderId="3" xfId="0" applyBorder="1"/>
    <xf numFmtId="0" fontId="3" fillId="6" borderId="0" xfId="0" applyFont="1" applyFill="1"/>
    <xf numFmtId="0" fontId="0" fillId="3" borderId="3" xfId="0" applyFill="1" applyBorder="1"/>
    <xf numFmtId="0" fontId="0" fillId="0" borderId="4" xfId="0" applyBorder="1"/>
    <xf numFmtId="0" fontId="5" fillId="7" borderId="0" xfId="0" applyFont="1" applyFill="1" applyAlignment="1">
      <alignment horizontal="left" wrapText="1"/>
    </xf>
    <xf numFmtId="0" fontId="0" fillId="0" borderId="5" xfId="0" applyBorder="1"/>
    <xf numFmtId="0" fontId="0" fillId="3" borderId="5" xfId="0" applyFill="1" applyBorder="1"/>
    <xf numFmtId="0" fontId="0" fillId="0" borderId="6" xfId="0" applyBorder="1"/>
    <xf numFmtId="0" fontId="3" fillId="6" borderId="6" xfId="0" applyFont="1" applyFill="1" applyBorder="1"/>
    <xf numFmtId="0" fontId="0" fillId="8" borderId="7" xfId="0" applyFill="1" applyBorder="1"/>
    <xf numFmtId="0" fontId="0" fillId="0" borderId="7" xfId="0" applyBorder="1"/>
    <xf numFmtId="0" fontId="7" fillId="0" borderId="0" xfId="0" applyFont="1"/>
    <xf numFmtId="14" fontId="6" fillId="0" borderId="0" xfId="0" applyNumberFormat="1" applyFont="1"/>
    <xf numFmtId="0" fontId="6" fillId="0" borderId="0" xfId="0" applyFont="1"/>
    <xf numFmtId="0" fontId="8" fillId="0" borderId="0" xfId="0" applyFont="1"/>
    <xf numFmtId="14" fontId="7" fillId="0" borderId="0" xfId="0" applyNumberFormat="1" applyFont="1"/>
    <xf numFmtId="0" fontId="10" fillId="0" borderId="0" xfId="2"/>
    <xf numFmtId="0" fontId="9" fillId="0" borderId="0" xfId="0" applyFont="1"/>
    <xf numFmtId="0" fontId="6" fillId="0" borderId="2" xfId="0" applyFont="1" applyBorder="1"/>
    <xf numFmtId="0" fontId="3" fillId="3" borderId="7" xfId="0" applyFont="1" applyFill="1" applyBorder="1"/>
    <xf numFmtId="0" fontId="3" fillId="0" borderId="7" xfId="0" applyFont="1" applyBorder="1"/>
    <xf numFmtId="0" fontId="4" fillId="8" borderId="7" xfId="1" applyFill="1" applyBorder="1"/>
    <xf numFmtId="0" fontId="5" fillId="7" borderId="2" xfId="0" applyFont="1" applyFill="1" applyBorder="1" applyAlignment="1">
      <alignment horizontal="left" wrapText="1"/>
    </xf>
    <xf numFmtId="0" fontId="3" fillId="0" borderId="4" xfId="0" applyFont="1" applyBorder="1"/>
    <xf numFmtId="0" fontId="7" fillId="9" borderId="2" xfId="0" applyFont="1" applyFill="1" applyBorder="1"/>
    <xf numFmtId="0" fontId="7" fillId="9" borderId="9" xfId="0" applyFont="1" applyFill="1" applyBorder="1"/>
    <xf numFmtId="14" fontId="6" fillId="3" borderId="8" xfId="0" applyNumberFormat="1" applyFont="1" applyFill="1" applyBorder="1"/>
    <xf numFmtId="0" fontId="6" fillId="3" borderId="2" xfId="0" applyFont="1" applyFill="1" applyBorder="1"/>
    <xf numFmtId="14" fontId="6" fillId="0" borderId="8" xfId="0" applyNumberFormat="1" applyFont="1" applyBorder="1"/>
    <xf numFmtId="14" fontId="7" fillId="3" borderId="8" xfId="0" applyNumberFormat="1" applyFont="1" applyFill="1" applyBorder="1"/>
    <xf numFmtId="0" fontId="6" fillId="3" borderId="9" xfId="0" applyFont="1" applyFill="1" applyBorder="1"/>
    <xf numFmtId="14" fontId="7" fillId="0" borderId="8" xfId="0" applyNumberFormat="1" applyFont="1" applyBorder="1"/>
    <xf numFmtId="0" fontId="6" fillId="0" borderId="9" xfId="0" applyFont="1" applyBorder="1"/>
    <xf numFmtId="0" fontId="10" fillId="0" borderId="2" xfId="2" applyBorder="1"/>
    <xf numFmtId="0" fontId="9" fillId="0" borderId="2" xfId="0" applyFont="1" applyBorder="1"/>
    <xf numFmtId="0" fontId="9" fillId="3" borderId="2" xfId="0" applyFont="1" applyFill="1" applyBorder="1"/>
    <xf numFmtId="0" fontId="8" fillId="3" borderId="2" xfId="0" applyFont="1" applyFill="1" applyBorder="1"/>
    <xf numFmtId="0" fontId="8" fillId="0" borderId="2" xfId="0" applyFont="1" applyBorder="1"/>
    <xf numFmtId="0" fontId="10" fillId="0" borderId="0" xfId="2" applyBorder="1"/>
    <xf numFmtId="0" fontId="6" fillId="0" borderId="3" xfId="0" applyFont="1" applyBorder="1"/>
    <xf numFmtId="0" fontId="5" fillId="2" borderId="3" xfId="0" applyFont="1" applyFill="1" applyBorder="1" applyAlignment="1">
      <alignment horizontal="left" wrapText="1"/>
    </xf>
    <xf numFmtId="0" fontId="3" fillId="4" borderId="0" xfId="0" applyFont="1" applyFill="1"/>
    <xf numFmtId="0" fontId="5" fillId="2" borderId="0" xfId="0" applyFont="1" applyFill="1" applyAlignment="1">
      <alignment horizontal="left" wrapText="1"/>
    </xf>
    <xf numFmtId="0" fontId="3" fillId="0" borderId="5" xfId="0" applyFont="1" applyBorder="1"/>
    <xf numFmtId="0" fontId="0" fillId="5" borderId="6" xfId="0" applyFill="1" applyBorder="1"/>
    <xf numFmtId="0" fontId="0" fillId="3" borderId="9" xfId="0" applyFill="1" applyBorder="1"/>
    <xf numFmtId="0" fontId="0" fillId="0" borderId="9" xfId="0" applyBorder="1"/>
    <xf numFmtId="0" fontId="10" fillId="3" borderId="2" xfId="2" applyFill="1" applyBorder="1"/>
    <xf numFmtId="14" fontId="0" fillId="0" borderId="0" xfId="0" applyNumberFormat="1"/>
    <xf numFmtId="14" fontId="7" fillId="9" borderId="8" xfId="0" applyNumberFormat="1" applyFont="1" applyFill="1" applyBorder="1"/>
    <xf numFmtId="0" fontId="6" fillId="0" borderId="0" xfId="0" applyFont="1" applyBorder="1"/>
    <xf numFmtId="0" fontId="0" fillId="3" borderId="0" xfId="0" applyFill="1" applyBorder="1"/>
    <xf numFmtId="0" fontId="0" fillId="0" borderId="0" xfId="0" applyBorder="1"/>
  </cellXfs>
  <cellStyles count="3">
    <cellStyle name="Hyperlink" xfId="2" builtinId="8"/>
    <cellStyle name="Normal" xfId="0" builtinId="0"/>
    <cellStyle name="Normal 2" xfId="1" xr:uid="{CF43630D-174A-B341-A628-1AD75AC4C7B8}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9" formatCode="m/d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avinprice/Desktop/00%20bookkeeper/2025.05.22%20expense%20categories.xlsx" TargetMode="External"/><Relationship Id="rId1" Type="http://schemas.openxmlformats.org/officeDocument/2006/relationships/externalLinkPath" Target="/Users/gavinprice/Desktop/00%20bookkeeper/2025.05.22%20expense%20categori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ude/Library/Mobile%20Documents/com~apple~CloudDocs/0-family%20share/00%20KaSe%20Bot/02%20CFO/00%20bookkeeper/monthly/processing/Expenses-2025.11.xlsx" TargetMode="External"/><Relationship Id="rId1" Type="http://schemas.openxmlformats.org/officeDocument/2006/relationships/externalLinkPath" Target="/Users/jude/Library/Mobile%20Documents/com~apple~CloudDocs/0-family%20share/00%20KaSe%20Bot/02%20CFO/00%20bookkeeper/monthly/processing/Expenses-2025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dget Report"/>
      <sheetName val="Budget Details"/>
      <sheetName val="Lookup Lists"/>
      <sheetName val="2025.05.22 expense categories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vot"/>
      <sheetName val="categories"/>
      <sheetName val="USAA Check"/>
      <sheetName val="By-Card Summary"/>
      <sheetName val="5383 Consolidated"/>
      <sheetName val="USAA Consolidated"/>
      <sheetName val="Jan 25 (5383)"/>
      <sheetName val="Feb 25 (5383)"/>
      <sheetName val="Mar 25 (5383)"/>
      <sheetName val="Apr 25 (5383)"/>
      <sheetName val="All Transactions"/>
      <sheetName val="Payee Ref"/>
      <sheetName val="USAA Check Consolidated"/>
      <sheetName val="USAA Rewor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7">
          <cell r="B17" t="str">
            <v>GEORGIA O'KEEFFE MUSEUM SANTA FE NM</v>
          </cell>
        </row>
      </sheetData>
      <sheetData sheetId="10"/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2BE6E1-D666-9945-97E2-13B9FF9E76F2}" name="ftcu" displayName="ftcu" ref="A1:F111" totalsRowCount="1" headerRowDxfId="22">
  <autoFilter ref="A1:F110" xr:uid="{3E2BE6E1-D666-9945-97E2-13B9FF9E76F2}"/>
  <sortState xmlns:xlrd2="http://schemas.microsoft.com/office/spreadsheetml/2017/richdata2" ref="A2:F110">
    <sortCondition ref="C1:C110"/>
  </sortState>
  <tableColumns count="6">
    <tableColumn id="2" xr3:uid="{40F4B1FE-8048-F744-9755-6FB545E2452C}" name="Date" dataDxfId="21" totalsRowDxfId="20"/>
    <tableColumn id="13" xr3:uid="{CD465D17-AB8E-3D4D-BBF2-87AD50A82D39}" name="Payee" dataDxfId="19" totalsRowDxfId="18"/>
    <tableColumn id="16" xr3:uid="{54F857B8-0ADD-2742-A2E7-B6ED8D721B18}" name="Amount" totalsRowFunction="custom" dataDxfId="17" totalsRowDxfId="16">
      <totalsRowFormula>SUM(C2:C110)</totalsRowFormula>
    </tableColumn>
    <tableColumn id="14" xr3:uid="{7436FF49-ECF0-B141-961C-DE38821833FD}" name="Category">
      <calculatedColumnFormula>_xlfn.XLOOKUP(B2,'Payee Ref'!A:A,'Payee Ref'!B:B,"unassigned",0,1)</calculatedColumnFormula>
    </tableColumn>
    <tableColumn id="15" xr3:uid="{6B77B8B2-BB33-A447-98A3-2810500E5B63}" name="Bas-Lux" totalsRowFunction="custom">
      <calculatedColumnFormula>_xlfn.XLOOKUP(B2,'Payee Ref'!A:A,'Payee Ref'!C:C,"unassigned",0,1)</calculatedColumnFormula>
      <totalsRowFormula>SUM(E2:E110)</totalsRowFormula>
    </tableColumn>
    <tableColumn id="18" xr3:uid="{D6254F7C-239D-664A-8A60-AEF040945A96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9FFE6F-50B5-594D-A0D6-9355D55038D8}" name="amex" displayName="amex" ref="A1:F756" totalsRowShown="0" headerRowDxfId="15" dataDxfId="14">
  <sortState xmlns:xlrd2="http://schemas.microsoft.com/office/spreadsheetml/2017/richdata2" ref="A2:F756">
    <sortCondition ref="C1:C756"/>
  </sortState>
  <tableColumns count="6">
    <tableColumn id="1" xr3:uid="{1568B0F4-E0FA-684E-9309-CB39986DD17F}" name="Date" dataDxfId="13"/>
    <tableColumn id="2" xr3:uid="{1F5A3F03-8BD8-294F-B466-46C587E06A1F}" name="Payee" dataDxfId="12"/>
    <tableColumn id="7" xr3:uid="{7CB11F26-66BB-BE43-A12B-D78A533E7DEF}" name="Amount" dataDxfId="11"/>
    <tableColumn id="3" xr3:uid="{5D866E59-E253-0142-95AD-8DCC4343CFBA}" name="Category" dataDxfId="10">
      <calculatedColumnFormula>_xlfn.XLOOKUP(B2,'Payee Ref'!A:A,'Payee Ref'!B:B,"unassigned",0,1)</calculatedColumnFormula>
    </tableColumn>
    <tableColumn id="4" xr3:uid="{A609403D-7B2C-8C4C-AF78-2A0F3E8F5212}" name="Bas-Lux" dataDxfId="9">
      <calculatedColumnFormula>_xlfn.XLOOKUP(B2,'Payee Ref'!A:A,'Payee Ref'!C:C,"unassigned",0,1)</calculatedColumnFormula>
    </tableColumn>
    <tableColumn id="8" xr3:uid="{373C3EEB-39C9-824F-B127-30C888895AFF}" name="source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736DD5-EEE0-7A4E-ACA0-3D63BB9FCEF9}" name="usaacc" displayName="usaacc" ref="A1:F1954" totalsRowShown="0" headerRowDxfId="7" dataDxfId="6">
  <autoFilter ref="A1:F1954" xr:uid="{AA736DD5-EEE0-7A4E-ACA0-3D63BB9FCEF9}"/>
  <sortState xmlns:xlrd2="http://schemas.microsoft.com/office/spreadsheetml/2017/richdata2" ref="A2:F1954">
    <sortCondition ref="C1:C1954"/>
  </sortState>
  <tableColumns count="6">
    <tableColumn id="1" xr3:uid="{2BEAB7B2-A227-F14F-BB47-E74B56DE8BBF}" name="Date" dataDxfId="5"/>
    <tableColumn id="2" xr3:uid="{86086E48-92DE-3949-BA82-F0BA9498A1BE}" name="Payee" dataDxfId="4"/>
    <tableColumn id="9" xr3:uid="{D4A2AB9C-6CED-624B-B5DE-7F16C58BDF0C}" name="Amount" dataDxfId="3"/>
    <tableColumn id="3" xr3:uid="{9FD63C2E-D19E-854A-B713-B5BA5B7DFF1B}" name="Category" dataDxfId="2"/>
    <tableColumn id="4" xr3:uid="{C92AC7AE-CF41-5347-B21D-EC96DF2B04E2}" name="Bas-lux" dataDxfId="1">
      <calculatedColumnFormula>_xlfn.XLOOKUP(B2,'Payee Ref'!A:A,'Payee Ref'!C:C,"unassigned",0,1)</calculatedColumnFormula>
    </tableColumn>
    <tableColumn id="6" xr3:uid="{C60CCEB2-1D11-EB42-B99D-CF15F224C20F}" name="source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46E59B-180A-AC44-90D3-4404DC41E565}" name="Table6" displayName="Table6" ref="A2:D1899" totalsRowShown="0">
  <sortState xmlns:xlrd2="http://schemas.microsoft.com/office/spreadsheetml/2017/richdata2" ref="A3:D1899">
    <sortCondition ref="A2:A1899"/>
  </sortState>
  <tableColumns count="4">
    <tableColumn id="1" xr3:uid="{11A2853E-2694-144F-A31B-551577F4310A}" name="Payee"/>
    <tableColumn id="2" xr3:uid="{BABE3335-4454-A240-8C31-1135A1EB380E}" name="proper"/>
    <tableColumn id="4" xr3:uid="{4AF2B719-1BF4-5547-9445-02A4489D41A8}" name="Basic/Luxury"/>
    <tableColumn id="3" xr3:uid="{1BBC8FAD-976C-7E45-98C8-2EFE31DDD2FF}" name="Not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apple.com/BILL" TargetMode="External"/><Relationship Id="rId21" Type="http://schemas.openxmlformats.org/officeDocument/2006/relationships/hyperlink" Target="http://gosq.com/" TargetMode="External"/><Relationship Id="rId63" Type="http://schemas.openxmlformats.org/officeDocument/2006/relationships/hyperlink" Target="http://netflix.com/" TargetMode="External"/><Relationship Id="rId159" Type="http://schemas.openxmlformats.org/officeDocument/2006/relationships/hyperlink" Target="http://www.costco.cowa/" TargetMode="External"/><Relationship Id="rId170" Type="http://schemas.openxmlformats.org/officeDocument/2006/relationships/hyperlink" Target="http://amzn.com/billWA" TargetMode="External"/><Relationship Id="rId191" Type="http://schemas.openxmlformats.org/officeDocument/2006/relationships/hyperlink" Target="http://doordash.com/" TargetMode="External"/><Relationship Id="rId205" Type="http://schemas.openxmlformats.org/officeDocument/2006/relationships/hyperlink" Target="http://apple.com/BILL" TargetMode="External"/><Relationship Id="rId226" Type="http://schemas.openxmlformats.org/officeDocument/2006/relationships/hyperlink" Target="http://amzn.com/billWA" TargetMode="External"/><Relationship Id="rId247" Type="http://schemas.openxmlformats.org/officeDocument/2006/relationships/hyperlink" Target="http://amzn.com/billWA" TargetMode="External"/><Relationship Id="rId107" Type="http://schemas.openxmlformats.org/officeDocument/2006/relationships/hyperlink" Target="http://www.costco.cowa/" TargetMode="External"/><Relationship Id="rId11" Type="http://schemas.openxmlformats.org/officeDocument/2006/relationships/hyperlink" Target="http://gosq.com/" TargetMode="External"/><Relationship Id="rId32" Type="http://schemas.openxmlformats.org/officeDocument/2006/relationships/hyperlink" Target="http://apple.com/BILL" TargetMode="External"/><Relationship Id="rId53" Type="http://schemas.openxmlformats.org/officeDocument/2006/relationships/hyperlink" Target="http://apple.com/BILL" TargetMode="External"/><Relationship Id="rId74" Type="http://schemas.openxmlformats.org/officeDocument/2006/relationships/hyperlink" Target="http://gosq.com/" TargetMode="External"/><Relationship Id="rId128" Type="http://schemas.openxmlformats.org/officeDocument/2006/relationships/hyperlink" Target="http://gosq.com/" TargetMode="External"/><Relationship Id="rId149" Type="http://schemas.openxmlformats.org/officeDocument/2006/relationships/hyperlink" Target="http://lyft.com/" TargetMode="External"/><Relationship Id="rId5" Type="http://schemas.openxmlformats.org/officeDocument/2006/relationships/hyperlink" Target="http://libro.fm/" TargetMode="External"/><Relationship Id="rId95" Type="http://schemas.openxmlformats.org/officeDocument/2006/relationships/hyperlink" Target="http://gosq.com/" TargetMode="External"/><Relationship Id="rId160" Type="http://schemas.openxmlformats.org/officeDocument/2006/relationships/hyperlink" Target="http://www.inua.groumt/" TargetMode="External"/><Relationship Id="rId181" Type="http://schemas.openxmlformats.org/officeDocument/2006/relationships/hyperlink" Target="http://apple.com/BILL" TargetMode="External"/><Relationship Id="rId216" Type="http://schemas.openxmlformats.org/officeDocument/2006/relationships/hyperlink" Target="http://www.costco.coca/" TargetMode="External"/><Relationship Id="rId237" Type="http://schemas.openxmlformats.org/officeDocument/2006/relationships/hyperlink" Target="http://amzn.com/billWA" TargetMode="External"/><Relationship Id="rId258" Type="http://schemas.openxmlformats.org/officeDocument/2006/relationships/hyperlink" Target="http://apple.com/BILL" TargetMode="External"/><Relationship Id="rId22" Type="http://schemas.openxmlformats.org/officeDocument/2006/relationships/hyperlink" Target="http://spothero.com/" TargetMode="External"/><Relationship Id="rId43" Type="http://schemas.openxmlformats.org/officeDocument/2006/relationships/hyperlink" Target="http://hulu.com/billCA" TargetMode="External"/><Relationship Id="rId64" Type="http://schemas.openxmlformats.org/officeDocument/2006/relationships/hyperlink" Target="http://mdseelig.com/" TargetMode="External"/><Relationship Id="rId118" Type="http://schemas.openxmlformats.org/officeDocument/2006/relationships/hyperlink" Target="http://apple.com/BILL" TargetMode="External"/><Relationship Id="rId139" Type="http://schemas.openxmlformats.org/officeDocument/2006/relationships/hyperlink" Target="http://hulu.com/billCA" TargetMode="External"/><Relationship Id="rId85" Type="http://schemas.openxmlformats.org/officeDocument/2006/relationships/hyperlink" Target="http://apple.com/BILL" TargetMode="External"/><Relationship Id="rId150" Type="http://schemas.openxmlformats.org/officeDocument/2006/relationships/hyperlink" Target="http://apple.com/BILL" TargetMode="External"/><Relationship Id="rId171" Type="http://schemas.openxmlformats.org/officeDocument/2006/relationships/hyperlink" Target="http://pllcgosq.com/" TargetMode="External"/><Relationship Id="rId192" Type="http://schemas.openxmlformats.org/officeDocument/2006/relationships/hyperlink" Target="http://amzn.com/billWA" TargetMode="External"/><Relationship Id="rId206" Type="http://schemas.openxmlformats.org/officeDocument/2006/relationships/hyperlink" Target="http://pllcgosq.com/" TargetMode="External"/><Relationship Id="rId227" Type="http://schemas.openxmlformats.org/officeDocument/2006/relationships/hyperlink" Target="http://linkedin.com/WA" TargetMode="External"/><Relationship Id="rId248" Type="http://schemas.openxmlformats.org/officeDocument/2006/relationships/hyperlink" Target="http://www.usaa.com/" TargetMode="External"/><Relationship Id="rId12" Type="http://schemas.openxmlformats.org/officeDocument/2006/relationships/hyperlink" Target="http://apple.com/BILL" TargetMode="External"/><Relationship Id="rId33" Type="http://schemas.openxmlformats.org/officeDocument/2006/relationships/hyperlink" Target="http://gosq.com/" TargetMode="External"/><Relationship Id="rId108" Type="http://schemas.openxmlformats.org/officeDocument/2006/relationships/hyperlink" Target="http://gosq.com/" TargetMode="External"/><Relationship Id="rId129" Type="http://schemas.openxmlformats.org/officeDocument/2006/relationships/hyperlink" Target="http://gosq.com/" TargetMode="External"/><Relationship Id="rId54" Type="http://schemas.openxmlformats.org/officeDocument/2006/relationships/hyperlink" Target="http://amzn.com/billWA" TargetMode="External"/><Relationship Id="rId75" Type="http://schemas.openxmlformats.org/officeDocument/2006/relationships/hyperlink" Target="http://amzn.com/billWA" TargetMode="External"/><Relationship Id="rId96" Type="http://schemas.openxmlformats.org/officeDocument/2006/relationships/hyperlink" Target="http://mdseelig.com/" TargetMode="External"/><Relationship Id="rId140" Type="http://schemas.openxmlformats.org/officeDocument/2006/relationships/hyperlink" Target="http://gosq.com/" TargetMode="External"/><Relationship Id="rId161" Type="http://schemas.openxmlformats.org/officeDocument/2006/relationships/hyperlink" Target="http://hulu.com/billCA" TargetMode="External"/><Relationship Id="rId182" Type="http://schemas.openxmlformats.org/officeDocument/2006/relationships/hyperlink" Target="http://www.inua.groumt/" TargetMode="External"/><Relationship Id="rId217" Type="http://schemas.openxmlformats.org/officeDocument/2006/relationships/hyperlink" Target="http://hulu.com/billCA" TargetMode="External"/><Relationship Id="rId6" Type="http://schemas.openxmlformats.org/officeDocument/2006/relationships/hyperlink" Target="http://thefp.com/" TargetMode="External"/><Relationship Id="rId238" Type="http://schemas.openxmlformats.org/officeDocument/2006/relationships/hyperlink" Target="http://tonal.com/" TargetMode="External"/><Relationship Id="rId259" Type="http://schemas.openxmlformats.org/officeDocument/2006/relationships/hyperlink" Target="http://apple.com/BILL" TargetMode="External"/><Relationship Id="rId23" Type="http://schemas.openxmlformats.org/officeDocument/2006/relationships/hyperlink" Target="http://apple.com/BILL" TargetMode="External"/><Relationship Id="rId119" Type="http://schemas.openxmlformats.org/officeDocument/2006/relationships/hyperlink" Target="http://amzn.com/billWA" TargetMode="External"/><Relationship Id="rId44" Type="http://schemas.openxmlformats.org/officeDocument/2006/relationships/hyperlink" Target="http://apple.com/BILL" TargetMode="External"/><Relationship Id="rId65" Type="http://schemas.openxmlformats.org/officeDocument/2006/relationships/hyperlink" Target="http://www.dropps.coil/" TargetMode="External"/><Relationship Id="rId86" Type="http://schemas.openxmlformats.org/officeDocument/2006/relationships/hyperlink" Target="http://www.flo.com/" TargetMode="External"/><Relationship Id="rId130" Type="http://schemas.openxmlformats.org/officeDocument/2006/relationships/hyperlink" Target="http://www.usaa.com/" TargetMode="External"/><Relationship Id="rId151" Type="http://schemas.openxmlformats.org/officeDocument/2006/relationships/hyperlink" Target="http://gosq.com/" TargetMode="External"/><Relationship Id="rId172" Type="http://schemas.openxmlformats.org/officeDocument/2006/relationships/hyperlink" Target="http://gosq.com/" TargetMode="External"/><Relationship Id="rId193" Type="http://schemas.openxmlformats.org/officeDocument/2006/relationships/hyperlink" Target="http://doordash.com/" TargetMode="External"/><Relationship Id="rId207" Type="http://schemas.openxmlformats.org/officeDocument/2006/relationships/hyperlink" Target="http://amzn.com/billWA" TargetMode="External"/><Relationship Id="rId228" Type="http://schemas.openxmlformats.org/officeDocument/2006/relationships/hyperlink" Target="http://amzn.com/billWA" TargetMode="External"/><Relationship Id="rId249" Type="http://schemas.openxmlformats.org/officeDocument/2006/relationships/hyperlink" Target="http://netflix.com/" TargetMode="External"/><Relationship Id="rId13" Type="http://schemas.openxmlformats.org/officeDocument/2006/relationships/hyperlink" Target="http://tonal.com/" TargetMode="External"/><Relationship Id="rId109" Type="http://schemas.openxmlformats.org/officeDocument/2006/relationships/hyperlink" Target="http://doordash.com/" TargetMode="External"/><Relationship Id="rId260" Type="http://schemas.openxmlformats.org/officeDocument/2006/relationships/hyperlink" Target="http://www.doordash.ca/" TargetMode="External"/><Relationship Id="rId34" Type="http://schemas.openxmlformats.org/officeDocument/2006/relationships/hyperlink" Target="http://gosq.com/" TargetMode="External"/><Relationship Id="rId55" Type="http://schemas.openxmlformats.org/officeDocument/2006/relationships/hyperlink" Target="http://gosq.com/" TargetMode="External"/><Relationship Id="rId76" Type="http://schemas.openxmlformats.org/officeDocument/2006/relationships/hyperlink" Target="http://www.inua.groumt/" TargetMode="External"/><Relationship Id="rId97" Type="http://schemas.openxmlformats.org/officeDocument/2006/relationships/hyperlink" Target="http://apple.com/BILL" TargetMode="External"/><Relationship Id="rId120" Type="http://schemas.openxmlformats.org/officeDocument/2006/relationships/hyperlink" Target="http://www.costco.cowa/" TargetMode="External"/><Relationship Id="rId141" Type="http://schemas.openxmlformats.org/officeDocument/2006/relationships/hyperlink" Target="http://g.co/helppay" TargetMode="External"/><Relationship Id="rId7" Type="http://schemas.openxmlformats.org/officeDocument/2006/relationships/hyperlink" Target="http://g.co/HelpPay" TargetMode="External"/><Relationship Id="rId162" Type="http://schemas.openxmlformats.org/officeDocument/2006/relationships/hyperlink" Target="http://amzn.com/billWA" TargetMode="External"/><Relationship Id="rId183" Type="http://schemas.openxmlformats.org/officeDocument/2006/relationships/hyperlink" Target="http://www.ussailing.org/" TargetMode="External"/><Relationship Id="rId218" Type="http://schemas.openxmlformats.org/officeDocument/2006/relationships/hyperlink" Target="http://apple.com/BILL" TargetMode="External"/><Relationship Id="rId239" Type="http://schemas.openxmlformats.org/officeDocument/2006/relationships/hyperlink" Target="http://amzn.com/billWA" TargetMode="External"/><Relationship Id="rId250" Type="http://schemas.openxmlformats.org/officeDocument/2006/relationships/hyperlink" Target="http://coversandall.com/" TargetMode="External"/><Relationship Id="rId24" Type="http://schemas.openxmlformats.org/officeDocument/2006/relationships/hyperlink" Target="http://linkedin.com/WA" TargetMode="External"/><Relationship Id="rId45" Type="http://schemas.openxmlformats.org/officeDocument/2006/relationships/hyperlink" Target="http://www.jfsseattle.org/" TargetMode="External"/><Relationship Id="rId66" Type="http://schemas.openxmlformats.org/officeDocument/2006/relationships/hyperlink" Target="http://amzn.com/billWA" TargetMode="External"/><Relationship Id="rId87" Type="http://schemas.openxmlformats.org/officeDocument/2006/relationships/hyperlink" Target="http://www.usaa.com/" TargetMode="External"/><Relationship Id="rId110" Type="http://schemas.openxmlformats.org/officeDocument/2006/relationships/hyperlink" Target="http://apple.com/BILL" TargetMode="External"/><Relationship Id="rId131" Type="http://schemas.openxmlformats.org/officeDocument/2006/relationships/hyperlink" Target="http://linkedin.com/WA" TargetMode="External"/><Relationship Id="rId152" Type="http://schemas.openxmlformats.org/officeDocument/2006/relationships/hyperlink" Target="http://www.usaa.com/" TargetMode="External"/><Relationship Id="rId173" Type="http://schemas.openxmlformats.org/officeDocument/2006/relationships/hyperlink" Target="http://gosq.com/" TargetMode="External"/><Relationship Id="rId194" Type="http://schemas.openxmlformats.org/officeDocument/2006/relationships/hyperlink" Target="http://apple.com/BILL" TargetMode="External"/><Relationship Id="rId208" Type="http://schemas.openxmlformats.org/officeDocument/2006/relationships/hyperlink" Target="http://pllcgosq.com/" TargetMode="External"/><Relationship Id="rId229" Type="http://schemas.openxmlformats.org/officeDocument/2006/relationships/hyperlink" Target="http://doordash.com/" TargetMode="External"/><Relationship Id="rId240" Type="http://schemas.openxmlformats.org/officeDocument/2006/relationships/hyperlink" Target="http://amzn.com/billWA" TargetMode="External"/><Relationship Id="rId261" Type="http://schemas.openxmlformats.org/officeDocument/2006/relationships/hyperlink" Target="http://apple.com/BILL" TargetMode="External"/><Relationship Id="rId14" Type="http://schemas.openxmlformats.org/officeDocument/2006/relationships/hyperlink" Target="http://apple.com/BILL" TargetMode="External"/><Relationship Id="rId35" Type="http://schemas.openxmlformats.org/officeDocument/2006/relationships/hyperlink" Target="http://www.usaa.com/" TargetMode="External"/><Relationship Id="rId56" Type="http://schemas.openxmlformats.org/officeDocument/2006/relationships/hyperlink" Target="http://apple.com/BILL" TargetMode="External"/><Relationship Id="rId77" Type="http://schemas.openxmlformats.org/officeDocument/2006/relationships/hyperlink" Target="http://g.co/HelpPay" TargetMode="External"/><Relationship Id="rId100" Type="http://schemas.openxmlformats.org/officeDocument/2006/relationships/hyperlink" Target="http://www.inua.groumt/" TargetMode="External"/><Relationship Id="rId8" Type="http://schemas.openxmlformats.org/officeDocument/2006/relationships/hyperlink" Target="http://pllcgosq.com/" TargetMode="External"/><Relationship Id="rId98" Type="http://schemas.openxmlformats.org/officeDocument/2006/relationships/hyperlink" Target="http://expedia.com/" TargetMode="External"/><Relationship Id="rId121" Type="http://schemas.openxmlformats.org/officeDocument/2006/relationships/hyperlink" Target="http://gosq.com/" TargetMode="External"/><Relationship Id="rId142" Type="http://schemas.openxmlformats.org/officeDocument/2006/relationships/hyperlink" Target="http://etsy.com/" TargetMode="External"/><Relationship Id="rId163" Type="http://schemas.openxmlformats.org/officeDocument/2006/relationships/hyperlink" Target="http://linkedin.com/WA" TargetMode="External"/><Relationship Id="rId184" Type="http://schemas.openxmlformats.org/officeDocument/2006/relationships/hyperlink" Target="http://amzn.com/billWA" TargetMode="External"/><Relationship Id="rId219" Type="http://schemas.openxmlformats.org/officeDocument/2006/relationships/hyperlink" Target="http://amzn.com/billWA" TargetMode="External"/><Relationship Id="rId230" Type="http://schemas.openxmlformats.org/officeDocument/2006/relationships/hyperlink" Target="http://apple.com/BILL" TargetMode="External"/><Relationship Id="rId251" Type="http://schemas.openxmlformats.org/officeDocument/2006/relationships/hyperlink" Target="http://mdseelig.com/" TargetMode="External"/><Relationship Id="rId25" Type="http://schemas.openxmlformats.org/officeDocument/2006/relationships/hyperlink" Target="http://apple.com/BILL" TargetMode="External"/><Relationship Id="rId46" Type="http://schemas.openxmlformats.org/officeDocument/2006/relationships/hyperlink" Target="http://www.corryscleaning.com/" TargetMode="External"/><Relationship Id="rId67" Type="http://schemas.openxmlformats.org/officeDocument/2006/relationships/hyperlink" Target="http://apple.com/BILL" TargetMode="External"/><Relationship Id="rId88" Type="http://schemas.openxmlformats.org/officeDocument/2006/relationships/hyperlink" Target="http://pllcgosq.com/" TargetMode="External"/><Relationship Id="rId111" Type="http://schemas.openxmlformats.org/officeDocument/2006/relationships/hyperlink" Target="http://gosq.com/" TargetMode="External"/><Relationship Id="rId132" Type="http://schemas.openxmlformats.org/officeDocument/2006/relationships/hyperlink" Target="http://netflix.com/" TargetMode="External"/><Relationship Id="rId153" Type="http://schemas.openxmlformats.org/officeDocument/2006/relationships/hyperlink" Target="http://apple.com/BILL" TargetMode="External"/><Relationship Id="rId174" Type="http://schemas.openxmlformats.org/officeDocument/2006/relationships/hyperlink" Target="http://apple.com/BILL" TargetMode="External"/><Relationship Id="rId195" Type="http://schemas.openxmlformats.org/officeDocument/2006/relationships/hyperlink" Target="http://tonal.com/" TargetMode="External"/><Relationship Id="rId209" Type="http://schemas.openxmlformats.org/officeDocument/2006/relationships/hyperlink" Target="http://amzn.com/billWA" TargetMode="External"/><Relationship Id="rId220" Type="http://schemas.openxmlformats.org/officeDocument/2006/relationships/hyperlink" Target="http://amzn.com/billWA" TargetMode="External"/><Relationship Id="rId241" Type="http://schemas.openxmlformats.org/officeDocument/2006/relationships/hyperlink" Target="http://amzn.com/billWA" TargetMode="External"/><Relationship Id="rId15" Type="http://schemas.openxmlformats.org/officeDocument/2006/relationships/hyperlink" Target="http://www.inua.groumt/" TargetMode="External"/><Relationship Id="rId36" Type="http://schemas.openxmlformats.org/officeDocument/2006/relationships/hyperlink" Target="http://mdseelig.com/" TargetMode="External"/><Relationship Id="rId57" Type="http://schemas.openxmlformats.org/officeDocument/2006/relationships/hyperlink" Target="http://gosq.com/" TargetMode="External"/><Relationship Id="rId262" Type="http://schemas.openxmlformats.org/officeDocument/2006/relationships/hyperlink" Target="http://apple.com/BILL" TargetMode="External"/><Relationship Id="rId78" Type="http://schemas.openxmlformats.org/officeDocument/2006/relationships/hyperlink" Target="http://dmoose.com/" TargetMode="External"/><Relationship Id="rId99" Type="http://schemas.openxmlformats.org/officeDocument/2006/relationships/hyperlink" Target="http://expedia.com/" TargetMode="External"/><Relationship Id="rId101" Type="http://schemas.openxmlformats.org/officeDocument/2006/relationships/hyperlink" Target="http://gosq.com/" TargetMode="External"/><Relationship Id="rId122" Type="http://schemas.openxmlformats.org/officeDocument/2006/relationships/hyperlink" Target="http://tonal.com/" TargetMode="External"/><Relationship Id="rId143" Type="http://schemas.openxmlformats.org/officeDocument/2006/relationships/hyperlink" Target="http://gosq.com/" TargetMode="External"/><Relationship Id="rId164" Type="http://schemas.openxmlformats.org/officeDocument/2006/relationships/hyperlink" Target="http://www.hangtag.ifl/" TargetMode="External"/><Relationship Id="rId185" Type="http://schemas.openxmlformats.org/officeDocument/2006/relationships/hyperlink" Target="http://gosq.com/" TargetMode="External"/><Relationship Id="rId9" Type="http://schemas.openxmlformats.org/officeDocument/2006/relationships/hyperlink" Target="http://pllcgosq.com/" TargetMode="External"/><Relationship Id="rId210" Type="http://schemas.openxmlformats.org/officeDocument/2006/relationships/hyperlink" Target="http://gosq.com/" TargetMode="External"/><Relationship Id="rId26" Type="http://schemas.openxmlformats.org/officeDocument/2006/relationships/hyperlink" Target="http://tonal.com/" TargetMode="External"/><Relationship Id="rId231" Type="http://schemas.openxmlformats.org/officeDocument/2006/relationships/hyperlink" Target="http://gosq.com/" TargetMode="External"/><Relationship Id="rId252" Type="http://schemas.openxmlformats.org/officeDocument/2006/relationships/hyperlink" Target="http://www.dropps.coil/" TargetMode="External"/><Relationship Id="rId47" Type="http://schemas.openxmlformats.org/officeDocument/2006/relationships/hyperlink" Target="http://www.corryscleaning.com/" TargetMode="External"/><Relationship Id="rId68" Type="http://schemas.openxmlformats.org/officeDocument/2006/relationships/hyperlink" Target="http://amzn.com/billWA" TargetMode="External"/><Relationship Id="rId89" Type="http://schemas.openxmlformats.org/officeDocument/2006/relationships/hyperlink" Target="http://pllcgosq.com/" TargetMode="External"/><Relationship Id="rId112" Type="http://schemas.openxmlformats.org/officeDocument/2006/relationships/hyperlink" Target="http://expedia.com/" TargetMode="External"/><Relationship Id="rId133" Type="http://schemas.openxmlformats.org/officeDocument/2006/relationships/hyperlink" Target="http://mdseelig.com/" TargetMode="External"/><Relationship Id="rId154" Type="http://schemas.openxmlformats.org/officeDocument/2006/relationships/hyperlink" Target="http://www.dropps.coil/" TargetMode="External"/><Relationship Id="rId175" Type="http://schemas.openxmlformats.org/officeDocument/2006/relationships/hyperlink" Target="http://www.usaa.com/" TargetMode="External"/><Relationship Id="rId196" Type="http://schemas.openxmlformats.org/officeDocument/2006/relationships/hyperlink" Target="http://amzn.com/billWA" TargetMode="External"/><Relationship Id="rId200" Type="http://schemas.openxmlformats.org/officeDocument/2006/relationships/hyperlink" Target="http://amzn.com/billWA" TargetMode="External"/><Relationship Id="rId16" Type="http://schemas.openxmlformats.org/officeDocument/2006/relationships/hyperlink" Target="http://apple.com/BILL" TargetMode="External"/><Relationship Id="rId221" Type="http://schemas.openxmlformats.org/officeDocument/2006/relationships/hyperlink" Target="http://g.co/helppay" TargetMode="External"/><Relationship Id="rId242" Type="http://schemas.openxmlformats.org/officeDocument/2006/relationships/hyperlink" Target="http://doordash.com/" TargetMode="External"/><Relationship Id="rId263" Type="http://schemas.openxmlformats.org/officeDocument/2006/relationships/hyperlink" Target="http://hulu.com/billCA" TargetMode="External"/><Relationship Id="rId37" Type="http://schemas.openxmlformats.org/officeDocument/2006/relationships/hyperlink" Target="http://apple.com/BILL" TargetMode="External"/><Relationship Id="rId58" Type="http://schemas.openxmlformats.org/officeDocument/2006/relationships/hyperlink" Target="http://amzn.com/billWA" TargetMode="External"/><Relationship Id="rId79" Type="http://schemas.openxmlformats.org/officeDocument/2006/relationships/hyperlink" Target="http://www.costco.cowa/" TargetMode="External"/><Relationship Id="rId102" Type="http://schemas.openxmlformats.org/officeDocument/2006/relationships/hyperlink" Target="http://apple.com/BILL" TargetMode="External"/><Relationship Id="rId123" Type="http://schemas.openxmlformats.org/officeDocument/2006/relationships/hyperlink" Target="http://tripchrg.com/" TargetMode="External"/><Relationship Id="rId144" Type="http://schemas.openxmlformats.org/officeDocument/2006/relationships/hyperlink" Target="http://apple.com/BILL" TargetMode="External"/><Relationship Id="rId90" Type="http://schemas.openxmlformats.org/officeDocument/2006/relationships/hyperlink" Target="http://www.flo.com/" TargetMode="External"/><Relationship Id="rId165" Type="http://schemas.openxmlformats.org/officeDocument/2006/relationships/hyperlink" Target="http://gosq.com/" TargetMode="External"/><Relationship Id="rId186" Type="http://schemas.openxmlformats.org/officeDocument/2006/relationships/hyperlink" Target="http://gosq.com/" TargetMode="External"/><Relationship Id="rId211" Type="http://schemas.openxmlformats.org/officeDocument/2006/relationships/hyperlink" Target="http://amzn.com/billWA" TargetMode="External"/><Relationship Id="rId232" Type="http://schemas.openxmlformats.org/officeDocument/2006/relationships/hyperlink" Target="http://www.inua.groumt/" TargetMode="External"/><Relationship Id="rId253" Type="http://schemas.openxmlformats.org/officeDocument/2006/relationships/hyperlink" Target="http://apple.com/BILL" TargetMode="External"/><Relationship Id="rId27" Type="http://schemas.openxmlformats.org/officeDocument/2006/relationships/hyperlink" Target="http://etsy.com/" TargetMode="External"/><Relationship Id="rId48" Type="http://schemas.openxmlformats.org/officeDocument/2006/relationships/hyperlink" Target="http://gosq.com/" TargetMode="External"/><Relationship Id="rId69" Type="http://schemas.openxmlformats.org/officeDocument/2006/relationships/hyperlink" Target="http://amzn.com/billWA" TargetMode="External"/><Relationship Id="rId113" Type="http://schemas.openxmlformats.org/officeDocument/2006/relationships/hyperlink" Target="http://www.sweetgreen.com/" TargetMode="External"/><Relationship Id="rId134" Type="http://schemas.openxmlformats.org/officeDocument/2006/relationships/hyperlink" Target="http://apple.com/BILL" TargetMode="External"/><Relationship Id="rId80" Type="http://schemas.openxmlformats.org/officeDocument/2006/relationships/hyperlink" Target="http://expedia.com/" TargetMode="External"/><Relationship Id="rId155" Type="http://schemas.openxmlformats.org/officeDocument/2006/relationships/hyperlink" Target="http://mdseelig.com/" TargetMode="External"/><Relationship Id="rId176" Type="http://schemas.openxmlformats.org/officeDocument/2006/relationships/hyperlink" Target="http://gosq.com/" TargetMode="External"/><Relationship Id="rId197" Type="http://schemas.openxmlformats.org/officeDocument/2006/relationships/hyperlink" Target="http://apple.com/BILL" TargetMode="External"/><Relationship Id="rId201" Type="http://schemas.openxmlformats.org/officeDocument/2006/relationships/hyperlink" Target="http://amzn.com/billWA" TargetMode="External"/><Relationship Id="rId222" Type="http://schemas.openxmlformats.org/officeDocument/2006/relationships/hyperlink" Target="http://gosq.com/" TargetMode="External"/><Relationship Id="rId243" Type="http://schemas.openxmlformats.org/officeDocument/2006/relationships/hyperlink" Target="http://apple.com/BILL" TargetMode="External"/><Relationship Id="rId17" Type="http://schemas.openxmlformats.org/officeDocument/2006/relationships/hyperlink" Target="http://www.usaa.com/" TargetMode="External"/><Relationship Id="rId38" Type="http://schemas.openxmlformats.org/officeDocument/2006/relationships/hyperlink" Target="http://etsy.com/" TargetMode="External"/><Relationship Id="rId59" Type="http://schemas.openxmlformats.org/officeDocument/2006/relationships/hyperlink" Target="http://apple.com/BILL" TargetMode="External"/><Relationship Id="rId103" Type="http://schemas.openxmlformats.org/officeDocument/2006/relationships/hyperlink" Target="http://gosq.com/" TargetMode="External"/><Relationship Id="rId124" Type="http://schemas.openxmlformats.org/officeDocument/2006/relationships/hyperlink" Target="http://apple.com/BILL" TargetMode="External"/><Relationship Id="rId70" Type="http://schemas.openxmlformats.org/officeDocument/2006/relationships/hyperlink" Target="http://gosq.com/" TargetMode="External"/><Relationship Id="rId91" Type="http://schemas.openxmlformats.org/officeDocument/2006/relationships/hyperlink" Target="http://pllcgosq.com/" TargetMode="External"/><Relationship Id="rId145" Type="http://schemas.openxmlformats.org/officeDocument/2006/relationships/hyperlink" Target="http://amzn.com/billWA" TargetMode="External"/><Relationship Id="rId166" Type="http://schemas.openxmlformats.org/officeDocument/2006/relationships/hyperlink" Target="http://learninggofundme.com/" TargetMode="External"/><Relationship Id="rId187" Type="http://schemas.openxmlformats.org/officeDocument/2006/relationships/hyperlink" Target="http://amzn.com/billWA" TargetMode="External"/><Relationship Id="rId1" Type="http://schemas.openxmlformats.org/officeDocument/2006/relationships/hyperlink" Target="http://tonal.com/" TargetMode="External"/><Relationship Id="rId212" Type="http://schemas.openxmlformats.org/officeDocument/2006/relationships/hyperlink" Target="http://coversandall.com/" TargetMode="External"/><Relationship Id="rId233" Type="http://schemas.openxmlformats.org/officeDocument/2006/relationships/hyperlink" Target="http://www.costco.coca/" TargetMode="External"/><Relationship Id="rId254" Type="http://schemas.openxmlformats.org/officeDocument/2006/relationships/hyperlink" Target="http://amzn.com/billWA" TargetMode="External"/><Relationship Id="rId28" Type="http://schemas.openxmlformats.org/officeDocument/2006/relationships/hyperlink" Target="http://gosq.com/" TargetMode="External"/><Relationship Id="rId49" Type="http://schemas.openxmlformats.org/officeDocument/2006/relationships/hyperlink" Target="http://gosq.com/" TargetMode="External"/><Relationship Id="rId114" Type="http://schemas.openxmlformats.org/officeDocument/2006/relationships/hyperlink" Target="http://amzn.com/billWA" TargetMode="External"/><Relationship Id="rId60" Type="http://schemas.openxmlformats.org/officeDocument/2006/relationships/hyperlink" Target="http://www.costco.cowa/" TargetMode="External"/><Relationship Id="rId81" Type="http://schemas.openxmlformats.org/officeDocument/2006/relationships/hyperlink" Target="http://apple.com/BILL" TargetMode="External"/><Relationship Id="rId135" Type="http://schemas.openxmlformats.org/officeDocument/2006/relationships/hyperlink" Target="http://www.inua.groumt/" TargetMode="External"/><Relationship Id="rId156" Type="http://schemas.openxmlformats.org/officeDocument/2006/relationships/hyperlink" Target="http://gosq.com/" TargetMode="External"/><Relationship Id="rId177" Type="http://schemas.openxmlformats.org/officeDocument/2006/relationships/hyperlink" Target="http://gosq.com/" TargetMode="External"/><Relationship Id="rId198" Type="http://schemas.openxmlformats.org/officeDocument/2006/relationships/hyperlink" Target="http://doordash.com/" TargetMode="External"/><Relationship Id="rId202" Type="http://schemas.openxmlformats.org/officeDocument/2006/relationships/hyperlink" Target="http://gosq.com/" TargetMode="External"/><Relationship Id="rId223" Type="http://schemas.openxmlformats.org/officeDocument/2006/relationships/hyperlink" Target="http://amzn.com/billWA" TargetMode="External"/><Relationship Id="rId244" Type="http://schemas.openxmlformats.org/officeDocument/2006/relationships/hyperlink" Target="http://doordash.com/" TargetMode="External"/><Relationship Id="rId18" Type="http://schemas.openxmlformats.org/officeDocument/2006/relationships/hyperlink" Target="http://apple.com/BILL" TargetMode="External"/><Relationship Id="rId39" Type="http://schemas.openxmlformats.org/officeDocument/2006/relationships/hyperlink" Target="http://doordash.com/" TargetMode="External"/><Relationship Id="rId50" Type="http://schemas.openxmlformats.org/officeDocument/2006/relationships/hyperlink" Target="http://apple.com/BILL" TargetMode="External"/><Relationship Id="rId104" Type="http://schemas.openxmlformats.org/officeDocument/2006/relationships/hyperlink" Target="http://doordash.com/" TargetMode="External"/><Relationship Id="rId125" Type="http://schemas.openxmlformats.org/officeDocument/2006/relationships/hyperlink" Target="http://amzn.com/billWA" TargetMode="External"/><Relationship Id="rId146" Type="http://schemas.openxmlformats.org/officeDocument/2006/relationships/hyperlink" Target="http://tonal.com/" TargetMode="External"/><Relationship Id="rId167" Type="http://schemas.openxmlformats.org/officeDocument/2006/relationships/hyperlink" Target="http://apple.com/BILL" TargetMode="External"/><Relationship Id="rId188" Type="http://schemas.openxmlformats.org/officeDocument/2006/relationships/hyperlink" Target="http://hulu.com/billCA" TargetMode="External"/><Relationship Id="rId71" Type="http://schemas.openxmlformats.org/officeDocument/2006/relationships/hyperlink" Target="http://doordash.com/" TargetMode="External"/><Relationship Id="rId92" Type="http://schemas.openxmlformats.org/officeDocument/2006/relationships/hyperlink" Target="http://www.flo.com/" TargetMode="External"/><Relationship Id="rId213" Type="http://schemas.openxmlformats.org/officeDocument/2006/relationships/hyperlink" Target="http://gosq.com/" TargetMode="External"/><Relationship Id="rId234" Type="http://schemas.openxmlformats.org/officeDocument/2006/relationships/hyperlink" Target="http://www.inua.groumt/" TargetMode="External"/><Relationship Id="rId2" Type="http://schemas.openxmlformats.org/officeDocument/2006/relationships/hyperlink" Target="http://brownpapertickets.com/" TargetMode="External"/><Relationship Id="rId29" Type="http://schemas.openxmlformats.org/officeDocument/2006/relationships/hyperlink" Target="http://gosq.com/" TargetMode="External"/><Relationship Id="rId255" Type="http://schemas.openxmlformats.org/officeDocument/2006/relationships/hyperlink" Target="http://gosq.com/" TargetMode="External"/><Relationship Id="rId40" Type="http://schemas.openxmlformats.org/officeDocument/2006/relationships/hyperlink" Target="http://gosq.com/" TargetMode="External"/><Relationship Id="rId115" Type="http://schemas.openxmlformats.org/officeDocument/2006/relationships/hyperlink" Target="http://doordash.com/" TargetMode="External"/><Relationship Id="rId136" Type="http://schemas.openxmlformats.org/officeDocument/2006/relationships/hyperlink" Target="http://gosq.com/" TargetMode="External"/><Relationship Id="rId157" Type="http://schemas.openxmlformats.org/officeDocument/2006/relationships/hyperlink" Target="http://apple.com/BILL" TargetMode="External"/><Relationship Id="rId178" Type="http://schemas.openxmlformats.org/officeDocument/2006/relationships/hyperlink" Target="http://www.costco.coca/" TargetMode="External"/><Relationship Id="rId61" Type="http://schemas.openxmlformats.org/officeDocument/2006/relationships/hyperlink" Target="http://www.usaa.com/" TargetMode="External"/><Relationship Id="rId82" Type="http://schemas.openxmlformats.org/officeDocument/2006/relationships/hyperlink" Target="http://apple.com/BILL" TargetMode="External"/><Relationship Id="rId199" Type="http://schemas.openxmlformats.org/officeDocument/2006/relationships/hyperlink" Target="http://www.usaa.com/" TargetMode="External"/><Relationship Id="rId203" Type="http://schemas.openxmlformats.org/officeDocument/2006/relationships/hyperlink" Target="http://gosq.com/" TargetMode="External"/><Relationship Id="rId19" Type="http://schemas.openxmlformats.org/officeDocument/2006/relationships/hyperlink" Target="http://apple.com/BILL" TargetMode="External"/><Relationship Id="rId224" Type="http://schemas.openxmlformats.org/officeDocument/2006/relationships/hyperlink" Target="http://gosq.com/" TargetMode="External"/><Relationship Id="rId245" Type="http://schemas.openxmlformats.org/officeDocument/2006/relationships/hyperlink" Target="http://gosq.com/" TargetMode="External"/><Relationship Id="rId30" Type="http://schemas.openxmlformats.org/officeDocument/2006/relationships/hyperlink" Target="http://amzn.com/billWA" TargetMode="External"/><Relationship Id="rId105" Type="http://schemas.openxmlformats.org/officeDocument/2006/relationships/hyperlink" Target="http://doordash.com/" TargetMode="External"/><Relationship Id="rId126" Type="http://schemas.openxmlformats.org/officeDocument/2006/relationships/hyperlink" Target="http://amzn.com/billWA" TargetMode="External"/><Relationship Id="rId147" Type="http://schemas.openxmlformats.org/officeDocument/2006/relationships/hyperlink" Target="http://www.costco.cowa/" TargetMode="External"/><Relationship Id="rId168" Type="http://schemas.openxmlformats.org/officeDocument/2006/relationships/hyperlink" Target="http://help.uber.com/" TargetMode="External"/><Relationship Id="rId51" Type="http://schemas.openxmlformats.org/officeDocument/2006/relationships/hyperlink" Target="http://expedia.com/" TargetMode="External"/><Relationship Id="rId72" Type="http://schemas.openxmlformats.org/officeDocument/2006/relationships/hyperlink" Target="http://doordash.com/" TargetMode="External"/><Relationship Id="rId93" Type="http://schemas.openxmlformats.org/officeDocument/2006/relationships/hyperlink" Target="http://gosq.com/" TargetMode="External"/><Relationship Id="rId189" Type="http://schemas.openxmlformats.org/officeDocument/2006/relationships/hyperlink" Target="http://g.co/HelpPay" TargetMode="External"/><Relationship Id="rId3" Type="http://schemas.openxmlformats.org/officeDocument/2006/relationships/hyperlink" Target="http://libro.fm/" TargetMode="External"/><Relationship Id="rId214" Type="http://schemas.openxmlformats.org/officeDocument/2006/relationships/hyperlink" Target="http://amzn.com/billWA" TargetMode="External"/><Relationship Id="rId235" Type="http://schemas.openxmlformats.org/officeDocument/2006/relationships/hyperlink" Target="http://www.inua.groumt/" TargetMode="External"/><Relationship Id="rId256" Type="http://schemas.openxmlformats.org/officeDocument/2006/relationships/hyperlink" Target="http://amzn.com/billWA" TargetMode="External"/><Relationship Id="rId116" Type="http://schemas.openxmlformats.org/officeDocument/2006/relationships/hyperlink" Target="http://gosq.com/" TargetMode="External"/><Relationship Id="rId137" Type="http://schemas.openxmlformats.org/officeDocument/2006/relationships/hyperlink" Target="http://amzn.com/billWA" TargetMode="External"/><Relationship Id="rId158" Type="http://schemas.openxmlformats.org/officeDocument/2006/relationships/hyperlink" Target="http://amzn.com/billWA" TargetMode="External"/><Relationship Id="rId20" Type="http://schemas.openxmlformats.org/officeDocument/2006/relationships/hyperlink" Target="http://gosq.com/" TargetMode="External"/><Relationship Id="rId41" Type="http://schemas.openxmlformats.org/officeDocument/2006/relationships/hyperlink" Target="http://amzn.com/bil" TargetMode="External"/><Relationship Id="rId62" Type="http://schemas.openxmlformats.org/officeDocument/2006/relationships/hyperlink" Target="http://srsmrktplace.com/" TargetMode="External"/><Relationship Id="rId83" Type="http://schemas.openxmlformats.org/officeDocument/2006/relationships/hyperlink" Target="http://tonal.com/" TargetMode="External"/><Relationship Id="rId179" Type="http://schemas.openxmlformats.org/officeDocument/2006/relationships/hyperlink" Target="http://mdseelig.com/" TargetMode="External"/><Relationship Id="rId190" Type="http://schemas.openxmlformats.org/officeDocument/2006/relationships/hyperlink" Target="http://gosq.com/" TargetMode="External"/><Relationship Id="rId204" Type="http://schemas.openxmlformats.org/officeDocument/2006/relationships/hyperlink" Target="http://mdseelig.com/" TargetMode="External"/><Relationship Id="rId225" Type="http://schemas.openxmlformats.org/officeDocument/2006/relationships/hyperlink" Target="http://www.inua.groumt/" TargetMode="External"/><Relationship Id="rId246" Type="http://schemas.openxmlformats.org/officeDocument/2006/relationships/hyperlink" Target="http://gosq.com/" TargetMode="External"/><Relationship Id="rId106" Type="http://schemas.openxmlformats.org/officeDocument/2006/relationships/hyperlink" Target="http://g.co/HelpPay" TargetMode="External"/><Relationship Id="rId127" Type="http://schemas.openxmlformats.org/officeDocument/2006/relationships/hyperlink" Target="http://apple.com/BILL" TargetMode="External"/><Relationship Id="rId10" Type="http://schemas.openxmlformats.org/officeDocument/2006/relationships/hyperlink" Target="http://www.rowlandphoto.com/" TargetMode="External"/><Relationship Id="rId31" Type="http://schemas.openxmlformats.org/officeDocument/2006/relationships/hyperlink" Target="http://apple.com/BILL" TargetMode="External"/><Relationship Id="rId52" Type="http://schemas.openxmlformats.org/officeDocument/2006/relationships/hyperlink" Target="http://tonal.com/" TargetMode="External"/><Relationship Id="rId73" Type="http://schemas.openxmlformats.org/officeDocument/2006/relationships/hyperlink" Target="http://gosq.com/" TargetMode="External"/><Relationship Id="rId94" Type="http://schemas.openxmlformats.org/officeDocument/2006/relationships/hyperlink" Target="http://doordash.com/" TargetMode="External"/><Relationship Id="rId148" Type="http://schemas.openxmlformats.org/officeDocument/2006/relationships/hyperlink" Target="http://amzn.com/billWA" TargetMode="External"/><Relationship Id="rId169" Type="http://schemas.openxmlformats.org/officeDocument/2006/relationships/hyperlink" Target="http://tonal.com/" TargetMode="External"/><Relationship Id="rId4" Type="http://schemas.openxmlformats.org/officeDocument/2006/relationships/hyperlink" Target="http://tonal.com/" TargetMode="External"/><Relationship Id="rId180" Type="http://schemas.openxmlformats.org/officeDocument/2006/relationships/hyperlink" Target="http://www.corryscleaning.com/" TargetMode="External"/><Relationship Id="rId215" Type="http://schemas.openxmlformats.org/officeDocument/2006/relationships/hyperlink" Target="http://amzn.com/billWA" TargetMode="External"/><Relationship Id="rId236" Type="http://schemas.openxmlformats.org/officeDocument/2006/relationships/hyperlink" Target="http://www.inua.groumt/" TargetMode="External"/><Relationship Id="rId257" Type="http://schemas.openxmlformats.org/officeDocument/2006/relationships/hyperlink" Target="http://gosq.com/" TargetMode="External"/><Relationship Id="rId42" Type="http://schemas.openxmlformats.org/officeDocument/2006/relationships/hyperlink" Target="http://www.costco.cowa/" TargetMode="External"/><Relationship Id="rId84" Type="http://schemas.openxmlformats.org/officeDocument/2006/relationships/hyperlink" Target="http://clover.com/" TargetMode="External"/><Relationship Id="rId138" Type="http://schemas.openxmlformats.org/officeDocument/2006/relationships/hyperlink" Target="http://amzn.com/billW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://apple.com/BILL" TargetMode="External"/><Relationship Id="rId21" Type="http://schemas.openxmlformats.org/officeDocument/2006/relationships/hyperlink" Target="http://gosq.com/" TargetMode="External"/><Relationship Id="rId63" Type="http://schemas.openxmlformats.org/officeDocument/2006/relationships/hyperlink" Target="http://netflix.com/" TargetMode="External"/><Relationship Id="rId159" Type="http://schemas.openxmlformats.org/officeDocument/2006/relationships/hyperlink" Target="http://www.costco.cowa/" TargetMode="External"/><Relationship Id="rId170" Type="http://schemas.openxmlformats.org/officeDocument/2006/relationships/hyperlink" Target="http://amzn.com/billWA" TargetMode="External"/><Relationship Id="rId191" Type="http://schemas.openxmlformats.org/officeDocument/2006/relationships/hyperlink" Target="http://doordash.com/" TargetMode="External"/><Relationship Id="rId205" Type="http://schemas.openxmlformats.org/officeDocument/2006/relationships/hyperlink" Target="http://apple.com/BILL" TargetMode="External"/><Relationship Id="rId226" Type="http://schemas.openxmlformats.org/officeDocument/2006/relationships/hyperlink" Target="http://amzn.com/billWA" TargetMode="External"/><Relationship Id="rId247" Type="http://schemas.openxmlformats.org/officeDocument/2006/relationships/hyperlink" Target="http://amzn.com/billWA" TargetMode="External"/><Relationship Id="rId107" Type="http://schemas.openxmlformats.org/officeDocument/2006/relationships/hyperlink" Target="http://www.costco.cowa/" TargetMode="External"/><Relationship Id="rId11" Type="http://schemas.openxmlformats.org/officeDocument/2006/relationships/hyperlink" Target="http://gosq.com/" TargetMode="External"/><Relationship Id="rId32" Type="http://schemas.openxmlformats.org/officeDocument/2006/relationships/hyperlink" Target="http://apple.com/BILL" TargetMode="External"/><Relationship Id="rId53" Type="http://schemas.openxmlformats.org/officeDocument/2006/relationships/hyperlink" Target="http://apple.com/BILL" TargetMode="External"/><Relationship Id="rId74" Type="http://schemas.openxmlformats.org/officeDocument/2006/relationships/hyperlink" Target="http://gosq.com/" TargetMode="External"/><Relationship Id="rId128" Type="http://schemas.openxmlformats.org/officeDocument/2006/relationships/hyperlink" Target="http://gosq.com/" TargetMode="External"/><Relationship Id="rId149" Type="http://schemas.openxmlformats.org/officeDocument/2006/relationships/hyperlink" Target="http://lyft.com/" TargetMode="External"/><Relationship Id="rId5" Type="http://schemas.openxmlformats.org/officeDocument/2006/relationships/hyperlink" Target="http://libro.fm/" TargetMode="External"/><Relationship Id="rId95" Type="http://schemas.openxmlformats.org/officeDocument/2006/relationships/hyperlink" Target="http://gosq.com/" TargetMode="External"/><Relationship Id="rId160" Type="http://schemas.openxmlformats.org/officeDocument/2006/relationships/hyperlink" Target="http://www.inua.groumt/" TargetMode="External"/><Relationship Id="rId181" Type="http://schemas.openxmlformats.org/officeDocument/2006/relationships/hyperlink" Target="http://apple.com/BILL" TargetMode="External"/><Relationship Id="rId216" Type="http://schemas.openxmlformats.org/officeDocument/2006/relationships/hyperlink" Target="http://www.costco.coca/" TargetMode="External"/><Relationship Id="rId237" Type="http://schemas.openxmlformats.org/officeDocument/2006/relationships/hyperlink" Target="http://amzn.com/billWA" TargetMode="External"/><Relationship Id="rId258" Type="http://schemas.openxmlformats.org/officeDocument/2006/relationships/hyperlink" Target="http://apple.com/BILL" TargetMode="External"/><Relationship Id="rId22" Type="http://schemas.openxmlformats.org/officeDocument/2006/relationships/hyperlink" Target="http://spothero.com/" TargetMode="External"/><Relationship Id="rId43" Type="http://schemas.openxmlformats.org/officeDocument/2006/relationships/hyperlink" Target="http://hulu.com/billCA" TargetMode="External"/><Relationship Id="rId64" Type="http://schemas.openxmlformats.org/officeDocument/2006/relationships/hyperlink" Target="http://mdseelig.com/" TargetMode="External"/><Relationship Id="rId118" Type="http://schemas.openxmlformats.org/officeDocument/2006/relationships/hyperlink" Target="http://apple.com/BILL" TargetMode="External"/><Relationship Id="rId139" Type="http://schemas.openxmlformats.org/officeDocument/2006/relationships/hyperlink" Target="http://hulu.com/billCA" TargetMode="External"/><Relationship Id="rId85" Type="http://schemas.openxmlformats.org/officeDocument/2006/relationships/hyperlink" Target="http://apple.com/BILL" TargetMode="External"/><Relationship Id="rId150" Type="http://schemas.openxmlformats.org/officeDocument/2006/relationships/hyperlink" Target="http://apple.com/BILL" TargetMode="External"/><Relationship Id="rId171" Type="http://schemas.openxmlformats.org/officeDocument/2006/relationships/hyperlink" Target="http://pllcgosq.com/" TargetMode="External"/><Relationship Id="rId192" Type="http://schemas.openxmlformats.org/officeDocument/2006/relationships/hyperlink" Target="http://amzn.com/billWA" TargetMode="External"/><Relationship Id="rId206" Type="http://schemas.openxmlformats.org/officeDocument/2006/relationships/hyperlink" Target="http://pllcgosq.com/" TargetMode="External"/><Relationship Id="rId227" Type="http://schemas.openxmlformats.org/officeDocument/2006/relationships/hyperlink" Target="http://linkedin.com/WA" TargetMode="External"/><Relationship Id="rId248" Type="http://schemas.openxmlformats.org/officeDocument/2006/relationships/hyperlink" Target="http://www.usaa.com/" TargetMode="External"/><Relationship Id="rId12" Type="http://schemas.openxmlformats.org/officeDocument/2006/relationships/hyperlink" Target="http://apple.com/BILL" TargetMode="External"/><Relationship Id="rId33" Type="http://schemas.openxmlformats.org/officeDocument/2006/relationships/hyperlink" Target="http://gosq.com/" TargetMode="External"/><Relationship Id="rId108" Type="http://schemas.openxmlformats.org/officeDocument/2006/relationships/hyperlink" Target="http://gosq.com/" TargetMode="External"/><Relationship Id="rId129" Type="http://schemas.openxmlformats.org/officeDocument/2006/relationships/hyperlink" Target="http://gosq.com/" TargetMode="External"/><Relationship Id="rId54" Type="http://schemas.openxmlformats.org/officeDocument/2006/relationships/hyperlink" Target="http://amzn.com/billWA" TargetMode="External"/><Relationship Id="rId75" Type="http://schemas.openxmlformats.org/officeDocument/2006/relationships/hyperlink" Target="http://amzn.com/billWA" TargetMode="External"/><Relationship Id="rId96" Type="http://schemas.openxmlformats.org/officeDocument/2006/relationships/hyperlink" Target="http://mdseelig.com/" TargetMode="External"/><Relationship Id="rId140" Type="http://schemas.openxmlformats.org/officeDocument/2006/relationships/hyperlink" Target="http://gosq.com/" TargetMode="External"/><Relationship Id="rId161" Type="http://schemas.openxmlformats.org/officeDocument/2006/relationships/hyperlink" Target="http://hulu.com/billCA" TargetMode="External"/><Relationship Id="rId182" Type="http://schemas.openxmlformats.org/officeDocument/2006/relationships/hyperlink" Target="http://www.inua.groumt/" TargetMode="External"/><Relationship Id="rId217" Type="http://schemas.openxmlformats.org/officeDocument/2006/relationships/hyperlink" Target="http://hulu.com/billCA" TargetMode="External"/><Relationship Id="rId6" Type="http://schemas.openxmlformats.org/officeDocument/2006/relationships/hyperlink" Target="http://thefp.com/" TargetMode="External"/><Relationship Id="rId238" Type="http://schemas.openxmlformats.org/officeDocument/2006/relationships/hyperlink" Target="http://tonal.com/" TargetMode="External"/><Relationship Id="rId259" Type="http://schemas.openxmlformats.org/officeDocument/2006/relationships/hyperlink" Target="http://apple.com/BILL" TargetMode="External"/><Relationship Id="rId23" Type="http://schemas.openxmlformats.org/officeDocument/2006/relationships/hyperlink" Target="http://apple.com/BILL" TargetMode="External"/><Relationship Id="rId119" Type="http://schemas.openxmlformats.org/officeDocument/2006/relationships/hyperlink" Target="http://amzn.com/billWA" TargetMode="External"/><Relationship Id="rId44" Type="http://schemas.openxmlformats.org/officeDocument/2006/relationships/hyperlink" Target="http://apple.com/BILL" TargetMode="External"/><Relationship Id="rId65" Type="http://schemas.openxmlformats.org/officeDocument/2006/relationships/hyperlink" Target="http://www.dropps.coil/" TargetMode="External"/><Relationship Id="rId86" Type="http://schemas.openxmlformats.org/officeDocument/2006/relationships/hyperlink" Target="http://www.flo.com/" TargetMode="External"/><Relationship Id="rId130" Type="http://schemas.openxmlformats.org/officeDocument/2006/relationships/hyperlink" Target="http://www.usaa.com/" TargetMode="External"/><Relationship Id="rId151" Type="http://schemas.openxmlformats.org/officeDocument/2006/relationships/hyperlink" Target="http://gosq.com/" TargetMode="External"/><Relationship Id="rId172" Type="http://schemas.openxmlformats.org/officeDocument/2006/relationships/hyperlink" Target="http://gosq.com/" TargetMode="External"/><Relationship Id="rId193" Type="http://schemas.openxmlformats.org/officeDocument/2006/relationships/hyperlink" Target="http://doordash.com/" TargetMode="External"/><Relationship Id="rId207" Type="http://schemas.openxmlformats.org/officeDocument/2006/relationships/hyperlink" Target="http://amzn.com/billWA" TargetMode="External"/><Relationship Id="rId228" Type="http://schemas.openxmlformats.org/officeDocument/2006/relationships/hyperlink" Target="http://amzn.com/billWA" TargetMode="External"/><Relationship Id="rId249" Type="http://schemas.openxmlformats.org/officeDocument/2006/relationships/hyperlink" Target="http://netflix.com/" TargetMode="External"/><Relationship Id="rId13" Type="http://schemas.openxmlformats.org/officeDocument/2006/relationships/hyperlink" Target="http://tonal.com/" TargetMode="External"/><Relationship Id="rId109" Type="http://schemas.openxmlformats.org/officeDocument/2006/relationships/hyperlink" Target="http://doordash.com/" TargetMode="External"/><Relationship Id="rId260" Type="http://schemas.openxmlformats.org/officeDocument/2006/relationships/hyperlink" Target="http://www.doordash.ca/" TargetMode="External"/><Relationship Id="rId34" Type="http://schemas.openxmlformats.org/officeDocument/2006/relationships/hyperlink" Target="http://gosq.com/" TargetMode="External"/><Relationship Id="rId55" Type="http://schemas.openxmlformats.org/officeDocument/2006/relationships/hyperlink" Target="http://gosq.com/" TargetMode="External"/><Relationship Id="rId76" Type="http://schemas.openxmlformats.org/officeDocument/2006/relationships/hyperlink" Target="http://www.inua.groumt/" TargetMode="External"/><Relationship Id="rId97" Type="http://schemas.openxmlformats.org/officeDocument/2006/relationships/hyperlink" Target="http://apple.com/BILL" TargetMode="External"/><Relationship Id="rId120" Type="http://schemas.openxmlformats.org/officeDocument/2006/relationships/hyperlink" Target="http://www.costco.cowa/" TargetMode="External"/><Relationship Id="rId141" Type="http://schemas.openxmlformats.org/officeDocument/2006/relationships/hyperlink" Target="http://g.co/helppay" TargetMode="External"/><Relationship Id="rId7" Type="http://schemas.openxmlformats.org/officeDocument/2006/relationships/hyperlink" Target="http://g.co/HelpPay" TargetMode="External"/><Relationship Id="rId162" Type="http://schemas.openxmlformats.org/officeDocument/2006/relationships/hyperlink" Target="http://amzn.com/billWA" TargetMode="External"/><Relationship Id="rId183" Type="http://schemas.openxmlformats.org/officeDocument/2006/relationships/hyperlink" Target="http://www.ussailing.org/" TargetMode="External"/><Relationship Id="rId218" Type="http://schemas.openxmlformats.org/officeDocument/2006/relationships/hyperlink" Target="http://apple.com/BILL" TargetMode="External"/><Relationship Id="rId239" Type="http://schemas.openxmlformats.org/officeDocument/2006/relationships/hyperlink" Target="http://amzn.com/billWA" TargetMode="External"/><Relationship Id="rId250" Type="http://schemas.openxmlformats.org/officeDocument/2006/relationships/hyperlink" Target="http://coversandall.com/" TargetMode="External"/><Relationship Id="rId24" Type="http://schemas.openxmlformats.org/officeDocument/2006/relationships/hyperlink" Target="http://linkedin.com/WA" TargetMode="External"/><Relationship Id="rId45" Type="http://schemas.openxmlformats.org/officeDocument/2006/relationships/hyperlink" Target="http://www.jfsseattle.org/" TargetMode="External"/><Relationship Id="rId66" Type="http://schemas.openxmlformats.org/officeDocument/2006/relationships/hyperlink" Target="http://amzn.com/billWA" TargetMode="External"/><Relationship Id="rId87" Type="http://schemas.openxmlformats.org/officeDocument/2006/relationships/hyperlink" Target="http://www.usaa.com/" TargetMode="External"/><Relationship Id="rId110" Type="http://schemas.openxmlformats.org/officeDocument/2006/relationships/hyperlink" Target="http://apple.com/BILL" TargetMode="External"/><Relationship Id="rId131" Type="http://schemas.openxmlformats.org/officeDocument/2006/relationships/hyperlink" Target="http://linkedin.com/WA" TargetMode="External"/><Relationship Id="rId152" Type="http://schemas.openxmlformats.org/officeDocument/2006/relationships/hyperlink" Target="http://www.usaa.com/" TargetMode="External"/><Relationship Id="rId173" Type="http://schemas.openxmlformats.org/officeDocument/2006/relationships/hyperlink" Target="http://gosq.com/" TargetMode="External"/><Relationship Id="rId194" Type="http://schemas.openxmlformats.org/officeDocument/2006/relationships/hyperlink" Target="http://apple.com/BILL" TargetMode="External"/><Relationship Id="rId208" Type="http://schemas.openxmlformats.org/officeDocument/2006/relationships/hyperlink" Target="http://pllcgosq.com/" TargetMode="External"/><Relationship Id="rId229" Type="http://schemas.openxmlformats.org/officeDocument/2006/relationships/hyperlink" Target="http://doordash.com/" TargetMode="External"/><Relationship Id="rId240" Type="http://schemas.openxmlformats.org/officeDocument/2006/relationships/hyperlink" Target="http://amzn.com/billWA" TargetMode="External"/><Relationship Id="rId261" Type="http://schemas.openxmlformats.org/officeDocument/2006/relationships/hyperlink" Target="http://apple.com/BILL" TargetMode="External"/><Relationship Id="rId14" Type="http://schemas.openxmlformats.org/officeDocument/2006/relationships/hyperlink" Target="http://apple.com/BILL" TargetMode="External"/><Relationship Id="rId35" Type="http://schemas.openxmlformats.org/officeDocument/2006/relationships/hyperlink" Target="http://www.usaa.com/" TargetMode="External"/><Relationship Id="rId56" Type="http://schemas.openxmlformats.org/officeDocument/2006/relationships/hyperlink" Target="http://apple.com/BILL" TargetMode="External"/><Relationship Id="rId77" Type="http://schemas.openxmlformats.org/officeDocument/2006/relationships/hyperlink" Target="http://g.co/HelpPay" TargetMode="External"/><Relationship Id="rId100" Type="http://schemas.openxmlformats.org/officeDocument/2006/relationships/hyperlink" Target="http://www.inua.groumt/" TargetMode="External"/><Relationship Id="rId8" Type="http://schemas.openxmlformats.org/officeDocument/2006/relationships/hyperlink" Target="http://pllcgosq.com/" TargetMode="External"/><Relationship Id="rId98" Type="http://schemas.openxmlformats.org/officeDocument/2006/relationships/hyperlink" Target="http://expedia.com/" TargetMode="External"/><Relationship Id="rId121" Type="http://schemas.openxmlformats.org/officeDocument/2006/relationships/hyperlink" Target="http://gosq.com/" TargetMode="External"/><Relationship Id="rId142" Type="http://schemas.openxmlformats.org/officeDocument/2006/relationships/hyperlink" Target="http://etsy.com/" TargetMode="External"/><Relationship Id="rId163" Type="http://schemas.openxmlformats.org/officeDocument/2006/relationships/hyperlink" Target="http://linkedin.com/WA" TargetMode="External"/><Relationship Id="rId184" Type="http://schemas.openxmlformats.org/officeDocument/2006/relationships/hyperlink" Target="http://amzn.com/billWA" TargetMode="External"/><Relationship Id="rId219" Type="http://schemas.openxmlformats.org/officeDocument/2006/relationships/hyperlink" Target="http://amzn.com/billWA" TargetMode="External"/><Relationship Id="rId230" Type="http://schemas.openxmlformats.org/officeDocument/2006/relationships/hyperlink" Target="http://apple.com/BILL" TargetMode="External"/><Relationship Id="rId251" Type="http://schemas.openxmlformats.org/officeDocument/2006/relationships/hyperlink" Target="http://mdseelig.com/" TargetMode="External"/><Relationship Id="rId25" Type="http://schemas.openxmlformats.org/officeDocument/2006/relationships/hyperlink" Target="http://apple.com/BILL" TargetMode="External"/><Relationship Id="rId46" Type="http://schemas.openxmlformats.org/officeDocument/2006/relationships/hyperlink" Target="http://www.corryscleaning.com/" TargetMode="External"/><Relationship Id="rId67" Type="http://schemas.openxmlformats.org/officeDocument/2006/relationships/hyperlink" Target="http://apple.com/BILL" TargetMode="External"/><Relationship Id="rId88" Type="http://schemas.openxmlformats.org/officeDocument/2006/relationships/hyperlink" Target="http://pllcgosq.com/" TargetMode="External"/><Relationship Id="rId111" Type="http://schemas.openxmlformats.org/officeDocument/2006/relationships/hyperlink" Target="http://gosq.com/" TargetMode="External"/><Relationship Id="rId132" Type="http://schemas.openxmlformats.org/officeDocument/2006/relationships/hyperlink" Target="http://netflix.com/" TargetMode="External"/><Relationship Id="rId153" Type="http://schemas.openxmlformats.org/officeDocument/2006/relationships/hyperlink" Target="http://apple.com/BILL" TargetMode="External"/><Relationship Id="rId174" Type="http://schemas.openxmlformats.org/officeDocument/2006/relationships/hyperlink" Target="http://apple.com/BILL" TargetMode="External"/><Relationship Id="rId195" Type="http://schemas.openxmlformats.org/officeDocument/2006/relationships/hyperlink" Target="http://tonal.com/" TargetMode="External"/><Relationship Id="rId209" Type="http://schemas.openxmlformats.org/officeDocument/2006/relationships/hyperlink" Target="http://amzn.com/billWA" TargetMode="External"/><Relationship Id="rId220" Type="http://schemas.openxmlformats.org/officeDocument/2006/relationships/hyperlink" Target="http://amzn.com/billWA" TargetMode="External"/><Relationship Id="rId241" Type="http://schemas.openxmlformats.org/officeDocument/2006/relationships/hyperlink" Target="http://amzn.com/billWA" TargetMode="External"/><Relationship Id="rId15" Type="http://schemas.openxmlformats.org/officeDocument/2006/relationships/hyperlink" Target="http://www.inua.groumt/" TargetMode="External"/><Relationship Id="rId36" Type="http://schemas.openxmlformats.org/officeDocument/2006/relationships/hyperlink" Target="http://mdseelig.com/" TargetMode="External"/><Relationship Id="rId57" Type="http://schemas.openxmlformats.org/officeDocument/2006/relationships/hyperlink" Target="http://gosq.com/" TargetMode="External"/><Relationship Id="rId262" Type="http://schemas.openxmlformats.org/officeDocument/2006/relationships/hyperlink" Target="http://apple.com/BILL" TargetMode="External"/><Relationship Id="rId78" Type="http://schemas.openxmlformats.org/officeDocument/2006/relationships/hyperlink" Target="http://dmoose.com/" TargetMode="External"/><Relationship Id="rId99" Type="http://schemas.openxmlformats.org/officeDocument/2006/relationships/hyperlink" Target="http://expedia.com/" TargetMode="External"/><Relationship Id="rId101" Type="http://schemas.openxmlformats.org/officeDocument/2006/relationships/hyperlink" Target="http://gosq.com/" TargetMode="External"/><Relationship Id="rId122" Type="http://schemas.openxmlformats.org/officeDocument/2006/relationships/hyperlink" Target="http://tonal.com/" TargetMode="External"/><Relationship Id="rId143" Type="http://schemas.openxmlformats.org/officeDocument/2006/relationships/hyperlink" Target="http://gosq.com/" TargetMode="External"/><Relationship Id="rId164" Type="http://schemas.openxmlformats.org/officeDocument/2006/relationships/hyperlink" Target="http://www.hangtag.ifl/" TargetMode="External"/><Relationship Id="rId185" Type="http://schemas.openxmlformats.org/officeDocument/2006/relationships/hyperlink" Target="http://gosq.com/" TargetMode="External"/><Relationship Id="rId9" Type="http://schemas.openxmlformats.org/officeDocument/2006/relationships/hyperlink" Target="http://pllcgosq.com/" TargetMode="External"/><Relationship Id="rId210" Type="http://schemas.openxmlformats.org/officeDocument/2006/relationships/hyperlink" Target="http://gosq.com/" TargetMode="External"/><Relationship Id="rId26" Type="http://schemas.openxmlformats.org/officeDocument/2006/relationships/hyperlink" Target="http://tonal.com/" TargetMode="External"/><Relationship Id="rId231" Type="http://schemas.openxmlformats.org/officeDocument/2006/relationships/hyperlink" Target="http://gosq.com/" TargetMode="External"/><Relationship Id="rId252" Type="http://schemas.openxmlformats.org/officeDocument/2006/relationships/hyperlink" Target="http://www.dropps.coil/" TargetMode="External"/><Relationship Id="rId47" Type="http://schemas.openxmlformats.org/officeDocument/2006/relationships/hyperlink" Target="http://www.corryscleaning.com/" TargetMode="External"/><Relationship Id="rId68" Type="http://schemas.openxmlformats.org/officeDocument/2006/relationships/hyperlink" Target="http://amzn.com/billWA" TargetMode="External"/><Relationship Id="rId89" Type="http://schemas.openxmlformats.org/officeDocument/2006/relationships/hyperlink" Target="http://pllcgosq.com/" TargetMode="External"/><Relationship Id="rId112" Type="http://schemas.openxmlformats.org/officeDocument/2006/relationships/hyperlink" Target="http://expedia.com/" TargetMode="External"/><Relationship Id="rId133" Type="http://schemas.openxmlformats.org/officeDocument/2006/relationships/hyperlink" Target="http://mdseelig.com/" TargetMode="External"/><Relationship Id="rId154" Type="http://schemas.openxmlformats.org/officeDocument/2006/relationships/hyperlink" Target="http://www.dropps.coil/" TargetMode="External"/><Relationship Id="rId175" Type="http://schemas.openxmlformats.org/officeDocument/2006/relationships/hyperlink" Target="http://www.usaa.com/" TargetMode="External"/><Relationship Id="rId196" Type="http://schemas.openxmlformats.org/officeDocument/2006/relationships/hyperlink" Target="http://amzn.com/billWA" TargetMode="External"/><Relationship Id="rId200" Type="http://schemas.openxmlformats.org/officeDocument/2006/relationships/hyperlink" Target="http://amzn.com/billWA" TargetMode="External"/><Relationship Id="rId16" Type="http://schemas.openxmlformats.org/officeDocument/2006/relationships/hyperlink" Target="http://apple.com/BILL" TargetMode="External"/><Relationship Id="rId221" Type="http://schemas.openxmlformats.org/officeDocument/2006/relationships/hyperlink" Target="http://g.co/helppay" TargetMode="External"/><Relationship Id="rId242" Type="http://schemas.openxmlformats.org/officeDocument/2006/relationships/hyperlink" Target="http://doordash.com/" TargetMode="External"/><Relationship Id="rId263" Type="http://schemas.openxmlformats.org/officeDocument/2006/relationships/hyperlink" Target="http://hulu.com/billCA" TargetMode="External"/><Relationship Id="rId37" Type="http://schemas.openxmlformats.org/officeDocument/2006/relationships/hyperlink" Target="http://apple.com/BILL" TargetMode="External"/><Relationship Id="rId58" Type="http://schemas.openxmlformats.org/officeDocument/2006/relationships/hyperlink" Target="http://amzn.com/billWA" TargetMode="External"/><Relationship Id="rId79" Type="http://schemas.openxmlformats.org/officeDocument/2006/relationships/hyperlink" Target="http://www.costco.cowa/" TargetMode="External"/><Relationship Id="rId102" Type="http://schemas.openxmlformats.org/officeDocument/2006/relationships/hyperlink" Target="http://apple.com/BILL" TargetMode="External"/><Relationship Id="rId123" Type="http://schemas.openxmlformats.org/officeDocument/2006/relationships/hyperlink" Target="http://tripchrg.com/" TargetMode="External"/><Relationship Id="rId144" Type="http://schemas.openxmlformats.org/officeDocument/2006/relationships/hyperlink" Target="http://apple.com/BILL" TargetMode="External"/><Relationship Id="rId90" Type="http://schemas.openxmlformats.org/officeDocument/2006/relationships/hyperlink" Target="http://www.flo.com/" TargetMode="External"/><Relationship Id="rId165" Type="http://schemas.openxmlformats.org/officeDocument/2006/relationships/hyperlink" Target="http://gosq.com/" TargetMode="External"/><Relationship Id="rId186" Type="http://schemas.openxmlformats.org/officeDocument/2006/relationships/hyperlink" Target="http://gosq.com/" TargetMode="External"/><Relationship Id="rId211" Type="http://schemas.openxmlformats.org/officeDocument/2006/relationships/hyperlink" Target="http://amzn.com/billWA" TargetMode="External"/><Relationship Id="rId232" Type="http://schemas.openxmlformats.org/officeDocument/2006/relationships/hyperlink" Target="http://www.inua.groumt/" TargetMode="External"/><Relationship Id="rId253" Type="http://schemas.openxmlformats.org/officeDocument/2006/relationships/hyperlink" Target="http://apple.com/BILL" TargetMode="External"/><Relationship Id="rId27" Type="http://schemas.openxmlformats.org/officeDocument/2006/relationships/hyperlink" Target="http://etsy.com/" TargetMode="External"/><Relationship Id="rId48" Type="http://schemas.openxmlformats.org/officeDocument/2006/relationships/hyperlink" Target="http://gosq.com/" TargetMode="External"/><Relationship Id="rId69" Type="http://schemas.openxmlformats.org/officeDocument/2006/relationships/hyperlink" Target="http://amzn.com/billWA" TargetMode="External"/><Relationship Id="rId113" Type="http://schemas.openxmlformats.org/officeDocument/2006/relationships/hyperlink" Target="http://www.sweetgreen.com/" TargetMode="External"/><Relationship Id="rId134" Type="http://schemas.openxmlformats.org/officeDocument/2006/relationships/hyperlink" Target="http://apple.com/BILL" TargetMode="External"/><Relationship Id="rId80" Type="http://schemas.openxmlformats.org/officeDocument/2006/relationships/hyperlink" Target="http://expedia.com/" TargetMode="External"/><Relationship Id="rId155" Type="http://schemas.openxmlformats.org/officeDocument/2006/relationships/hyperlink" Target="http://mdseelig.com/" TargetMode="External"/><Relationship Id="rId176" Type="http://schemas.openxmlformats.org/officeDocument/2006/relationships/hyperlink" Target="http://gosq.com/" TargetMode="External"/><Relationship Id="rId197" Type="http://schemas.openxmlformats.org/officeDocument/2006/relationships/hyperlink" Target="http://apple.com/BILL" TargetMode="External"/><Relationship Id="rId201" Type="http://schemas.openxmlformats.org/officeDocument/2006/relationships/hyperlink" Target="http://amzn.com/billWA" TargetMode="External"/><Relationship Id="rId222" Type="http://schemas.openxmlformats.org/officeDocument/2006/relationships/hyperlink" Target="http://gosq.com/" TargetMode="External"/><Relationship Id="rId243" Type="http://schemas.openxmlformats.org/officeDocument/2006/relationships/hyperlink" Target="http://apple.com/BILL" TargetMode="External"/><Relationship Id="rId264" Type="http://schemas.openxmlformats.org/officeDocument/2006/relationships/table" Target="../tables/table3.xml"/><Relationship Id="rId17" Type="http://schemas.openxmlformats.org/officeDocument/2006/relationships/hyperlink" Target="http://www.usaa.com/" TargetMode="External"/><Relationship Id="rId38" Type="http://schemas.openxmlformats.org/officeDocument/2006/relationships/hyperlink" Target="http://etsy.com/" TargetMode="External"/><Relationship Id="rId59" Type="http://schemas.openxmlformats.org/officeDocument/2006/relationships/hyperlink" Target="http://apple.com/BILL" TargetMode="External"/><Relationship Id="rId103" Type="http://schemas.openxmlformats.org/officeDocument/2006/relationships/hyperlink" Target="http://gosq.com/" TargetMode="External"/><Relationship Id="rId124" Type="http://schemas.openxmlformats.org/officeDocument/2006/relationships/hyperlink" Target="http://apple.com/BILL" TargetMode="External"/><Relationship Id="rId70" Type="http://schemas.openxmlformats.org/officeDocument/2006/relationships/hyperlink" Target="http://gosq.com/" TargetMode="External"/><Relationship Id="rId91" Type="http://schemas.openxmlformats.org/officeDocument/2006/relationships/hyperlink" Target="http://pllcgosq.com/" TargetMode="External"/><Relationship Id="rId145" Type="http://schemas.openxmlformats.org/officeDocument/2006/relationships/hyperlink" Target="http://amzn.com/billWA" TargetMode="External"/><Relationship Id="rId166" Type="http://schemas.openxmlformats.org/officeDocument/2006/relationships/hyperlink" Target="http://learninggofundme.com/" TargetMode="External"/><Relationship Id="rId187" Type="http://schemas.openxmlformats.org/officeDocument/2006/relationships/hyperlink" Target="http://amzn.com/billWA" TargetMode="External"/><Relationship Id="rId1" Type="http://schemas.openxmlformats.org/officeDocument/2006/relationships/hyperlink" Target="http://tonal.com/" TargetMode="External"/><Relationship Id="rId212" Type="http://schemas.openxmlformats.org/officeDocument/2006/relationships/hyperlink" Target="http://coversandall.com/" TargetMode="External"/><Relationship Id="rId233" Type="http://schemas.openxmlformats.org/officeDocument/2006/relationships/hyperlink" Target="http://www.costco.coca/" TargetMode="External"/><Relationship Id="rId254" Type="http://schemas.openxmlformats.org/officeDocument/2006/relationships/hyperlink" Target="http://amzn.com/billWA" TargetMode="External"/><Relationship Id="rId28" Type="http://schemas.openxmlformats.org/officeDocument/2006/relationships/hyperlink" Target="http://gosq.com/" TargetMode="External"/><Relationship Id="rId49" Type="http://schemas.openxmlformats.org/officeDocument/2006/relationships/hyperlink" Target="http://gosq.com/" TargetMode="External"/><Relationship Id="rId114" Type="http://schemas.openxmlformats.org/officeDocument/2006/relationships/hyperlink" Target="http://amzn.com/billWA" TargetMode="External"/><Relationship Id="rId60" Type="http://schemas.openxmlformats.org/officeDocument/2006/relationships/hyperlink" Target="http://www.costco.cowa/" TargetMode="External"/><Relationship Id="rId81" Type="http://schemas.openxmlformats.org/officeDocument/2006/relationships/hyperlink" Target="http://apple.com/BILL" TargetMode="External"/><Relationship Id="rId135" Type="http://schemas.openxmlformats.org/officeDocument/2006/relationships/hyperlink" Target="http://www.inua.groumt/" TargetMode="External"/><Relationship Id="rId156" Type="http://schemas.openxmlformats.org/officeDocument/2006/relationships/hyperlink" Target="http://gosq.com/" TargetMode="External"/><Relationship Id="rId177" Type="http://schemas.openxmlformats.org/officeDocument/2006/relationships/hyperlink" Target="http://gosq.com/" TargetMode="External"/><Relationship Id="rId198" Type="http://schemas.openxmlformats.org/officeDocument/2006/relationships/hyperlink" Target="http://doordash.com/" TargetMode="External"/><Relationship Id="rId202" Type="http://schemas.openxmlformats.org/officeDocument/2006/relationships/hyperlink" Target="http://gosq.com/" TargetMode="External"/><Relationship Id="rId223" Type="http://schemas.openxmlformats.org/officeDocument/2006/relationships/hyperlink" Target="http://amzn.com/billWA" TargetMode="External"/><Relationship Id="rId244" Type="http://schemas.openxmlformats.org/officeDocument/2006/relationships/hyperlink" Target="http://doordash.com/" TargetMode="External"/><Relationship Id="rId18" Type="http://schemas.openxmlformats.org/officeDocument/2006/relationships/hyperlink" Target="http://apple.com/BILL" TargetMode="External"/><Relationship Id="rId39" Type="http://schemas.openxmlformats.org/officeDocument/2006/relationships/hyperlink" Target="http://doordash.com/" TargetMode="External"/><Relationship Id="rId50" Type="http://schemas.openxmlformats.org/officeDocument/2006/relationships/hyperlink" Target="http://apple.com/BILL" TargetMode="External"/><Relationship Id="rId104" Type="http://schemas.openxmlformats.org/officeDocument/2006/relationships/hyperlink" Target="http://doordash.com/" TargetMode="External"/><Relationship Id="rId125" Type="http://schemas.openxmlformats.org/officeDocument/2006/relationships/hyperlink" Target="http://amzn.com/billWA" TargetMode="External"/><Relationship Id="rId146" Type="http://schemas.openxmlformats.org/officeDocument/2006/relationships/hyperlink" Target="http://tonal.com/" TargetMode="External"/><Relationship Id="rId167" Type="http://schemas.openxmlformats.org/officeDocument/2006/relationships/hyperlink" Target="http://apple.com/BILL" TargetMode="External"/><Relationship Id="rId188" Type="http://schemas.openxmlformats.org/officeDocument/2006/relationships/hyperlink" Target="http://hulu.com/billCA" TargetMode="External"/><Relationship Id="rId71" Type="http://schemas.openxmlformats.org/officeDocument/2006/relationships/hyperlink" Target="http://doordash.com/" TargetMode="External"/><Relationship Id="rId92" Type="http://schemas.openxmlformats.org/officeDocument/2006/relationships/hyperlink" Target="http://www.flo.com/" TargetMode="External"/><Relationship Id="rId213" Type="http://schemas.openxmlformats.org/officeDocument/2006/relationships/hyperlink" Target="http://gosq.com/" TargetMode="External"/><Relationship Id="rId234" Type="http://schemas.openxmlformats.org/officeDocument/2006/relationships/hyperlink" Target="http://www.inua.groumt/" TargetMode="External"/><Relationship Id="rId2" Type="http://schemas.openxmlformats.org/officeDocument/2006/relationships/hyperlink" Target="http://brownpapertickets.com/" TargetMode="External"/><Relationship Id="rId29" Type="http://schemas.openxmlformats.org/officeDocument/2006/relationships/hyperlink" Target="http://gosq.com/" TargetMode="External"/><Relationship Id="rId255" Type="http://schemas.openxmlformats.org/officeDocument/2006/relationships/hyperlink" Target="http://gosq.com/" TargetMode="External"/><Relationship Id="rId40" Type="http://schemas.openxmlformats.org/officeDocument/2006/relationships/hyperlink" Target="http://gosq.com/" TargetMode="External"/><Relationship Id="rId115" Type="http://schemas.openxmlformats.org/officeDocument/2006/relationships/hyperlink" Target="http://doordash.com/" TargetMode="External"/><Relationship Id="rId136" Type="http://schemas.openxmlformats.org/officeDocument/2006/relationships/hyperlink" Target="http://gosq.com/" TargetMode="External"/><Relationship Id="rId157" Type="http://schemas.openxmlformats.org/officeDocument/2006/relationships/hyperlink" Target="http://apple.com/BILL" TargetMode="External"/><Relationship Id="rId178" Type="http://schemas.openxmlformats.org/officeDocument/2006/relationships/hyperlink" Target="http://www.costco.coca/" TargetMode="External"/><Relationship Id="rId61" Type="http://schemas.openxmlformats.org/officeDocument/2006/relationships/hyperlink" Target="http://www.usaa.com/" TargetMode="External"/><Relationship Id="rId82" Type="http://schemas.openxmlformats.org/officeDocument/2006/relationships/hyperlink" Target="http://apple.com/BILL" TargetMode="External"/><Relationship Id="rId199" Type="http://schemas.openxmlformats.org/officeDocument/2006/relationships/hyperlink" Target="http://www.usaa.com/" TargetMode="External"/><Relationship Id="rId203" Type="http://schemas.openxmlformats.org/officeDocument/2006/relationships/hyperlink" Target="http://gosq.com/" TargetMode="External"/><Relationship Id="rId19" Type="http://schemas.openxmlformats.org/officeDocument/2006/relationships/hyperlink" Target="http://apple.com/BILL" TargetMode="External"/><Relationship Id="rId224" Type="http://schemas.openxmlformats.org/officeDocument/2006/relationships/hyperlink" Target="http://gosq.com/" TargetMode="External"/><Relationship Id="rId245" Type="http://schemas.openxmlformats.org/officeDocument/2006/relationships/hyperlink" Target="http://gosq.com/" TargetMode="External"/><Relationship Id="rId30" Type="http://schemas.openxmlformats.org/officeDocument/2006/relationships/hyperlink" Target="http://amzn.com/billWA" TargetMode="External"/><Relationship Id="rId105" Type="http://schemas.openxmlformats.org/officeDocument/2006/relationships/hyperlink" Target="http://doordash.com/" TargetMode="External"/><Relationship Id="rId126" Type="http://schemas.openxmlformats.org/officeDocument/2006/relationships/hyperlink" Target="http://amzn.com/billWA" TargetMode="External"/><Relationship Id="rId147" Type="http://schemas.openxmlformats.org/officeDocument/2006/relationships/hyperlink" Target="http://www.costco.cowa/" TargetMode="External"/><Relationship Id="rId168" Type="http://schemas.openxmlformats.org/officeDocument/2006/relationships/hyperlink" Target="http://help.uber.com/" TargetMode="External"/><Relationship Id="rId51" Type="http://schemas.openxmlformats.org/officeDocument/2006/relationships/hyperlink" Target="http://expedia.com/" TargetMode="External"/><Relationship Id="rId72" Type="http://schemas.openxmlformats.org/officeDocument/2006/relationships/hyperlink" Target="http://doordash.com/" TargetMode="External"/><Relationship Id="rId93" Type="http://schemas.openxmlformats.org/officeDocument/2006/relationships/hyperlink" Target="http://gosq.com/" TargetMode="External"/><Relationship Id="rId189" Type="http://schemas.openxmlformats.org/officeDocument/2006/relationships/hyperlink" Target="http://g.co/HelpPay" TargetMode="External"/><Relationship Id="rId3" Type="http://schemas.openxmlformats.org/officeDocument/2006/relationships/hyperlink" Target="http://libro.fm/" TargetMode="External"/><Relationship Id="rId214" Type="http://schemas.openxmlformats.org/officeDocument/2006/relationships/hyperlink" Target="http://amzn.com/billWA" TargetMode="External"/><Relationship Id="rId235" Type="http://schemas.openxmlformats.org/officeDocument/2006/relationships/hyperlink" Target="http://www.inua.groumt/" TargetMode="External"/><Relationship Id="rId256" Type="http://schemas.openxmlformats.org/officeDocument/2006/relationships/hyperlink" Target="http://amzn.com/billWA" TargetMode="External"/><Relationship Id="rId116" Type="http://schemas.openxmlformats.org/officeDocument/2006/relationships/hyperlink" Target="http://gosq.com/" TargetMode="External"/><Relationship Id="rId137" Type="http://schemas.openxmlformats.org/officeDocument/2006/relationships/hyperlink" Target="http://amzn.com/billWA" TargetMode="External"/><Relationship Id="rId158" Type="http://schemas.openxmlformats.org/officeDocument/2006/relationships/hyperlink" Target="http://amzn.com/billWA" TargetMode="External"/><Relationship Id="rId20" Type="http://schemas.openxmlformats.org/officeDocument/2006/relationships/hyperlink" Target="http://gosq.com/" TargetMode="External"/><Relationship Id="rId41" Type="http://schemas.openxmlformats.org/officeDocument/2006/relationships/hyperlink" Target="http://amzn.com/bil" TargetMode="External"/><Relationship Id="rId62" Type="http://schemas.openxmlformats.org/officeDocument/2006/relationships/hyperlink" Target="http://srsmrktplace.com/" TargetMode="External"/><Relationship Id="rId83" Type="http://schemas.openxmlformats.org/officeDocument/2006/relationships/hyperlink" Target="http://tonal.com/" TargetMode="External"/><Relationship Id="rId179" Type="http://schemas.openxmlformats.org/officeDocument/2006/relationships/hyperlink" Target="http://mdseelig.com/" TargetMode="External"/><Relationship Id="rId190" Type="http://schemas.openxmlformats.org/officeDocument/2006/relationships/hyperlink" Target="http://gosq.com/" TargetMode="External"/><Relationship Id="rId204" Type="http://schemas.openxmlformats.org/officeDocument/2006/relationships/hyperlink" Target="http://mdseelig.com/" TargetMode="External"/><Relationship Id="rId225" Type="http://schemas.openxmlformats.org/officeDocument/2006/relationships/hyperlink" Target="http://www.inua.groumt/" TargetMode="External"/><Relationship Id="rId246" Type="http://schemas.openxmlformats.org/officeDocument/2006/relationships/hyperlink" Target="http://gosq.com/" TargetMode="External"/><Relationship Id="rId106" Type="http://schemas.openxmlformats.org/officeDocument/2006/relationships/hyperlink" Target="http://g.co/HelpPay" TargetMode="External"/><Relationship Id="rId127" Type="http://schemas.openxmlformats.org/officeDocument/2006/relationships/hyperlink" Target="http://apple.com/BILL" TargetMode="External"/><Relationship Id="rId10" Type="http://schemas.openxmlformats.org/officeDocument/2006/relationships/hyperlink" Target="http://www.rowlandphoto.com/" TargetMode="External"/><Relationship Id="rId31" Type="http://schemas.openxmlformats.org/officeDocument/2006/relationships/hyperlink" Target="http://apple.com/BILL" TargetMode="External"/><Relationship Id="rId52" Type="http://schemas.openxmlformats.org/officeDocument/2006/relationships/hyperlink" Target="http://tonal.com/" TargetMode="External"/><Relationship Id="rId73" Type="http://schemas.openxmlformats.org/officeDocument/2006/relationships/hyperlink" Target="http://gosq.com/" TargetMode="External"/><Relationship Id="rId94" Type="http://schemas.openxmlformats.org/officeDocument/2006/relationships/hyperlink" Target="http://doordash.com/" TargetMode="External"/><Relationship Id="rId148" Type="http://schemas.openxmlformats.org/officeDocument/2006/relationships/hyperlink" Target="http://amzn.com/billWA" TargetMode="External"/><Relationship Id="rId169" Type="http://schemas.openxmlformats.org/officeDocument/2006/relationships/hyperlink" Target="http://tonal.com/" TargetMode="External"/><Relationship Id="rId4" Type="http://schemas.openxmlformats.org/officeDocument/2006/relationships/hyperlink" Target="http://tonal.com/" TargetMode="External"/><Relationship Id="rId180" Type="http://schemas.openxmlformats.org/officeDocument/2006/relationships/hyperlink" Target="http://www.corryscleaning.com/" TargetMode="External"/><Relationship Id="rId215" Type="http://schemas.openxmlformats.org/officeDocument/2006/relationships/hyperlink" Target="http://amzn.com/billWA" TargetMode="External"/><Relationship Id="rId236" Type="http://schemas.openxmlformats.org/officeDocument/2006/relationships/hyperlink" Target="http://www.inua.groumt/" TargetMode="External"/><Relationship Id="rId257" Type="http://schemas.openxmlformats.org/officeDocument/2006/relationships/hyperlink" Target="http://gosq.com/" TargetMode="External"/><Relationship Id="rId42" Type="http://schemas.openxmlformats.org/officeDocument/2006/relationships/hyperlink" Target="http://www.costco.cowa/" TargetMode="External"/><Relationship Id="rId84" Type="http://schemas.openxmlformats.org/officeDocument/2006/relationships/hyperlink" Target="http://clover.com/" TargetMode="External"/><Relationship Id="rId138" Type="http://schemas.openxmlformats.org/officeDocument/2006/relationships/hyperlink" Target="http://amzn.com/billWA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731180696530expedia.com/" TargetMode="External"/><Relationship Id="rId13" Type="http://schemas.openxmlformats.org/officeDocument/2006/relationships/hyperlink" Target="http://kiwi.com/" TargetMode="External"/><Relationship Id="rId18" Type="http://schemas.openxmlformats.org/officeDocument/2006/relationships/hyperlink" Target="http://expedia.com/" TargetMode="External"/><Relationship Id="rId26" Type="http://schemas.openxmlformats.org/officeDocument/2006/relationships/hyperlink" Target="http://www.jfsseattle.org/" TargetMode="External"/><Relationship Id="rId3" Type="http://schemas.openxmlformats.org/officeDocument/2006/relationships/hyperlink" Target="http://731432666940expedia.com/" TargetMode="External"/><Relationship Id="rId21" Type="http://schemas.openxmlformats.org/officeDocument/2006/relationships/hyperlink" Target="http://amzn.com/billWA" TargetMode="External"/><Relationship Id="rId7" Type="http://schemas.openxmlformats.org/officeDocument/2006/relationships/hyperlink" Target="http://731180696530expedia.com/" TargetMode="External"/><Relationship Id="rId12" Type="http://schemas.openxmlformats.org/officeDocument/2006/relationships/hyperlink" Target="http://vlousnow.com/" TargetMode="External"/><Relationship Id="rId17" Type="http://schemas.openxmlformats.org/officeDocument/2006/relationships/hyperlink" Target="https://help.uber.co/" TargetMode="External"/><Relationship Id="rId25" Type="http://schemas.openxmlformats.org/officeDocument/2006/relationships/hyperlink" Target="http://etsy.com/" TargetMode="External"/><Relationship Id="rId2" Type="http://schemas.openxmlformats.org/officeDocument/2006/relationships/hyperlink" Target="http://apple.com/BILINTERNET" TargetMode="External"/><Relationship Id="rId16" Type="http://schemas.openxmlformats.org/officeDocument/2006/relationships/hyperlink" Target="https://help.uber.co/" TargetMode="External"/><Relationship Id="rId20" Type="http://schemas.openxmlformats.org/officeDocument/2006/relationships/hyperlink" Target="http://amzn.com/billWA" TargetMode="External"/><Relationship Id="rId29" Type="http://schemas.openxmlformats.org/officeDocument/2006/relationships/table" Target="../tables/table4.xml"/><Relationship Id="rId1" Type="http://schemas.openxmlformats.org/officeDocument/2006/relationships/hyperlink" Target="http://apple.com/BILL" TargetMode="External"/><Relationship Id="rId6" Type="http://schemas.openxmlformats.org/officeDocument/2006/relationships/hyperlink" Target="http://731180696530expedia.com/" TargetMode="External"/><Relationship Id="rId11" Type="http://schemas.openxmlformats.org/officeDocument/2006/relationships/hyperlink" Target="https://help.uber.cogb/" TargetMode="External"/><Relationship Id="rId24" Type="http://schemas.openxmlformats.org/officeDocument/2006/relationships/hyperlink" Target="http://etsy.com/" TargetMode="External"/><Relationship Id="rId5" Type="http://schemas.openxmlformats.org/officeDocument/2006/relationships/hyperlink" Target="http://apple.com/BILINTERNET" TargetMode="External"/><Relationship Id="rId15" Type="http://schemas.openxmlformats.org/officeDocument/2006/relationships/hyperlink" Target="https://help.uber.cogb/" TargetMode="External"/><Relationship Id="rId23" Type="http://schemas.openxmlformats.org/officeDocument/2006/relationships/hyperlink" Target="http://www.rowlandphoto.com/" TargetMode="External"/><Relationship Id="rId28" Type="http://schemas.openxmlformats.org/officeDocument/2006/relationships/hyperlink" Target="http://amzn.com/billWA" TargetMode="External"/><Relationship Id="rId10" Type="http://schemas.openxmlformats.org/officeDocument/2006/relationships/hyperlink" Target="http://quizlet.com/" TargetMode="External"/><Relationship Id="rId19" Type="http://schemas.openxmlformats.org/officeDocument/2006/relationships/hyperlink" Target="http://help.uber.com/" TargetMode="External"/><Relationship Id="rId4" Type="http://schemas.openxmlformats.org/officeDocument/2006/relationships/hyperlink" Target="http://lastpass.com/" TargetMode="External"/><Relationship Id="rId9" Type="http://schemas.openxmlformats.org/officeDocument/2006/relationships/hyperlink" Target="http://apple.com/US" TargetMode="External"/><Relationship Id="rId14" Type="http://schemas.openxmlformats.org/officeDocument/2006/relationships/hyperlink" Target="https://help.uber.cogb/" TargetMode="External"/><Relationship Id="rId22" Type="http://schemas.openxmlformats.org/officeDocument/2006/relationships/hyperlink" Target="http://srsmrktplace.com/" TargetMode="External"/><Relationship Id="rId27" Type="http://schemas.openxmlformats.org/officeDocument/2006/relationships/hyperlink" Target="http://expedi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25CF9-9B40-D245-A42F-9D9D3943720E}">
  <sheetPr filterMode="1"/>
  <dimension ref="A1:F2818"/>
  <sheetViews>
    <sheetView workbookViewId="0">
      <selection activeCell="D50" sqref="D50"/>
    </sheetView>
  </sheetViews>
  <sheetFormatPr baseColWidth="10" defaultRowHeight="16" x14ac:dyDescent="0.2"/>
  <cols>
    <col min="1" max="1" width="10.83203125" style="63"/>
  </cols>
  <sheetData>
    <row r="1" spans="1:6" x14ac:dyDescent="0.2">
      <c r="A1" s="64" t="s">
        <v>1258</v>
      </c>
      <c r="B1" s="39" t="s">
        <v>0</v>
      </c>
      <c r="C1" s="39" t="s">
        <v>1226</v>
      </c>
      <c r="D1" s="39" t="s">
        <v>1511</v>
      </c>
      <c r="E1" s="39" t="s">
        <v>2204</v>
      </c>
      <c r="F1" s="40" t="s">
        <v>2206</v>
      </c>
    </row>
    <row r="2" spans="1:6" hidden="1" x14ac:dyDescent="0.2">
      <c r="A2" s="41">
        <v>45861</v>
      </c>
      <c r="B2" s="42" t="s">
        <v>1245</v>
      </c>
      <c r="C2" s="42">
        <v>5.3</v>
      </c>
      <c r="D2" s="8" t="s">
        <v>165</v>
      </c>
      <c r="E2" s="8" t="s">
        <v>45</v>
      </c>
      <c r="F2" s="60" t="s">
        <v>2209</v>
      </c>
    </row>
    <row r="3" spans="1:6" hidden="1" x14ac:dyDescent="0.2">
      <c r="A3" s="43">
        <v>45860</v>
      </c>
      <c r="B3" s="33" t="s">
        <v>1249</v>
      </c>
      <c r="C3" s="33">
        <v>156.07</v>
      </c>
      <c r="D3" s="7" t="s">
        <v>956</v>
      </c>
      <c r="E3" s="7" t="s">
        <v>45</v>
      </c>
      <c r="F3" s="61" t="s">
        <v>2209</v>
      </c>
    </row>
    <row r="4" spans="1:6" hidden="1" x14ac:dyDescent="0.2">
      <c r="A4" s="41">
        <v>45982</v>
      </c>
      <c r="B4" s="42" t="s">
        <v>82</v>
      </c>
      <c r="C4" s="42">
        <v>-35</v>
      </c>
      <c r="D4" s="8" t="s">
        <v>83</v>
      </c>
      <c r="E4" s="8" t="s">
        <v>6</v>
      </c>
      <c r="F4" s="60" t="s">
        <v>2209</v>
      </c>
    </row>
    <row r="5" spans="1:6" hidden="1" x14ac:dyDescent="0.2">
      <c r="A5" s="43">
        <v>45980</v>
      </c>
      <c r="B5" s="33" t="s">
        <v>943</v>
      </c>
      <c r="C5" s="33">
        <v>-3.03</v>
      </c>
      <c r="D5" s="7" t="s">
        <v>77</v>
      </c>
      <c r="E5" s="7" t="s">
        <v>6</v>
      </c>
      <c r="F5" s="61" t="s">
        <v>2209</v>
      </c>
    </row>
    <row r="6" spans="1:6" x14ac:dyDescent="0.2">
      <c r="A6" s="41">
        <v>45929</v>
      </c>
      <c r="B6" s="42" t="s">
        <v>84</v>
      </c>
      <c r="C6" s="42">
        <v>-104.55</v>
      </c>
      <c r="D6" s="8" t="s">
        <v>83</v>
      </c>
      <c r="E6" s="8" t="s">
        <v>6</v>
      </c>
      <c r="F6" s="60" t="s">
        <v>2209</v>
      </c>
    </row>
    <row r="7" spans="1:6" hidden="1" x14ac:dyDescent="0.2">
      <c r="A7" s="43">
        <v>45923</v>
      </c>
      <c r="B7" s="33" t="s">
        <v>943</v>
      </c>
      <c r="C7" s="33">
        <v>-303.86</v>
      </c>
      <c r="D7" s="7" t="s">
        <v>77</v>
      </c>
      <c r="E7" s="7" t="s">
        <v>6</v>
      </c>
      <c r="F7" s="61" t="s">
        <v>2209</v>
      </c>
    </row>
    <row r="8" spans="1:6" hidden="1" x14ac:dyDescent="0.2">
      <c r="A8" s="41">
        <v>45909</v>
      </c>
      <c r="B8" s="42" t="s">
        <v>943</v>
      </c>
      <c r="C8" s="42">
        <v>-253</v>
      </c>
      <c r="D8" s="8" t="s">
        <v>77</v>
      </c>
      <c r="E8" s="8" t="s">
        <v>6</v>
      </c>
      <c r="F8" s="60" t="s">
        <v>2209</v>
      </c>
    </row>
    <row r="9" spans="1:6" x14ac:dyDescent="0.2">
      <c r="A9" s="43">
        <v>45909</v>
      </c>
      <c r="B9" s="33" t="s">
        <v>84</v>
      </c>
      <c r="C9" s="33">
        <v>-316.57</v>
      </c>
      <c r="D9" s="7" t="s">
        <v>83</v>
      </c>
      <c r="E9" s="7" t="s">
        <v>6</v>
      </c>
      <c r="F9" s="61" t="s">
        <v>2209</v>
      </c>
    </row>
    <row r="10" spans="1:6" x14ac:dyDescent="0.2">
      <c r="A10" s="41">
        <v>45898</v>
      </c>
      <c r="B10" s="42" t="s">
        <v>84</v>
      </c>
      <c r="C10" s="42">
        <v>-203</v>
      </c>
      <c r="D10" s="8" t="s">
        <v>83</v>
      </c>
      <c r="E10" s="8" t="s">
        <v>6</v>
      </c>
      <c r="F10" s="60" t="s">
        <v>2209</v>
      </c>
    </row>
    <row r="11" spans="1:6" hidden="1" x14ac:dyDescent="0.2">
      <c r="A11" s="43">
        <v>45889</v>
      </c>
      <c r="B11" s="33" t="s">
        <v>82</v>
      </c>
      <c r="C11" s="33">
        <v>-8</v>
      </c>
      <c r="D11" s="7" t="s">
        <v>83</v>
      </c>
      <c r="E11" s="7" t="s">
        <v>6</v>
      </c>
      <c r="F11" s="61" t="s">
        <v>2209</v>
      </c>
    </row>
    <row r="12" spans="1:6" hidden="1" x14ac:dyDescent="0.2">
      <c r="A12" s="41">
        <v>45878</v>
      </c>
      <c r="B12" s="42" t="s">
        <v>943</v>
      </c>
      <c r="C12" s="42">
        <v>-32.31</v>
      </c>
      <c r="D12" s="8" t="s">
        <v>77</v>
      </c>
      <c r="E12" s="8" t="s">
        <v>6</v>
      </c>
      <c r="F12" s="60" t="s">
        <v>2209</v>
      </c>
    </row>
    <row r="13" spans="1:6" hidden="1" x14ac:dyDescent="0.2">
      <c r="A13" s="43">
        <v>45877</v>
      </c>
      <c r="B13" s="33" t="s">
        <v>943</v>
      </c>
      <c r="C13" s="33">
        <v>-36.01</v>
      </c>
      <c r="D13" s="7" t="s">
        <v>77</v>
      </c>
      <c r="E13" s="7" t="s">
        <v>6</v>
      </c>
      <c r="F13" s="61" t="s">
        <v>2209</v>
      </c>
    </row>
    <row r="14" spans="1:6" x14ac:dyDescent="0.2">
      <c r="A14" s="41">
        <v>45876</v>
      </c>
      <c r="B14" s="42" t="s">
        <v>84</v>
      </c>
      <c r="C14" s="42">
        <v>-32.909999999999997</v>
      </c>
      <c r="D14" s="8" t="s">
        <v>83</v>
      </c>
      <c r="E14" s="8" t="s">
        <v>6</v>
      </c>
      <c r="F14" s="60" t="s">
        <v>2209</v>
      </c>
    </row>
    <row r="15" spans="1:6" hidden="1" x14ac:dyDescent="0.2">
      <c r="A15" s="43">
        <v>45874</v>
      </c>
      <c r="B15" s="33" t="s">
        <v>943</v>
      </c>
      <c r="C15" s="33">
        <v>-27.1</v>
      </c>
      <c r="D15" s="7" t="s">
        <v>77</v>
      </c>
      <c r="E15" s="7" t="s">
        <v>6</v>
      </c>
      <c r="F15" s="61" t="s">
        <v>2209</v>
      </c>
    </row>
    <row r="16" spans="1:6" hidden="1" x14ac:dyDescent="0.2">
      <c r="A16" s="41">
        <v>45871</v>
      </c>
      <c r="B16" s="42" t="s">
        <v>943</v>
      </c>
      <c r="C16" s="42">
        <v>-27.1</v>
      </c>
      <c r="D16" s="8" t="s">
        <v>77</v>
      </c>
      <c r="E16" s="8" t="s">
        <v>6</v>
      </c>
      <c r="F16" s="60" t="s">
        <v>2209</v>
      </c>
    </row>
    <row r="17" spans="1:6" hidden="1" x14ac:dyDescent="0.2">
      <c r="A17" s="43">
        <v>45871</v>
      </c>
      <c r="B17" s="33" t="s">
        <v>943</v>
      </c>
      <c r="C17" s="33">
        <v>-28.35</v>
      </c>
      <c r="D17" s="7" t="s">
        <v>77</v>
      </c>
      <c r="E17" s="7" t="s">
        <v>6</v>
      </c>
      <c r="F17" s="61" t="s">
        <v>2209</v>
      </c>
    </row>
    <row r="18" spans="1:6" hidden="1" x14ac:dyDescent="0.2">
      <c r="A18" s="41">
        <v>45867</v>
      </c>
      <c r="B18" s="42" t="s">
        <v>943</v>
      </c>
      <c r="C18" s="42">
        <v>-37.869999999999997</v>
      </c>
      <c r="D18" s="8" t="s">
        <v>77</v>
      </c>
      <c r="E18" s="8" t="s">
        <v>6</v>
      </c>
      <c r="F18" s="60" t="s">
        <v>2209</v>
      </c>
    </row>
    <row r="19" spans="1:6" x14ac:dyDescent="0.2">
      <c r="A19" s="43">
        <v>45867</v>
      </c>
      <c r="B19" s="33" t="s">
        <v>84</v>
      </c>
      <c r="C19" s="33">
        <v>-37.869999999999997</v>
      </c>
      <c r="D19" s="7" t="s">
        <v>83</v>
      </c>
      <c r="E19" s="7" t="s">
        <v>6</v>
      </c>
      <c r="F19" s="61" t="s">
        <v>2209</v>
      </c>
    </row>
    <row r="20" spans="1:6" x14ac:dyDescent="0.2">
      <c r="A20" s="41">
        <v>45866</v>
      </c>
      <c r="B20" s="42" t="s">
        <v>84</v>
      </c>
      <c r="C20" s="42">
        <v>-34.97</v>
      </c>
      <c r="D20" s="8" t="s">
        <v>83</v>
      </c>
      <c r="E20" s="8" t="s">
        <v>6</v>
      </c>
      <c r="F20" s="60" t="s">
        <v>2209</v>
      </c>
    </row>
    <row r="21" spans="1:6" hidden="1" x14ac:dyDescent="0.2">
      <c r="A21" s="43">
        <v>45863</v>
      </c>
      <c r="B21" s="33" t="s">
        <v>943</v>
      </c>
      <c r="C21" s="33">
        <v>-5.7</v>
      </c>
      <c r="D21" s="7" t="s">
        <v>77</v>
      </c>
      <c r="E21" s="7" t="s">
        <v>6</v>
      </c>
      <c r="F21" s="61" t="s">
        <v>2209</v>
      </c>
    </row>
    <row r="22" spans="1:6" x14ac:dyDescent="0.2">
      <c r="A22" s="41">
        <v>45862</v>
      </c>
      <c r="B22" s="42" t="s">
        <v>84</v>
      </c>
      <c r="C22" s="42">
        <v>-6.38</v>
      </c>
      <c r="D22" s="8" t="s">
        <v>83</v>
      </c>
      <c r="E22" s="8" t="s">
        <v>6</v>
      </c>
      <c r="F22" s="60" t="s">
        <v>2209</v>
      </c>
    </row>
    <row r="23" spans="1:6" x14ac:dyDescent="0.2">
      <c r="A23" s="43">
        <v>45848</v>
      </c>
      <c r="B23" s="33" t="s">
        <v>84</v>
      </c>
      <c r="C23" s="33">
        <v>-10.24</v>
      </c>
      <c r="D23" s="7" t="s">
        <v>83</v>
      </c>
      <c r="E23" s="7" t="s">
        <v>6</v>
      </c>
      <c r="F23" s="61" t="s">
        <v>2209</v>
      </c>
    </row>
    <row r="24" spans="1:6" x14ac:dyDescent="0.2">
      <c r="A24" s="41">
        <v>45841</v>
      </c>
      <c r="B24" s="42" t="s">
        <v>84</v>
      </c>
      <c r="C24" s="42">
        <v>-18.899999999999999</v>
      </c>
      <c r="D24" s="8" t="s">
        <v>83</v>
      </c>
      <c r="E24" s="8" t="s">
        <v>6</v>
      </c>
      <c r="F24" s="60" t="s">
        <v>2209</v>
      </c>
    </row>
    <row r="25" spans="1:6" hidden="1" x14ac:dyDescent="0.2">
      <c r="A25" s="43">
        <v>45841</v>
      </c>
      <c r="B25" s="33" t="s">
        <v>943</v>
      </c>
      <c r="C25" s="33">
        <v>-21.6</v>
      </c>
      <c r="D25" s="7" t="s">
        <v>77</v>
      </c>
      <c r="E25" s="7" t="s">
        <v>6</v>
      </c>
      <c r="F25" s="61" t="s">
        <v>2209</v>
      </c>
    </row>
    <row r="26" spans="1:6" x14ac:dyDescent="0.2">
      <c r="A26" s="41">
        <v>45838</v>
      </c>
      <c r="B26" s="42" t="s">
        <v>84</v>
      </c>
      <c r="C26" s="42">
        <v>-16.77</v>
      </c>
      <c r="D26" s="8" t="s">
        <v>83</v>
      </c>
      <c r="E26" s="8" t="s">
        <v>6</v>
      </c>
      <c r="F26" s="60" t="s">
        <v>2209</v>
      </c>
    </row>
    <row r="27" spans="1:6" x14ac:dyDescent="0.2">
      <c r="A27" s="43">
        <v>45834</v>
      </c>
      <c r="B27" s="33" t="s">
        <v>84</v>
      </c>
      <c r="C27" s="33">
        <v>-15.52</v>
      </c>
      <c r="D27" s="7" t="s">
        <v>83</v>
      </c>
      <c r="E27" s="7" t="s">
        <v>6</v>
      </c>
      <c r="F27" s="61" t="s">
        <v>2209</v>
      </c>
    </row>
    <row r="28" spans="1:6" x14ac:dyDescent="0.2">
      <c r="A28" s="41">
        <v>45832</v>
      </c>
      <c r="B28" s="42" t="s">
        <v>84</v>
      </c>
      <c r="C28" s="42">
        <v>-18.11</v>
      </c>
      <c r="D28" s="8" t="s">
        <v>83</v>
      </c>
      <c r="E28" s="8" t="s">
        <v>6</v>
      </c>
      <c r="F28" s="60" t="s">
        <v>2209</v>
      </c>
    </row>
    <row r="29" spans="1:6" x14ac:dyDescent="0.2">
      <c r="A29" s="43">
        <v>45829</v>
      </c>
      <c r="B29" s="33" t="s">
        <v>84</v>
      </c>
      <c r="C29" s="33">
        <v>-73.19</v>
      </c>
      <c r="D29" s="7" t="s">
        <v>83</v>
      </c>
      <c r="E29" s="7" t="s">
        <v>6</v>
      </c>
      <c r="F29" s="61" t="s">
        <v>2209</v>
      </c>
    </row>
    <row r="30" spans="1:6" x14ac:dyDescent="0.2">
      <c r="A30" s="41">
        <v>45824</v>
      </c>
      <c r="B30" s="42" t="s">
        <v>84</v>
      </c>
      <c r="C30" s="42">
        <v>-79.98</v>
      </c>
      <c r="D30" s="8" t="s">
        <v>83</v>
      </c>
      <c r="E30" s="8" t="s">
        <v>6</v>
      </c>
      <c r="F30" s="60" t="s">
        <v>2209</v>
      </c>
    </row>
    <row r="31" spans="1:6" hidden="1" x14ac:dyDescent="0.2">
      <c r="A31" s="43">
        <v>45822</v>
      </c>
      <c r="B31" s="33" t="s">
        <v>943</v>
      </c>
      <c r="C31" s="33">
        <v>-14.07</v>
      </c>
      <c r="D31" s="7" t="s">
        <v>77</v>
      </c>
      <c r="E31" s="7" t="s">
        <v>6</v>
      </c>
      <c r="F31" s="61" t="s">
        <v>2209</v>
      </c>
    </row>
    <row r="32" spans="1:6" x14ac:dyDescent="0.2">
      <c r="A32" s="41">
        <v>45815</v>
      </c>
      <c r="B32" s="42" t="s">
        <v>84</v>
      </c>
      <c r="C32" s="42">
        <v>-7.98</v>
      </c>
      <c r="D32" s="8" t="s">
        <v>83</v>
      </c>
      <c r="E32" s="8" t="s">
        <v>6</v>
      </c>
      <c r="F32" s="60" t="s">
        <v>2209</v>
      </c>
    </row>
    <row r="33" spans="1:6" hidden="1" x14ac:dyDescent="0.2">
      <c r="A33" s="43">
        <v>45808</v>
      </c>
      <c r="B33" s="33" t="s">
        <v>943</v>
      </c>
      <c r="C33" s="33">
        <v>-2.95</v>
      </c>
      <c r="D33" s="7" t="s">
        <v>77</v>
      </c>
      <c r="E33" s="7" t="s">
        <v>6</v>
      </c>
      <c r="F33" s="61" t="s">
        <v>2209</v>
      </c>
    </row>
    <row r="34" spans="1:6" x14ac:dyDescent="0.2">
      <c r="A34" s="41">
        <v>45808</v>
      </c>
      <c r="B34" s="42" t="s">
        <v>84</v>
      </c>
      <c r="C34" s="42">
        <v>-22.97</v>
      </c>
      <c r="D34" s="8" t="s">
        <v>83</v>
      </c>
      <c r="E34" s="8" t="s">
        <v>6</v>
      </c>
      <c r="F34" s="60" t="s">
        <v>2209</v>
      </c>
    </row>
    <row r="35" spans="1:6" x14ac:dyDescent="0.2">
      <c r="A35" s="43">
        <v>45801</v>
      </c>
      <c r="B35" s="33" t="s">
        <v>84</v>
      </c>
      <c r="C35" s="33">
        <v>-3.56</v>
      </c>
      <c r="D35" s="7" t="s">
        <v>83</v>
      </c>
      <c r="E35" s="7" t="s">
        <v>6</v>
      </c>
      <c r="F35" s="61" t="s">
        <v>2209</v>
      </c>
    </row>
    <row r="36" spans="1:6" hidden="1" x14ac:dyDescent="0.2">
      <c r="A36" s="41">
        <v>45793</v>
      </c>
      <c r="B36" s="42" t="s">
        <v>943</v>
      </c>
      <c r="C36" s="42">
        <v>-16.22</v>
      </c>
      <c r="D36" s="8" t="s">
        <v>77</v>
      </c>
      <c r="E36" s="8" t="s">
        <v>6</v>
      </c>
      <c r="F36" s="60" t="s">
        <v>2209</v>
      </c>
    </row>
    <row r="37" spans="1:6" x14ac:dyDescent="0.2">
      <c r="A37" s="43">
        <v>45785</v>
      </c>
      <c r="B37" s="33" t="s">
        <v>84</v>
      </c>
      <c r="C37" s="33">
        <v>-19.510000000000002</v>
      </c>
      <c r="D37" s="7" t="s">
        <v>83</v>
      </c>
      <c r="E37" s="7" t="s">
        <v>6</v>
      </c>
      <c r="F37" s="61" t="s">
        <v>2209</v>
      </c>
    </row>
    <row r="38" spans="1:6" x14ac:dyDescent="0.2">
      <c r="A38" s="41">
        <v>45780</v>
      </c>
      <c r="B38" s="42" t="s">
        <v>84</v>
      </c>
      <c r="C38" s="42">
        <v>-9.6</v>
      </c>
      <c r="D38" s="8" t="s">
        <v>83</v>
      </c>
      <c r="E38" s="8" t="s">
        <v>6</v>
      </c>
      <c r="F38" s="60" t="s">
        <v>2209</v>
      </c>
    </row>
    <row r="39" spans="1:6" x14ac:dyDescent="0.2">
      <c r="A39" s="43">
        <v>45778</v>
      </c>
      <c r="B39" s="33" t="s">
        <v>84</v>
      </c>
      <c r="C39" s="33">
        <v>-29.18</v>
      </c>
      <c r="D39" s="7" t="s">
        <v>83</v>
      </c>
      <c r="E39" s="7" t="s">
        <v>6</v>
      </c>
      <c r="F39" s="61" t="s">
        <v>2209</v>
      </c>
    </row>
    <row r="40" spans="1:6" hidden="1" x14ac:dyDescent="0.2">
      <c r="A40" s="41">
        <v>45768</v>
      </c>
      <c r="B40" s="42" t="s">
        <v>943</v>
      </c>
      <c r="C40" s="42">
        <v>-25.92</v>
      </c>
      <c r="D40" s="8" t="s">
        <v>77</v>
      </c>
      <c r="E40" s="8" t="s">
        <v>6</v>
      </c>
      <c r="F40" s="60" t="s">
        <v>2209</v>
      </c>
    </row>
    <row r="41" spans="1:6" x14ac:dyDescent="0.2">
      <c r="A41" s="43">
        <v>45755</v>
      </c>
      <c r="B41" s="33" t="s">
        <v>84</v>
      </c>
      <c r="C41" s="33">
        <v>27.19</v>
      </c>
      <c r="D41" s="7" t="s">
        <v>83</v>
      </c>
      <c r="E41" s="7" t="s">
        <v>6</v>
      </c>
      <c r="F41" s="61" t="s">
        <v>2209</v>
      </c>
    </row>
    <row r="42" spans="1:6" hidden="1" x14ac:dyDescent="0.2">
      <c r="A42" s="41">
        <v>45749</v>
      </c>
      <c r="B42" s="42" t="s">
        <v>943</v>
      </c>
      <c r="C42" s="42">
        <v>11.53</v>
      </c>
      <c r="D42" s="8" t="s">
        <v>77</v>
      </c>
      <c r="E42" s="8" t="s">
        <v>6</v>
      </c>
      <c r="F42" s="60" t="s">
        <v>2209</v>
      </c>
    </row>
    <row r="43" spans="1:6" x14ac:dyDescent="0.2">
      <c r="A43" s="43">
        <v>45745</v>
      </c>
      <c r="B43" s="33" t="s">
        <v>84</v>
      </c>
      <c r="C43" s="33">
        <v>474.95</v>
      </c>
      <c r="D43" s="7" t="s">
        <v>83</v>
      </c>
      <c r="E43" s="7" t="s">
        <v>6</v>
      </c>
      <c r="F43" s="61" t="s">
        <v>2209</v>
      </c>
    </row>
    <row r="44" spans="1:6" x14ac:dyDescent="0.2">
      <c r="A44" s="41">
        <v>45741</v>
      </c>
      <c r="B44" s="42" t="s">
        <v>84</v>
      </c>
      <c r="C44" s="42">
        <v>9.99</v>
      </c>
      <c r="D44" s="8" t="s">
        <v>83</v>
      </c>
      <c r="E44" s="8" t="s">
        <v>6</v>
      </c>
      <c r="F44" s="60" t="s">
        <v>2209</v>
      </c>
    </row>
    <row r="45" spans="1:6" hidden="1" x14ac:dyDescent="0.2">
      <c r="A45" s="43">
        <v>45728</v>
      </c>
      <c r="B45" s="33" t="s">
        <v>943</v>
      </c>
      <c r="C45" s="33">
        <v>-500</v>
      </c>
      <c r="D45" s="7" t="s">
        <v>77</v>
      </c>
      <c r="E45" s="7" t="s">
        <v>6</v>
      </c>
      <c r="F45" s="61" t="s">
        <v>2209</v>
      </c>
    </row>
    <row r="46" spans="1:6" x14ac:dyDescent="0.2">
      <c r="A46" s="41">
        <v>45723</v>
      </c>
      <c r="B46" s="42" t="s">
        <v>84</v>
      </c>
      <c r="C46" s="42">
        <v>22.06</v>
      </c>
      <c r="D46" s="8" t="s">
        <v>83</v>
      </c>
      <c r="E46" s="8" t="s">
        <v>6</v>
      </c>
      <c r="F46" s="60" t="s">
        <v>2209</v>
      </c>
    </row>
    <row r="47" spans="1:6" x14ac:dyDescent="0.2">
      <c r="A47" s="43">
        <v>45717</v>
      </c>
      <c r="B47" s="33" t="s">
        <v>84</v>
      </c>
      <c r="C47" s="33">
        <v>396.88</v>
      </c>
      <c r="D47" s="7" t="s">
        <v>83</v>
      </c>
      <c r="E47" s="7" t="s">
        <v>6</v>
      </c>
      <c r="F47" s="61" t="s">
        <v>2209</v>
      </c>
    </row>
    <row r="48" spans="1:6" x14ac:dyDescent="0.2">
      <c r="A48" s="41">
        <v>45716</v>
      </c>
      <c r="B48" s="42" t="s">
        <v>84</v>
      </c>
      <c r="C48" s="42">
        <v>292</v>
      </c>
      <c r="D48" s="8" t="s">
        <v>83</v>
      </c>
      <c r="E48" s="8" t="s">
        <v>6</v>
      </c>
      <c r="F48" s="60" t="s">
        <v>2209</v>
      </c>
    </row>
    <row r="49" spans="1:6" x14ac:dyDescent="0.2">
      <c r="A49" s="43">
        <v>45715</v>
      </c>
      <c r="B49" s="33" t="s">
        <v>84</v>
      </c>
      <c r="C49" s="33">
        <v>22456.46</v>
      </c>
      <c r="D49" s="7" t="s">
        <v>77</v>
      </c>
      <c r="E49" s="7" t="s">
        <v>6</v>
      </c>
      <c r="F49" s="61" t="s">
        <v>2209</v>
      </c>
    </row>
    <row r="50" spans="1:6" x14ac:dyDescent="0.2">
      <c r="A50" s="41">
        <v>45713</v>
      </c>
      <c r="B50" s="42" t="s">
        <v>84</v>
      </c>
      <c r="C50" s="42">
        <v>9.99</v>
      </c>
      <c r="D50" s="8" t="s">
        <v>83</v>
      </c>
      <c r="E50" s="8" t="s">
        <v>6</v>
      </c>
      <c r="F50" s="60" t="s">
        <v>2209</v>
      </c>
    </row>
    <row r="51" spans="1:6" hidden="1" x14ac:dyDescent="0.2">
      <c r="A51" s="43">
        <v>45709</v>
      </c>
      <c r="B51" s="33" t="s">
        <v>943</v>
      </c>
      <c r="C51" s="33">
        <v>-3000</v>
      </c>
      <c r="D51" s="7" t="s">
        <v>77</v>
      </c>
      <c r="E51" s="7" t="s">
        <v>6</v>
      </c>
      <c r="F51" s="61" t="s">
        <v>2209</v>
      </c>
    </row>
    <row r="52" spans="1:6" x14ac:dyDescent="0.2">
      <c r="A52" s="41">
        <v>45695</v>
      </c>
      <c r="B52" s="42" t="s">
        <v>84</v>
      </c>
      <c r="C52" s="42">
        <v>22.06</v>
      </c>
      <c r="D52" s="8" t="s">
        <v>83</v>
      </c>
      <c r="E52" s="8" t="s">
        <v>6</v>
      </c>
      <c r="F52" s="60" t="s">
        <v>2209</v>
      </c>
    </row>
    <row r="53" spans="1:6" x14ac:dyDescent="0.2">
      <c r="A53" s="43">
        <v>45688</v>
      </c>
      <c r="B53" s="33" t="s">
        <v>84</v>
      </c>
      <c r="C53" s="33">
        <v>447.88</v>
      </c>
      <c r="D53" s="7" t="s">
        <v>83</v>
      </c>
      <c r="E53" s="7" t="s">
        <v>6</v>
      </c>
      <c r="F53" s="61" t="s">
        <v>2209</v>
      </c>
    </row>
    <row r="54" spans="1:6" hidden="1" x14ac:dyDescent="0.2">
      <c r="A54" s="41">
        <v>45687</v>
      </c>
      <c r="B54" s="42" t="s">
        <v>943</v>
      </c>
      <c r="C54" s="42">
        <v>-3000</v>
      </c>
      <c r="D54" s="8" t="s">
        <v>77</v>
      </c>
      <c r="E54" s="8" t="s">
        <v>6</v>
      </c>
      <c r="F54" s="60" t="s">
        <v>2209</v>
      </c>
    </row>
    <row r="55" spans="1:6" x14ac:dyDescent="0.2">
      <c r="A55" s="43">
        <v>45687</v>
      </c>
      <c r="B55" s="33" t="s">
        <v>84</v>
      </c>
      <c r="C55" s="33">
        <v>290</v>
      </c>
      <c r="D55" s="7" t="s">
        <v>83</v>
      </c>
      <c r="E55" s="7" t="s">
        <v>6</v>
      </c>
      <c r="F55" s="61" t="s">
        <v>2209</v>
      </c>
    </row>
    <row r="56" spans="1:6" hidden="1" x14ac:dyDescent="0.2">
      <c r="A56" s="41">
        <v>45685</v>
      </c>
      <c r="B56" s="42" t="s">
        <v>943</v>
      </c>
      <c r="C56" s="42">
        <v>-5000</v>
      </c>
      <c r="D56" s="8" t="s">
        <v>77</v>
      </c>
      <c r="E56" s="8" t="s">
        <v>6</v>
      </c>
      <c r="F56" s="60" t="s">
        <v>2209</v>
      </c>
    </row>
    <row r="57" spans="1:6" x14ac:dyDescent="0.2">
      <c r="A57" s="43">
        <v>45681</v>
      </c>
      <c r="B57" s="33" t="s">
        <v>84</v>
      </c>
      <c r="C57" s="33">
        <v>9.99</v>
      </c>
      <c r="D57" s="7" t="s">
        <v>83</v>
      </c>
      <c r="E57" s="7" t="s">
        <v>6</v>
      </c>
      <c r="F57" s="61" t="s">
        <v>2209</v>
      </c>
    </row>
    <row r="58" spans="1:6" hidden="1" x14ac:dyDescent="0.2">
      <c r="A58" s="41">
        <v>45672</v>
      </c>
      <c r="B58" s="42" t="s">
        <v>943</v>
      </c>
      <c r="C58" s="42">
        <v>-1200</v>
      </c>
      <c r="D58" s="8" t="s">
        <v>77</v>
      </c>
      <c r="E58" s="8" t="s">
        <v>6</v>
      </c>
      <c r="F58" s="60" t="s">
        <v>2209</v>
      </c>
    </row>
    <row r="59" spans="1:6" x14ac:dyDescent="0.2">
      <c r="A59" s="43">
        <v>45666</v>
      </c>
      <c r="B59" s="33" t="s">
        <v>84</v>
      </c>
      <c r="C59" s="33">
        <v>22.06</v>
      </c>
      <c r="D59" s="7" t="s">
        <v>83</v>
      </c>
      <c r="E59" s="7" t="s">
        <v>6</v>
      </c>
      <c r="F59" s="61" t="s">
        <v>2209</v>
      </c>
    </row>
    <row r="60" spans="1:6" hidden="1" x14ac:dyDescent="0.2">
      <c r="A60" s="41">
        <v>45979</v>
      </c>
      <c r="B60" s="42" t="s">
        <v>67</v>
      </c>
      <c r="C60" s="42">
        <v>20.149999999999999</v>
      </c>
      <c r="D60" s="8" t="s">
        <v>68</v>
      </c>
      <c r="E60" s="8" t="s">
        <v>45</v>
      </c>
      <c r="F60" s="60" t="s">
        <v>2209</v>
      </c>
    </row>
    <row r="61" spans="1:6" hidden="1" x14ac:dyDescent="0.2">
      <c r="A61" s="43">
        <v>45948</v>
      </c>
      <c r="B61" s="33" t="s">
        <v>67</v>
      </c>
      <c r="C61" s="33">
        <v>13.46</v>
      </c>
      <c r="D61" s="7" t="s">
        <v>68</v>
      </c>
      <c r="E61" s="7" t="s">
        <v>45</v>
      </c>
      <c r="F61" s="61" t="s">
        <v>2209</v>
      </c>
    </row>
    <row r="62" spans="1:6" hidden="1" x14ac:dyDescent="0.2">
      <c r="A62" s="41">
        <v>45918</v>
      </c>
      <c r="B62" s="42" t="s">
        <v>67</v>
      </c>
      <c r="C62" s="42">
        <v>11.53</v>
      </c>
      <c r="D62" s="8" t="s">
        <v>68</v>
      </c>
      <c r="E62" s="8" t="s">
        <v>45</v>
      </c>
      <c r="F62" s="60" t="s">
        <v>2209</v>
      </c>
    </row>
    <row r="63" spans="1:6" hidden="1" x14ac:dyDescent="0.2">
      <c r="A63" s="43">
        <v>45888</v>
      </c>
      <c r="B63" s="33" t="s">
        <v>67</v>
      </c>
      <c r="C63" s="33">
        <v>122.88</v>
      </c>
      <c r="D63" s="7" t="s">
        <v>68</v>
      </c>
      <c r="E63" s="7" t="s">
        <v>45</v>
      </c>
      <c r="F63" s="61" t="s">
        <v>2209</v>
      </c>
    </row>
    <row r="64" spans="1:6" hidden="1" x14ac:dyDescent="0.2">
      <c r="A64" s="41">
        <v>45870</v>
      </c>
      <c r="B64" s="42" t="s">
        <v>229</v>
      </c>
      <c r="C64" s="42">
        <v>14.34</v>
      </c>
      <c r="D64" s="8" t="s">
        <v>165</v>
      </c>
      <c r="E64" s="8" t="s">
        <v>45</v>
      </c>
      <c r="F64" s="60" t="s">
        <v>2209</v>
      </c>
    </row>
    <row r="65" spans="1:6" hidden="1" x14ac:dyDescent="0.2">
      <c r="A65" s="43">
        <v>45857</v>
      </c>
      <c r="B65" s="33" t="s">
        <v>67</v>
      </c>
      <c r="C65" s="33">
        <v>278.05</v>
      </c>
      <c r="D65" s="7" t="s">
        <v>68</v>
      </c>
      <c r="E65" s="7" t="s">
        <v>45</v>
      </c>
      <c r="F65" s="61" t="s">
        <v>2209</v>
      </c>
    </row>
    <row r="66" spans="1:6" hidden="1" x14ac:dyDescent="0.2">
      <c r="A66" s="41">
        <v>45826</v>
      </c>
      <c r="B66" s="42" t="s">
        <v>67</v>
      </c>
      <c r="C66" s="42">
        <v>210.31</v>
      </c>
      <c r="D66" s="8" t="s">
        <v>68</v>
      </c>
      <c r="E66" s="8" t="s">
        <v>45</v>
      </c>
      <c r="F66" s="60" t="s">
        <v>2209</v>
      </c>
    </row>
    <row r="67" spans="1:6" hidden="1" x14ac:dyDescent="0.2">
      <c r="A67" s="43">
        <v>45796</v>
      </c>
      <c r="B67" s="33" t="s">
        <v>67</v>
      </c>
      <c r="C67" s="33">
        <v>273.81</v>
      </c>
      <c r="D67" s="7" t="s">
        <v>68</v>
      </c>
      <c r="E67" s="7" t="s">
        <v>45</v>
      </c>
      <c r="F67" s="61" t="s">
        <v>2209</v>
      </c>
    </row>
    <row r="68" spans="1:6" hidden="1" x14ac:dyDescent="0.2">
      <c r="A68" s="41">
        <v>45765</v>
      </c>
      <c r="B68" s="42" t="s">
        <v>67</v>
      </c>
      <c r="C68" s="42">
        <v>329.4</v>
      </c>
      <c r="D68" s="8" t="s">
        <v>68</v>
      </c>
      <c r="E68" s="8" t="s">
        <v>45</v>
      </c>
      <c r="F68" s="60" t="s">
        <v>2209</v>
      </c>
    </row>
    <row r="69" spans="1:6" hidden="1" x14ac:dyDescent="0.2">
      <c r="A69" s="43">
        <v>45735</v>
      </c>
      <c r="B69" s="33" t="s">
        <v>67</v>
      </c>
      <c r="C69" s="33">
        <v>231.85</v>
      </c>
      <c r="D69" s="7" t="s">
        <v>68</v>
      </c>
      <c r="E69" s="7" t="s">
        <v>45</v>
      </c>
      <c r="F69" s="61" t="s">
        <v>2209</v>
      </c>
    </row>
    <row r="70" spans="1:6" hidden="1" x14ac:dyDescent="0.2">
      <c r="A70" s="41">
        <v>45703</v>
      </c>
      <c r="B70" s="42" t="s">
        <v>67</v>
      </c>
      <c r="C70" s="42">
        <v>64.739999999999995</v>
      </c>
      <c r="D70" s="8" t="s">
        <v>68</v>
      </c>
      <c r="E70" s="8" t="s">
        <v>45</v>
      </c>
      <c r="F70" s="60" t="s">
        <v>2209</v>
      </c>
    </row>
    <row r="71" spans="1:6" hidden="1" x14ac:dyDescent="0.2">
      <c r="A71" s="43">
        <v>45675</v>
      </c>
      <c r="B71" s="33" t="s">
        <v>67</v>
      </c>
      <c r="C71" s="33">
        <v>148.68</v>
      </c>
      <c r="D71" s="7" t="s">
        <v>68</v>
      </c>
      <c r="E71" s="7" t="s">
        <v>45</v>
      </c>
      <c r="F71" s="61" t="s">
        <v>2209</v>
      </c>
    </row>
    <row r="72" spans="1:6" hidden="1" x14ac:dyDescent="0.2">
      <c r="A72" s="41">
        <v>45835</v>
      </c>
      <c r="B72" s="42" t="s">
        <v>1251</v>
      </c>
      <c r="C72" s="42">
        <v>35</v>
      </c>
      <c r="D72" s="8">
        <v>0</v>
      </c>
      <c r="E72" s="8">
        <v>0</v>
      </c>
      <c r="F72" s="60" t="s">
        <v>2209</v>
      </c>
    </row>
    <row r="73" spans="1:6" hidden="1" x14ac:dyDescent="0.2">
      <c r="A73" s="43">
        <v>45828</v>
      </c>
      <c r="B73" s="33" t="s">
        <v>1252</v>
      </c>
      <c r="C73" s="33">
        <v>3.03</v>
      </c>
      <c r="D73" s="7" t="s">
        <v>956</v>
      </c>
      <c r="E73" s="7" t="s">
        <v>45</v>
      </c>
      <c r="F73" s="61" t="s">
        <v>2209</v>
      </c>
    </row>
    <row r="74" spans="1:6" hidden="1" x14ac:dyDescent="0.2">
      <c r="A74" s="41">
        <v>45828</v>
      </c>
      <c r="B74" s="42" t="s">
        <v>1253</v>
      </c>
      <c r="C74" s="42">
        <v>104.55</v>
      </c>
      <c r="D74" s="8" t="s">
        <v>956</v>
      </c>
      <c r="E74" s="8" t="s">
        <v>45</v>
      </c>
      <c r="F74" s="60" t="s">
        <v>2209</v>
      </c>
    </row>
    <row r="75" spans="1:6" hidden="1" x14ac:dyDescent="0.2">
      <c r="A75" s="43">
        <v>45801</v>
      </c>
      <c r="B75" s="33" t="s">
        <v>1254</v>
      </c>
      <c r="C75" s="33">
        <v>303.86</v>
      </c>
      <c r="D75" s="7" t="s">
        <v>956</v>
      </c>
      <c r="E75" s="7" t="s">
        <v>45</v>
      </c>
      <c r="F75" s="61" t="s">
        <v>2209</v>
      </c>
    </row>
    <row r="76" spans="1:6" hidden="1" x14ac:dyDescent="0.2">
      <c r="A76" s="41">
        <v>45789</v>
      </c>
      <c r="B76" s="42" t="s">
        <v>1255</v>
      </c>
      <c r="C76" s="42">
        <v>253</v>
      </c>
      <c r="D76" s="8" t="s">
        <v>87</v>
      </c>
      <c r="E76" s="8" t="s">
        <v>45</v>
      </c>
      <c r="F76" s="60" t="s">
        <v>2209</v>
      </c>
    </row>
    <row r="77" spans="1:6" hidden="1" x14ac:dyDescent="0.2">
      <c r="A77" s="43">
        <v>45775</v>
      </c>
      <c r="B77" s="33" t="s">
        <v>1256</v>
      </c>
      <c r="C77" s="33">
        <v>316.57</v>
      </c>
      <c r="D77" s="7" t="s">
        <v>956</v>
      </c>
      <c r="E77" s="7" t="s">
        <v>45</v>
      </c>
      <c r="F77" s="61" t="s">
        <v>2209</v>
      </c>
    </row>
    <row r="78" spans="1:6" hidden="1" x14ac:dyDescent="0.2">
      <c r="A78" s="41">
        <v>45709</v>
      </c>
      <c r="B78" s="42" t="s">
        <v>1257</v>
      </c>
      <c r="C78" s="42">
        <v>203</v>
      </c>
      <c r="D78" s="8">
        <v>0</v>
      </c>
      <c r="E78" s="8">
        <v>0</v>
      </c>
      <c r="F78" s="60" t="s">
        <v>2209</v>
      </c>
    </row>
    <row r="79" spans="1:6" hidden="1" x14ac:dyDescent="0.2">
      <c r="A79" s="43">
        <v>45868</v>
      </c>
      <c r="B79" s="33" t="s">
        <v>1231</v>
      </c>
      <c r="C79" s="33">
        <v>8</v>
      </c>
      <c r="D79" s="7" t="s">
        <v>5</v>
      </c>
      <c r="E79" s="7" t="s">
        <v>6</v>
      </c>
      <c r="F79" s="61" t="s">
        <v>2209</v>
      </c>
    </row>
    <row r="80" spans="1:6" hidden="1" x14ac:dyDescent="0.2">
      <c r="A80" s="41">
        <v>45861</v>
      </c>
      <c r="B80" s="42" t="s">
        <v>1246</v>
      </c>
      <c r="C80" s="42">
        <v>32.31</v>
      </c>
      <c r="D80" s="8" t="s">
        <v>5</v>
      </c>
      <c r="E80" s="8" t="s">
        <v>6</v>
      </c>
      <c r="F80" s="60" t="s">
        <v>2209</v>
      </c>
    </row>
    <row r="81" spans="1:6" hidden="1" x14ac:dyDescent="0.2">
      <c r="A81" s="43">
        <v>45857</v>
      </c>
      <c r="B81" s="33" t="s">
        <v>1250</v>
      </c>
      <c r="C81" s="33">
        <v>36.01</v>
      </c>
      <c r="D81" s="7" t="s">
        <v>68</v>
      </c>
      <c r="E81" s="7" t="s">
        <v>45</v>
      </c>
      <c r="F81" s="61" t="s">
        <v>2209</v>
      </c>
    </row>
    <row r="82" spans="1:6" hidden="1" x14ac:dyDescent="0.2">
      <c r="A82" s="41">
        <v>45826</v>
      </c>
      <c r="B82" s="42" t="s">
        <v>1250</v>
      </c>
      <c r="C82" s="42">
        <v>32.909999999999997</v>
      </c>
      <c r="D82" s="8" t="s">
        <v>68</v>
      </c>
      <c r="E82" s="8" t="s">
        <v>45</v>
      </c>
      <c r="F82" s="60" t="s">
        <v>2209</v>
      </c>
    </row>
    <row r="83" spans="1:6" hidden="1" x14ac:dyDescent="0.2">
      <c r="A83" s="43">
        <v>45796</v>
      </c>
      <c r="B83" s="33" t="s">
        <v>1250</v>
      </c>
      <c r="C83" s="33">
        <v>27.1</v>
      </c>
      <c r="D83" s="7" t="s">
        <v>68</v>
      </c>
      <c r="E83" s="7" t="s">
        <v>45</v>
      </c>
      <c r="F83" s="61" t="s">
        <v>2209</v>
      </c>
    </row>
    <row r="84" spans="1:6" hidden="1" x14ac:dyDescent="0.2">
      <c r="A84" s="41">
        <v>45765</v>
      </c>
      <c r="B84" s="42" t="s">
        <v>1250</v>
      </c>
      <c r="C84" s="42">
        <v>27.1</v>
      </c>
      <c r="D84" s="8" t="s">
        <v>68</v>
      </c>
      <c r="E84" s="8" t="s">
        <v>45</v>
      </c>
      <c r="F84" s="60" t="s">
        <v>2209</v>
      </c>
    </row>
    <row r="85" spans="1:6" hidden="1" x14ac:dyDescent="0.2">
      <c r="A85" s="43">
        <v>45735</v>
      </c>
      <c r="B85" s="33" t="s">
        <v>1250</v>
      </c>
      <c r="C85" s="33">
        <v>28.35</v>
      </c>
      <c r="D85" s="7" t="s">
        <v>68</v>
      </c>
      <c r="E85" s="7" t="s">
        <v>45</v>
      </c>
      <c r="F85" s="61" t="s">
        <v>2209</v>
      </c>
    </row>
    <row r="86" spans="1:6" hidden="1" x14ac:dyDescent="0.2">
      <c r="A86" s="41">
        <v>45703</v>
      </c>
      <c r="B86" s="42" t="s">
        <v>1250</v>
      </c>
      <c r="C86" s="42">
        <v>37.869999999999997</v>
      </c>
      <c r="D86" s="8" t="s">
        <v>68</v>
      </c>
      <c r="E86" s="8" t="s">
        <v>45</v>
      </c>
      <c r="F86" s="60" t="s">
        <v>2209</v>
      </c>
    </row>
    <row r="87" spans="1:6" hidden="1" x14ac:dyDescent="0.2">
      <c r="A87" s="43">
        <v>45675</v>
      </c>
      <c r="B87" s="33" t="s">
        <v>1250</v>
      </c>
      <c r="C87" s="33">
        <v>37.869999999999997</v>
      </c>
      <c r="D87" s="7" t="s">
        <v>68</v>
      </c>
      <c r="E87" s="7" t="s">
        <v>45</v>
      </c>
      <c r="F87" s="61" t="s">
        <v>2209</v>
      </c>
    </row>
    <row r="88" spans="1:6" hidden="1" x14ac:dyDescent="0.2">
      <c r="A88" s="41">
        <v>45869</v>
      </c>
      <c r="B88" s="42" t="s">
        <v>1228</v>
      </c>
      <c r="C88" s="42">
        <v>34.97</v>
      </c>
      <c r="D88" s="8" t="s">
        <v>165</v>
      </c>
      <c r="E88" s="8" t="s">
        <v>45</v>
      </c>
      <c r="F88" s="60" t="s">
        <v>2209</v>
      </c>
    </row>
    <row r="89" spans="1:6" hidden="1" x14ac:dyDescent="0.2">
      <c r="A89" s="43">
        <v>45867</v>
      </c>
      <c r="B89" s="33" t="s">
        <v>1234</v>
      </c>
      <c r="C89" s="33">
        <v>5.7</v>
      </c>
      <c r="D89" s="7" t="s">
        <v>165</v>
      </c>
      <c r="E89" s="7" t="s">
        <v>45</v>
      </c>
      <c r="F89" s="61" t="s">
        <v>2209</v>
      </c>
    </row>
    <row r="90" spans="1:6" hidden="1" x14ac:dyDescent="0.2">
      <c r="A90" s="41">
        <v>45866</v>
      </c>
      <c r="B90" s="42" t="s">
        <v>1237</v>
      </c>
      <c r="C90" s="42">
        <v>6.38</v>
      </c>
      <c r="D90" s="8" t="s">
        <v>165</v>
      </c>
      <c r="E90" s="8" t="s">
        <v>45</v>
      </c>
      <c r="F90" s="60" t="s">
        <v>2209</v>
      </c>
    </row>
    <row r="91" spans="1:6" hidden="1" x14ac:dyDescent="0.2">
      <c r="A91" s="43">
        <v>45866</v>
      </c>
      <c r="B91" s="33" t="s">
        <v>1238</v>
      </c>
      <c r="C91" s="33">
        <v>10.24</v>
      </c>
      <c r="D91" s="7" t="s">
        <v>165</v>
      </c>
      <c r="E91" s="7" t="s">
        <v>45</v>
      </c>
      <c r="F91" s="61" t="s">
        <v>2209</v>
      </c>
    </row>
    <row r="92" spans="1:6" hidden="1" x14ac:dyDescent="0.2">
      <c r="A92" s="41">
        <v>45863</v>
      </c>
      <c r="B92" s="42" t="s">
        <v>1239</v>
      </c>
      <c r="C92" s="42">
        <v>18.899999999999999</v>
      </c>
      <c r="D92" s="8" t="s">
        <v>165</v>
      </c>
      <c r="E92" s="8" t="s">
        <v>45</v>
      </c>
      <c r="F92" s="60" t="s">
        <v>2209</v>
      </c>
    </row>
    <row r="93" spans="1:6" hidden="1" x14ac:dyDescent="0.2">
      <c r="A93" s="43">
        <v>45863</v>
      </c>
      <c r="B93" s="33" t="s">
        <v>1242</v>
      </c>
      <c r="C93" s="33">
        <v>21.6</v>
      </c>
      <c r="D93" s="7" t="s">
        <v>165</v>
      </c>
      <c r="E93" s="7" t="s">
        <v>45</v>
      </c>
      <c r="F93" s="61" t="s">
        <v>2209</v>
      </c>
    </row>
    <row r="94" spans="1:6" hidden="1" x14ac:dyDescent="0.2">
      <c r="A94" s="41">
        <v>45861</v>
      </c>
      <c r="B94" s="42" t="s">
        <v>1243</v>
      </c>
      <c r="C94" s="42">
        <v>16.77</v>
      </c>
      <c r="D94" s="8" t="s">
        <v>165</v>
      </c>
      <c r="E94" s="8" t="s">
        <v>45</v>
      </c>
      <c r="F94" s="60" t="s">
        <v>2209</v>
      </c>
    </row>
    <row r="95" spans="1:6" hidden="1" x14ac:dyDescent="0.2">
      <c r="A95" s="43">
        <v>45861</v>
      </c>
      <c r="B95" s="33" t="s">
        <v>1244</v>
      </c>
      <c r="C95" s="33">
        <v>15.52</v>
      </c>
      <c r="D95" s="7" t="s">
        <v>165</v>
      </c>
      <c r="E95" s="7" t="s">
        <v>45</v>
      </c>
      <c r="F95" s="61" t="s">
        <v>2209</v>
      </c>
    </row>
    <row r="96" spans="1:6" hidden="1" x14ac:dyDescent="0.2">
      <c r="A96" s="41">
        <v>45861</v>
      </c>
      <c r="B96" s="42" t="s">
        <v>1248</v>
      </c>
      <c r="C96" s="42">
        <v>18.11</v>
      </c>
      <c r="D96" s="8" t="s">
        <v>165</v>
      </c>
      <c r="E96" s="8" t="s">
        <v>45</v>
      </c>
      <c r="F96" s="60" t="s">
        <v>2209</v>
      </c>
    </row>
    <row r="97" spans="1:6" hidden="1" x14ac:dyDescent="0.2">
      <c r="A97" s="43">
        <v>45868</v>
      </c>
      <c r="B97" s="33" t="s">
        <v>1230</v>
      </c>
      <c r="C97" s="33">
        <v>73.19</v>
      </c>
      <c r="D97" s="7" t="s">
        <v>5</v>
      </c>
      <c r="E97" s="7" t="s">
        <v>6</v>
      </c>
      <c r="F97" s="61" t="s">
        <v>2209</v>
      </c>
    </row>
    <row r="98" spans="1:6" hidden="1" x14ac:dyDescent="0.2">
      <c r="A98" s="41">
        <v>45869</v>
      </c>
      <c r="B98" s="42" t="s">
        <v>1229</v>
      </c>
      <c r="C98" s="42">
        <v>79.98</v>
      </c>
      <c r="D98" s="8" t="s">
        <v>514</v>
      </c>
      <c r="E98" s="8" t="s">
        <v>6</v>
      </c>
      <c r="F98" s="60" t="s">
        <v>2209</v>
      </c>
    </row>
    <row r="99" spans="1:6" hidden="1" x14ac:dyDescent="0.2">
      <c r="A99" s="43">
        <v>45866</v>
      </c>
      <c r="B99" s="33" t="s">
        <v>1235</v>
      </c>
      <c r="C99" s="33">
        <v>14.07</v>
      </c>
      <c r="D99" s="7" t="s">
        <v>514</v>
      </c>
      <c r="E99" s="7" t="s">
        <v>6</v>
      </c>
      <c r="F99" s="61" t="s">
        <v>2209</v>
      </c>
    </row>
    <row r="100" spans="1:6" hidden="1" x14ac:dyDescent="0.2">
      <c r="A100" s="41">
        <v>45866</v>
      </c>
      <c r="B100" s="42" t="s">
        <v>1236</v>
      </c>
      <c r="C100" s="42">
        <v>7.98</v>
      </c>
      <c r="D100" s="8" t="s">
        <v>514</v>
      </c>
      <c r="E100" s="8" t="s">
        <v>6</v>
      </c>
      <c r="F100" s="60" t="s">
        <v>2209</v>
      </c>
    </row>
    <row r="101" spans="1:6" hidden="1" x14ac:dyDescent="0.2">
      <c r="A101" s="43">
        <v>45863</v>
      </c>
      <c r="B101" s="33" t="s">
        <v>1240</v>
      </c>
      <c r="C101" s="33">
        <v>2.95</v>
      </c>
      <c r="D101" s="7" t="s">
        <v>514</v>
      </c>
      <c r="E101" s="7" t="s">
        <v>6</v>
      </c>
      <c r="F101" s="61" t="s">
        <v>2209</v>
      </c>
    </row>
    <row r="102" spans="1:6" hidden="1" x14ac:dyDescent="0.2">
      <c r="A102" s="41">
        <v>45863</v>
      </c>
      <c r="B102" s="42" t="s">
        <v>1240</v>
      </c>
      <c r="C102" s="42">
        <v>22.97</v>
      </c>
      <c r="D102" s="8" t="s">
        <v>514</v>
      </c>
      <c r="E102" s="8" t="s">
        <v>6</v>
      </c>
      <c r="F102" s="60" t="s">
        <v>2209</v>
      </c>
    </row>
    <row r="103" spans="1:6" hidden="1" x14ac:dyDescent="0.2">
      <c r="A103" s="43">
        <v>45863</v>
      </c>
      <c r="B103" s="33" t="s">
        <v>1241</v>
      </c>
      <c r="C103" s="33">
        <v>3.56</v>
      </c>
      <c r="D103" s="7" t="s">
        <v>514</v>
      </c>
      <c r="E103" s="7" t="s">
        <v>6</v>
      </c>
      <c r="F103" s="61" t="s">
        <v>2209</v>
      </c>
    </row>
    <row r="104" spans="1:6" hidden="1" x14ac:dyDescent="0.2">
      <c r="A104" s="41">
        <v>45867</v>
      </c>
      <c r="B104" s="42" t="s">
        <v>1232</v>
      </c>
      <c r="C104" s="42">
        <v>16.22</v>
      </c>
      <c r="D104" s="8" t="s">
        <v>891</v>
      </c>
      <c r="E104" s="8" t="s">
        <v>45</v>
      </c>
      <c r="F104" s="60" t="s">
        <v>2209</v>
      </c>
    </row>
    <row r="105" spans="1:6" hidden="1" x14ac:dyDescent="0.2">
      <c r="A105" s="43">
        <v>45867</v>
      </c>
      <c r="B105" s="33" t="s">
        <v>1233</v>
      </c>
      <c r="C105" s="33">
        <v>19.510000000000002</v>
      </c>
      <c r="D105" s="7" t="s">
        <v>891</v>
      </c>
      <c r="E105" s="7" t="s">
        <v>45</v>
      </c>
      <c r="F105" s="61" t="s">
        <v>2209</v>
      </c>
    </row>
    <row r="106" spans="1:6" hidden="1" x14ac:dyDescent="0.2">
      <c r="A106" s="41">
        <v>45867</v>
      </c>
      <c r="B106" s="42" t="s">
        <v>1232</v>
      </c>
      <c r="C106" s="42">
        <v>9.6</v>
      </c>
      <c r="D106" s="8" t="s">
        <v>891</v>
      </c>
      <c r="E106" s="8" t="s">
        <v>45</v>
      </c>
      <c r="F106" s="60" t="s">
        <v>2209</v>
      </c>
    </row>
    <row r="107" spans="1:6" hidden="1" x14ac:dyDescent="0.2">
      <c r="A107" s="43">
        <v>45861</v>
      </c>
      <c r="B107" s="33" t="s">
        <v>1247</v>
      </c>
      <c r="C107" s="33">
        <v>29.18</v>
      </c>
      <c r="D107" s="7" t="s">
        <v>891</v>
      </c>
      <c r="E107" s="7" t="s">
        <v>45</v>
      </c>
      <c r="F107" s="61" t="s">
        <v>2209</v>
      </c>
    </row>
    <row r="108" spans="1:6" hidden="1" x14ac:dyDescent="0.2">
      <c r="A108" s="41">
        <v>45861</v>
      </c>
      <c r="B108" s="42" t="s">
        <v>1247</v>
      </c>
      <c r="C108" s="42">
        <v>25.92</v>
      </c>
      <c r="D108" s="8" t="s">
        <v>891</v>
      </c>
      <c r="E108" s="8" t="s">
        <v>45</v>
      </c>
      <c r="F108" s="60" t="s">
        <v>2209</v>
      </c>
    </row>
    <row r="109" spans="1:6" hidden="1" x14ac:dyDescent="0.2">
      <c r="A109" s="43">
        <v>45974</v>
      </c>
      <c r="B109" s="33" t="s">
        <v>1227</v>
      </c>
      <c r="C109" s="33">
        <v>-27.19</v>
      </c>
      <c r="D109" s="7" t="s">
        <v>77</v>
      </c>
      <c r="E109" s="7" t="s">
        <v>6</v>
      </c>
      <c r="F109" s="61" t="s">
        <v>2209</v>
      </c>
    </row>
    <row r="110" spans="1:6" hidden="1" x14ac:dyDescent="0.2">
      <c r="A110" s="41">
        <v>45943</v>
      </c>
      <c r="B110" s="42" t="s">
        <v>1227</v>
      </c>
      <c r="C110" s="42">
        <v>-11.53</v>
      </c>
      <c r="D110" s="8" t="s">
        <v>77</v>
      </c>
      <c r="E110" s="8" t="s">
        <v>6</v>
      </c>
      <c r="F110" s="60" t="s">
        <v>2209</v>
      </c>
    </row>
    <row r="111" spans="1:6" hidden="1" x14ac:dyDescent="0.2">
      <c r="A111" s="44">
        <v>45941</v>
      </c>
      <c r="B111" s="42" t="s">
        <v>1209</v>
      </c>
      <c r="C111" s="42">
        <v>110.34</v>
      </c>
      <c r="D111" s="42" t="s">
        <v>1185</v>
      </c>
      <c r="E111" s="51">
        <v>0</v>
      </c>
      <c r="F111" s="45" t="s">
        <v>2207</v>
      </c>
    </row>
    <row r="112" spans="1:6" hidden="1" x14ac:dyDescent="0.2">
      <c r="A112" s="46">
        <v>45981</v>
      </c>
      <c r="B112" s="33" t="s">
        <v>1218</v>
      </c>
      <c r="C112" s="33">
        <v>19.5</v>
      </c>
      <c r="D112" s="33" t="s">
        <v>5</v>
      </c>
      <c r="E112" s="52" t="s">
        <v>6</v>
      </c>
      <c r="F112" s="47" t="s">
        <v>2207</v>
      </c>
    </row>
    <row r="113" spans="1:6" hidden="1" x14ac:dyDescent="0.2">
      <c r="A113" s="44">
        <v>45954</v>
      </c>
      <c r="B113" s="42" t="s">
        <v>1218</v>
      </c>
      <c r="C113" s="42">
        <v>10</v>
      </c>
      <c r="D113" s="42" t="s">
        <v>5</v>
      </c>
      <c r="E113" s="51" t="s">
        <v>6</v>
      </c>
      <c r="F113" s="45" t="s">
        <v>2207</v>
      </c>
    </row>
    <row r="114" spans="1:6" hidden="1" x14ac:dyDescent="0.2">
      <c r="A114" s="46">
        <v>45946</v>
      </c>
      <c r="B114" s="33" t="s">
        <v>1218</v>
      </c>
      <c r="C114" s="33">
        <v>30.91</v>
      </c>
      <c r="D114" s="33" t="s">
        <v>5</v>
      </c>
      <c r="E114" s="52" t="s">
        <v>6</v>
      </c>
      <c r="F114" s="47" t="s">
        <v>2207</v>
      </c>
    </row>
    <row r="115" spans="1:6" hidden="1" x14ac:dyDescent="0.2">
      <c r="A115" s="44">
        <v>45944</v>
      </c>
      <c r="B115" s="42" t="s">
        <v>1218</v>
      </c>
      <c r="C115" s="42">
        <v>15.59</v>
      </c>
      <c r="D115" s="42" t="s">
        <v>5</v>
      </c>
      <c r="E115" s="51" t="s">
        <v>6</v>
      </c>
      <c r="F115" s="45" t="s">
        <v>2207</v>
      </c>
    </row>
    <row r="116" spans="1:6" hidden="1" x14ac:dyDescent="0.2">
      <c r="A116" s="46">
        <v>45963</v>
      </c>
      <c r="B116" s="33" t="s">
        <v>1187</v>
      </c>
      <c r="C116" s="33">
        <v>308.97000000000003</v>
      </c>
      <c r="D116" s="33" t="s">
        <v>5</v>
      </c>
      <c r="E116" s="52" t="s">
        <v>6</v>
      </c>
      <c r="F116" s="47" t="s">
        <v>2207</v>
      </c>
    </row>
    <row r="117" spans="1:6" hidden="1" x14ac:dyDescent="0.2">
      <c r="A117" s="44">
        <v>45949</v>
      </c>
      <c r="B117" s="42" t="s">
        <v>1199</v>
      </c>
      <c r="C117" s="42">
        <v>35</v>
      </c>
      <c r="D117" s="42" t="s">
        <v>639</v>
      </c>
      <c r="E117" s="51" t="s">
        <v>45</v>
      </c>
      <c r="F117" s="45" t="s">
        <v>2207</v>
      </c>
    </row>
    <row r="118" spans="1:6" hidden="1" x14ac:dyDescent="0.2">
      <c r="A118" s="46">
        <v>45942</v>
      </c>
      <c r="B118" s="33" t="s">
        <v>1205</v>
      </c>
      <c r="C118" s="33">
        <v>30.83</v>
      </c>
      <c r="D118" s="33" t="s">
        <v>956</v>
      </c>
      <c r="E118" s="52" t="s">
        <v>45</v>
      </c>
      <c r="F118" s="47" t="s">
        <v>2207</v>
      </c>
    </row>
    <row r="119" spans="1:6" hidden="1" x14ac:dyDescent="0.2">
      <c r="A119" s="44">
        <v>45954</v>
      </c>
      <c r="B119" s="42" t="s">
        <v>1210</v>
      </c>
      <c r="C119" s="42">
        <v>11.01</v>
      </c>
      <c r="D119" s="42" t="s">
        <v>901</v>
      </c>
      <c r="E119" s="51" t="s">
        <v>45</v>
      </c>
      <c r="F119" s="45" t="s">
        <v>2207</v>
      </c>
    </row>
    <row r="120" spans="1:6" hidden="1" x14ac:dyDescent="0.2">
      <c r="A120" s="46">
        <v>45965</v>
      </c>
      <c r="B120" s="33" t="s">
        <v>54</v>
      </c>
      <c r="C120" s="33">
        <v>11.02</v>
      </c>
      <c r="D120" s="33" t="s">
        <v>5</v>
      </c>
      <c r="E120" s="52" t="s">
        <v>6</v>
      </c>
      <c r="F120" s="47" t="s">
        <v>2207</v>
      </c>
    </row>
    <row r="121" spans="1:6" hidden="1" x14ac:dyDescent="0.2">
      <c r="A121" s="44">
        <v>45934</v>
      </c>
      <c r="B121" s="42" t="s">
        <v>54</v>
      </c>
      <c r="C121" s="42">
        <v>11.02</v>
      </c>
      <c r="D121" s="42" t="s">
        <v>5</v>
      </c>
      <c r="E121" s="51" t="s">
        <v>6</v>
      </c>
      <c r="F121" s="45" t="s">
        <v>2207</v>
      </c>
    </row>
    <row r="122" spans="1:6" hidden="1" x14ac:dyDescent="0.2">
      <c r="A122" s="46">
        <v>45965</v>
      </c>
      <c r="B122" s="33" t="s">
        <v>44</v>
      </c>
      <c r="C122" s="33">
        <v>78.599999999999994</v>
      </c>
      <c r="D122" s="33" t="s">
        <v>5</v>
      </c>
      <c r="E122" s="52" t="s">
        <v>45</v>
      </c>
      <c r="F122" s="47" t="s">
        <v>2207</v>
      </c>
    </row>
    <row r="123" spans="1:6" hidden="1" x14ac:dyDescent="0.2">
      <c r="A123" s="44">
        <v>45926</v>
      </c>
      <c r="B123" s="42" t="s">
        <v>1623</v>
      </c>
      <c r="C123" s="42">
        <v>100</v>
      </c>
      <c r="D123" s="42" t="s">
        <v>5</v>
      </c>
      <c r="E123" s="51" t="s">
        <v>6</v>
      </c>
      <c r="F123" s="45" t="s">
        <v>2207</v>
      </c>
    </row>
    <row r="124" spans="1:6" hidden="1" x14ac:dyDescent="0.2">
      <c r="A124" s="46">
        <v>45924</v>
      </c>
      <c r="B124" s="33" t="s">
        <v>1603</v>
      </c>
      <c r="C124" s="33">
        <v>19.350000000000001</v>
      </c>
      <c r="D124" s="33" t="s">
        <v>5</v>
      </c>
      <c r="E124" s="52" t="s">
        <v>6</v>
      </c>
      <c r="F124" s="47" t="s">
        <v>2207</v>
      </c>
    </row>
    <row r="125" spans="1:6" hidden="1" x14ac:dyDescent="0.2">
      <c r="A125" s="44">
        <v>45924</v>
      </c>
      <c r="B125" s="42" t="s">
        <v>1603</v>
      </c>
      <c r="C125" s="42">
        <v>72.91</v>
      </c>
      <c r="D125" s="42" t="s">
        <v>5</v>
      </c>
      <c r="E125" s="51" t="s">
        <v>6</v>
      </c>
      <c r="F125" s="45" t="s">
        <v>2207</v>
      </c>
    </row>
    <row r="126" spans="1:6" hidden="1" x14ac:dyDescent="0.2">
      <c r="A126" s="46">
        <v>45924</v>
      </c>
      <c r="B126" s="33" t="s">
        <v>1627</v>
      </c>
      <c r="C126" s="33">
        <v>13.25</v>
      </c>
      <c r="D126" s="33" t="s">
        <v>5</v>
      </c>
      <c r="E126" s="52" t="s">
        <v>6</v>
      </c>
      <c r="F126" s="47" t="s">
        <v>2207</v>
      </c>
    </row>
    <row r="127" spans="1:6" hidden="1" x14ac:dyDescent="0.2">
      <c r="A127" s="44">
        <v>45904</v>
      </c>
      <c r="B127" s="42" t="s">
        <v>1579</v>
      </c>
      <c r="C127" s="42">
        <v>11.02</v>
      </c>
      <c r="D127" s="42" t="s">
        <v>5</v>
      </c>
      <c r="E127" s="51" t="s">
        <v>6</v>
      </c>
      <c r="F127" s="45" t="s">
        <v>2207</v>
      </c>
    </row>
    <row r="128" spans="1:6" hidden="1" x14ac:dyDescent="0.2">
      <c r="A128" s="46">
        <v>45902</v>
      </c>
      <c r="B128" s="33" t="s">
        <v>1546</v>
      </c>
      <c r="C128" s="33">
        <v>80.599999999999994</v>
      </c>
      <c r="D128" s="33" t="s">
        <v>5</v>
      </c>
      <c r="E128" s="52" t="s">
        <v>6</v>
      </c>
      <c r="F128" s="47" t="s">
        <v>2207</v>
      </c>
    </row>
    <row r="129" spans="1:6" hidden="1" x14ac:dyDescent="0.2">
      <c r="A129" s="44">
        <v>45897</v>
      </c>
      <c r="B129" s="42" t="s">
        <v>1603</v>
      </c>
      <c r="C129" s="42">
        <v>60.13</v>
      </c>
      <c r="D129" s="42" t="s">
        <v>5</v>
      </c>
      <c r="E129" s="51" t="s">
        <v>6</v>
      </c>
      <c r="F129" s="45" t="s">
        <v>2207</v>
      </c>
    </row>
    <row r="130" spans="1:6" hidden="1" x14ac:dyDescent="0.2">
      <c r="A130" s="46">
        <v>45889</v>
      </c>
      <c r="B130" s="33" t="s">
        <v>1603</v>
      </c>
      <c r="C130" s="33">
        <v>59.91</v>
      </c>
      <c r="D130" s="33" t="s">
        <v>5</v>
      </c>
      <c r="E130" s="52" t="s">
        <v>6</v>
      </c>
      <c r="F130" s="47" t="s">
        <v>2207</v>
      </c>
    </row>
    <row r="131" spans="1:6" hidden="1" x14ac:dyDescent="0.2">
      <c r="A131" s="44">
        <v>45889</v>
      </c>
      <c r="B131" s="42" t="s">
        <v>1603</v>
      </c>
      <c r="C131" s="42">
        <v>11.49</v>
      </c>
      <c r="D131" s="42" t="s">
        <v>5</v>
      </c>
      <c r="E131" s="51" t="s">
        <v>6</v>
      </c>
      <c r="F131" s="45" t="s">
        <v>2207</v>
      </c>
    </row>
    <row r="132" spans="1:6" hidden="1" x14ac:dyDescent="0.2">
      <c r="A132" s="46">
        <v>45887</v>
      </c>
      <c r="B132" s="33" t="s">
        <v>1623</v>
      </c>
      <c r="C132" s="33">
        <v>100</v>
      </c>
      <c r="D132" s="33" t="s">
        <v>5</v>
      </c>
      <c r="E132" s="52" t="s">
        <v>6</v>
      </c>
      <c r="F132" s="47" t="s">
        <v>2207</v>
      </c>
    </row>
    <row r="133" spans="1:6" hidden="1" x14ac:dyDescent="0.2">
      <c r="A133" s="44">
        <v>45884</v>
      </c>
      <c r="B133" s="42" t="s">
        <v>1603</v>
      </c>
      <c r="C133" s="42">
        <v>48.61</v>
      </c>
      <c r="D133" s="42" t="s">
        <v>5</v>
      </c>
      <c r="E133" s="51" t="s">
        <v>6</v>
      </c>
      <c r="F133" s="45" t="s">
        <v>2207</v>
      </c>
    </row>
    <row r="134" spans="1:6" hidden="1" x14ac:dyDescent="0.2">
      <c r="A134" s="46">
        <v>45884</v>
      </c>
      <c r="B134" s="33" t="s">
        <v>1603</v>
      </c>
      <c r="C134" s="33">
        <v>5.51</v>
      </c>
      <c r="D134" s="33" t="s">
        <v>5</v>
      </c>
      <c r="E134" s="52" t="s">
        <v>6</v>
      </c>
      <c r="F134" s="47" t="s">
        <v>2207</v>
      </c>
    </row>
    <row r="135" spans="1:6" hidden="1" x14ac:dyDescent="0.2">
      <c r="A135" s="44">
        <v>45873</v>
      </c>
      <c r="B135" s="42" t="s">
        <v>1579</v>
      </c>
      <c r="C135" s="42">
        <v>11.02</v>
      </c>
      <c r="D135" s="42" t="s">
        <v>5</v>
      </c>
      <c r="E135" s="51" t="s">
        <v>6</v>
      </c>
      <c r="F135" s="45" t="s">
        <v>2207</v>
      </c>
    </row>
    <row r="136" spans="1:6" hidden="1" x14ac:dyDescent="0.2">
      <c r="A136" s="46">
        <v>45850</v>
      </c>
      <c r="B136" s="33" t="s">
        <v>1577</v>
      </c>
      <c r="C136" s="33">
        <v>87.73</v>
      </c>
      <c r="D136" s="33" t="s">
        <v>5</v>
      </c>
      <c r="E136" s="52" t="s">
        <v>6</v>
      </c>
      <c r="F136" s="47" t="s">
        <v>2207</v>
      </c>
    </row>
    <row r="137" spans="1:6" hidden="1" x14ac:dyDescent="0.2">
      <c r="A137" s="44">
        <v>45847</v>
      </c>
      <c r="B137" s="42" t="s">
        <v>1846</v>
      </c>
      <c r="C137" s="42">
        <v>98.95</v>
      </c>
      <c r="D137" s="42" t="s">
        <v>5</v>
      </c>
      <c r="E137" s="51" t="s">
        <v>6</v>
      </c>
      <c r="F137" s="45" t="s">
        <v>2207</v>
      </c>
    </row>
    <row r="138" spans="1:6" hidden="1" x14ac:dyDescent="0.2">
      <c r="A138" s="46">
        <v>45847</v>
      </c>
      <c r="B138" s="33" t="s">
        <v>1602</v>
      </c>
      <c r="C138" s="33">
        <v>38.57</v>
      </c>
      <c r="D138" s="33" t="s">
        <v>5</v>
      </c>
      <c r="E138" s="52" t="s">
        <v>6</v>
      </c>
      <c r="F138" s="47" t="s">
        <v>2207</v>
      </c>
    </row>
    <row r="139" spans="1:6" hidden="1" x14ac:dyDescent="0.2">
      <c r="A139" s="44">
        <v>45847</v>
      </c>
      <c r="B139" s="42" t="s">
        <v>1577</v>
      </c>
      <c r="C139" s="42">
        <v>17.23</v>
      </c>
      <c r="D139" s="42" t="s">
        <v>5</v>
      </c>
      <c r="E139" s="51" t="s">
        <v>6</v>
      </c>
      <c r="F139" s="45" t="s">
        <v>2207</v>
      </c>
    </row>
    <row r="140" spans="1:6" hidden="1" x14ac:dyDescent="0.2">
      <c r="A140" s="46">
        <v>45844</v>
      </c>
      <c r="B140" s="33" t="s">
        <v>1854</v>
      </c>
      <c r="C140" s="33">
        <v>20.65</v>
      </c>
      <c r="D140" s="33" t="s">
        <v>5</v>
      </c>
      <c r="E140" s="52" t="s">
        <v>6</v>
      </c>
      <c r="F140" s="47" t="s">
        <v>2207</v>
      </c>
    </row>
    <row r="141" spans="1:6" hidden="1" x14ac:dyDescent="0.2">
      <c r="A141" s="44">
        <v>45843</v>
      </c>
      <c r="B141" s="42" t="s">
        <v>1857</v>
      </c>
      <c r="C141" s="42">
        <v>55.06</v>
      </c>
      <c r="D141" s="42" t="s">
        <v>5</v>
      </c>
      <c r="E141" s="51" t="s">
        <v>6</v>
      </c>
      <c r="F141" s="45" t="s">
        <v>2207</v>
      </c>
    </row>
    <row r="142" spans="1:6" hidden="1" x14ac:dyDescent="0.2">
      <c r="A142" s="46">
        <v>45843</v>
      </c>
      <c r="B142" s="33" t="s">
        <v>1859</v>
      </c>
      <c r="C142" s="33">
        <v>41.38</v>
      </c>
      <c r="D142" s="33" t="s">
        <v>5</v>
      </c>
      <c r="E142" s="52" t="s">
        <v>6</v>
      </c>
      <c r="F142" s="47" t="s">
        <v>2207</v>
      </c>
    </row>
    <row r="143" spans="1:6" hidden="1" x14ac:dyDescent="0.2">
      <c r="A143" s="44">
        <v>45842</v>
      </c>
      <c r="B143" s="42" t="s">
        <v>1579</v>
      </c>
      <c r="C143" s="42">
        <v>11.02</v>
      </c>
      <c r="D143" s="42" t="s">
        <v>5</v>
      </c>
      <c r="E143" s="51" t="s">
        <v>6</v>
      </c>
      <c r="F143" s="45" t="s">
        <v>2207</v>
      </c>
    </row>
    <row r="144" spans="1:6" hidden="1" x14ac:dyDescent="0.2">
      <c r="A144" s="46">
        <v>45840</v>
      </c>
      <c r="B144" s="33" t="s">
        <v>1866</v>
      </c>
      <c r="C144" s="33">
        <v>2.59</v>
      </c>
      <c r="D144" s="33" t="s">
        <v>5</v>
      </c>
      <c r="E144" s="52" t="s">
        <v>6</v>
      </c>
      <c r="F144" s="47" t="s">
        <v>2207</v>
      </c>
    </row>
    <row r="145" spans="1:6" hidden="1" x14ac:dyDescent="0.2">
      <c r="A145" s="44">
        <v>45840</v>
      </c>
      <c r="B145" s="42" t="s">
        <v>1867</v>
      </c>
      <c r="C145" s="42">
        <v>370</v>
      </c>
      <c r="D145" s="42" t="s">
        <v>5</v>
      </c>
      <c r="E145" s="51" t="s">
        <v>6</v>
      </c>
      <c r="F145" s="45" t="s">
        <v>2207</v>
      </c>
    </row>
    <row r="146" spans="1:6" hidden="1" x14ac:dyDescent="0.2">
      <c r="A146" s="46">
        <v>45840</v>
      </c>
      <c r="B146" s="33" t="s">
        <v>1866</v>
      </c>
      <c r="C146" s="33">
        <v>39.950000000000003</v>
      </c>
      <c r="D146" s="33" t="s">
        <v>5</v>
      </c>
      <c r="E146" s="52" t="s">
        <v>6</v>
      </c>
      <c r="F146" s="47" t="s">
        <v>2207</v>
      </c>
    </row>
    <row r="147" spans="1:6" hidden="1" x14ac:dyDescent="0.2">
      <c r="A147" s="44">
        <v>45835</v>
      </c>
      <c r="B147" s="42" t="s">
        <v>1889</v>
      </c>
      <c r="C147" s="42">
        <v>75.459999999999994</v>
      </c>
      <c r="D147" s="42" t="s">
        <v>5</v>
      </c>
      <c r="E147" s="51" t="s">
        <v>6</v>
      </c>
      <c r="F147" s="45" t="s">
        <v>2207</v>
      </c>
    </row>
    <row r="148" spans="1:6" hidden="1" x14ac:dyDescent="0.2">
      <c r="A148" s="46">
        <v>45829</v>
      </c>
      <c r="B148" s="48" t="s">
        <v>1922</v>
      </c>
      <c r="C148" s="33">
        <v>1033.1500000000001</v>
      </c>
      <c r="D148" s="33" t="s">
        <v>5</v>
      </c>
      <c r="E148" s="52" t="s">
        <v>6</v>
      </c>
      <c r="F148" s="47" t="s">
        <v>2207</v>
      </c>
    </row>
    <row r="149" spans="1:6" hidden="1" x14ac:dyDescent="0.2">
      <c r="A149" s="44">
        <v>45825</v>
      </c>
      <c r="B149" s="42" t="s">
        <v>1928</v>
      </c>
      <c r="C149" s="42">
        <v>6.78</v>
      </c>
      <c r="D149" s="42" t="s">
        <v>5</v>
      </c>
      <c r="E149" s="51" t="s">
        <v>6</v>
      </c>
      <c r="F149" s="45" t="s">
        <v>2207</v>
      </c>
    </row>
    <row r="150" spans="1:6" hidden="1" x14ac:dyDescent="0.2">
      <c r="A150" s="46">
        <v>45824</v>
      </c>
      <c r="B150" s="33" t="s">
        <v>1546</v>
      </c>
      <c r="C150" s="33">
        <v>73.03</v>
      </c>
      <c r="D150" s="33" t="s">
        <v>5</v>
      </c>
      <c r="E150" s="52" t="s">
        <v>6</v>
      </c>
      <c r="F150" s="47" t="s">
        <v>2207</v>
      </c>
    </row>
    <row r="151" spans="1:6" hidden="1" x14ac:dyDescent="0.2">
      <c r="A151" s="44">
        <v>45823</v>
      </c>
      <c r="B151" s="62" t="s">
        <v>1934</v>
      </c>
      <c r="C151" s="42">
        <v>12.14</v>
      </c>
      <c r="D151" s="42" t="s">
        <v>5</v>
      </c>
      <c r="E151" s="51" t="s">
        <v>6</v>
      </c>
      <c r="F151" s="45" t="s">
        <v>2207</v>
      </c>
    </row>
    <row r="152" spans="1:6" hidden="1" x14ac:dyDescent="0.2">
      <c r="A152" s="46">
        <v>45822</v>
      </c>
      <c r="B152" s="48" t="s">
        <v>1934</v>
      </c>
      <c r="C152" s="33">
        <v>0.67</v>
      </c>
      <c r="D152" s="33" t="s">
        <v>5</v>
      </c>
      <c r="E152" s="52" t="s">
        <v>6</v>
      </c>
      <c r="F152" s="47" t="s">
        <v>2207</v>
      </c>
    </row>
    <row r="153" spans="1:6" hidden="1" x14ac:dyDescent="0.2">
      <c r="A153" s="44">
        <v>45822</v>
      </c>
      <c r="B153" s="62" t="s">
        <v>1934</v>
      </c>
      <c r="C153" s="42">
        <v>5.98</v>
      </c>
      <c r="D153" s="42" t="s">
        <v>5</v>
      </c>
      <c r="E153" s="51" t="s">
        <v>6</v>
      </c>
      <c r="F153" s="45" t="s">
        <v>2207</v>
      </c>
    </row>
    <row r="154" spans="1:6" hidden="1" x14ac:dyDescent="0.2">
      <c r="A154" s="46">
        <v>45821</v>
      </c>
      <c r="B154" s="33" t="s">
        <v>1577</v>
      </c>
      <c r="C154" s="33">
        <v>87.33</v>
      </c>
      <c r="D154" s="33" t="s">
        <v>5</v>
      </c>
      <c r="E154" s="52" t="s">
        <v>6</v>
      </c>
      <c r="F154" s="47" t="s">
        <v>2207</v>
      </c>
    </row>
    <row r="155" spans="1:6" hidden="1" x14ac:dyDescent="0.2">
      <c r="A155" s="44">
        <v>45821</v>
      </c>
      <c r="B155" s="42" t="s">
        <v>1945</v>
      </c>
      <c r="C155" s="42">
        <v>5</v>
      </c>
      <c r="D155" s="42" t="s">
        <v>5</v>
      </c>
      <c r="E155" s="51" t="s">
        <v>6</v>
      </c>
      <c r="F155" s="45" t="s">
        <v>2207</v>
      </c>
    </row>
    <row r="156" spans="1:6" hidden="1" x14ac:dyDescent="0.2">
      <c r="A156" s="46">
        <v>45821</v>
      </c>
      <c r="B156" s="33" t="s">
        <v>1854</v>
      </c>
      <c r="C156" s="33">
        <v>11.71</v>
      </c>
      <c r="D156" s="33" t="s">
        <v>5</v>
      </c>
      <c r="E156" s="52" t="s">
        <v>6</v>
      </c>
      <c r="F156" s="47" t="s">
        <v>2207</v>
      </c>
    </row>
    <row r="157" spans="1:6" hidden="1" x14ac:dyDescent="0.2">
      <c r="A157" s="44">
        <v>45815</v>
      </c>
      <c r="B157" s="42" t="s">
        <v>1603</v>
      </c>
      <c r="C157" s="42">
        <v>89.57</v>
      </c>
      <c r="D157" s="42" t="s">
        <v>5</v>
      </c>
      <c r="E157" s="51" t="s">
        <v>6</v>
      </c>
      <c r="F157" s="45" t="s">
        <v>2207</v>
      </c>
    </row>
    <row r="158" spans="1:6" hidden="1" x14ac:dyDescent="0.2">
      <c r="A158" s="46">
        <v>45812</v>
      </c>
      <c r="B158" s="33" t="s">
        <v>1579</v>
      </c>
      <c r="C158" s="33">
        <v>11.02</v>
      </c>
      <c r="D158" s="33" t="s">
        <v>5</v>
      </c>
      <c r="E158" s="52" t="s">
        <v>6</v>
      </c>
      <c r="F158" s="47" t="s">
        <v>2207</v>
      </c>
    </row>
    <row r="159" spans="1:6" hidden="1" x14ac:dyDescent="0.2">
      <c r="A159" s="44">
        <v>45809</v>
      </c>
      <c r="B159" s="42" t="s">
        <v>1966</v>
      </c>
      <c r="C159" s="42">
        <v>6</v>
      </c>
      <c r="D159" s="42" t="s">
        <v>5</v>
      </c>
      <c r="E159" s="51" t="s">
        <v>6</v>
      </c>
      <c r="F159" s="45" t="s">
        <v>2207</v>
      </c>
    </row>
    <row r="160" spans="1:6" hidden="1" x14ac:dyDescent="0.2">
      <c r="A160" s="46">
        <v>45808</v>
      </c>
      <c r="B160" s="33" t="s">
        <v>1623</v>
      </c>
      <c r="C160" s="33">
        <v>100</v>
      </c>
      <c r="D160" s="33" t="s">
        <v>5</v>
      </c>
      <c r="E160" s="52" t="s">
        <v>6</v>
      </c>
      <c r="F160" s="47" t="s">
        <v>2207</v>
      </c>
    </row>
    <row r="161" spans="1:6" hidden="1" x14ac:dyDescent="0.2">
      <c r="A161" s="44">
        <v>45807</v>
      </c>
      <c r="B161" s="42" t="s">
        <v>1972</v>
      </c>
      <c r="C161" s="42">
        <v>76.34</v>
      </c>
      <c r="D161" s="42" t="s">
        <v>5</v>
      </c>
      <c r="E161" s="51" t="s">
        <v>6</v>
      </c>
      <c r="F161" s="45" t="s">
        <v>2207</v>
      </c>
    </row>
    <row r="162" spans="1:6" hidden="1" x14ac:dyDescent="0.2">
      <c r="A162" s="46">
        <v>45805</v>
      </c>
      <c r="B162" s="33" t="s">
        <v>1593</v>
      </c>
      <c r="C162" s="33">
        <v>127.72</v>
      </c>
      <c r="D162" s="33" t="s">
        <v>5</v>
      </c>
      <c r="E162" s="52" t="s">
        <v>6</v>
      </c>
      <c r="F162" s="47" t="s">
        <v>2207</v>
      </c>
    </row>
    <row r="163" spans="1:6" hidden="1" x14ac:dyDescent="0.2">
      <c r="A163" s="44">
        <v>45803</v>
      </c>
      <c r="B163" s="42" t="s">
        <v>1972</v>
      </c>
      <c r="C163" s="42">
        <v>92.69</v>
      </c>
      <c r="D163" s="42" t="s">
        <v>5</v>
      </c>
      <c r="E163" s="51" t="s">
        <v>6</v>
      </c>
      <c r="F163" s="45" t="s">
        <v>2207</v>
      </c>
    </row>
    <row r="164" spans="1:6" hidden="1" x14ac:dyDescent="0.2">
      <c r="A164" s="46">
        <v>45803</v>
      </c>
      <c r="B164" s="33" t="s">
        <v>1593</v>
      </c>
      <c r="C164" s="33">
        <v>251.58</v>
      </c>
      <c r="D164" s="33" t="s">
        <v>5</v>
      </c>
      <c r="E164" s="52" t="s">
        <v>6</v>
      </c>
      <c r="F164" s="47" t="s">
        <v>2207</v>
      </c>
    </row>
    <row r="165" spans="1:6" hidden="1" x14ac:dyDescent="0.2">
      <c r="A165" s="44">
        <v>45796</v>
      </c>
      <c r="B165" s="42" t="s">
        <v>1972</v>
      </c>
      <c r="C165" s="42">
        <v>81.95</v>
      </c>
      <c r="D165" s="42" t="s">
        <v>5</v>
      </c>
      <c r="E165" s="51" t="s">
        <v>6</v>
      </c>
      <c r="F165" s="45" t="s">
        <v>2207</v>
      </c>
    </row>
    <row r="166" spans="1:6" hidden="1" x14ac:dyDescent="0.2">
      <c r="A166" s="46">
        <v>45786</v>
      </c>
      <c r="B166" s="33" t="s">
        <v>1972</v>
      </c>
      <c r="C166" s="33">
        <v>81.209999999999994</v>
      </c>
      <c r="D166" s="33" t="s">
        <v>5</v>
      </c>
      <c r="E166" s="52" t="s">
        <v>6</v>
      </c>
      <c r="F166" s="47" t="s">
        <v>2207</v>
      </c>
    </row>
    <row r="167" spans="1:6" hidden="1" x14ac:dyDescent="0.2">
      <c r="A167" s="44">
        <v>45782</v>
      </c>
      <c r="B167" s="42" t="s">
        <v>2010</v>
      </c>
      <c r="C167" s="42">
        <v>90.21</v>
      </c>
      <c r="D167" s="42" t="s">
        <v>5</v>
      </c>
      <c r="E167" s="51" t="s">
        <v>6</v>
      </c>
      <c r="F167" s="45" t="s">
        <v>2207</v>
      </c>
    </row>
    <row r="168" spans="1:6" hidden="1" x14ac:dyDescent="0.2">
      <c r="A168" s="46">
        <v>45781</v>
      </c>
      <c r="B168" s="33" t="s">
        <v>1579</v>
      </c>
      <c r="C168" s="33">
        <v>11.02</v>
      </c>
      <c r="D168" s="33" t="s">
        <v>5</v>
      </c>
      <c r="E168" s="52" t="s">
        <v>6</v>
      </c>
      <c r="F168" s="47" t="s">
        <v>2207</v>
      </c>
    </row>
    <row r="169" spans="1:6" hidden="1" x14ac:dyDescent="0.2">
      <c r="A169" s="44">
        <v>45774</v>
      </c>
      <c r="B169" s="42" t="s">
        <v>1603</v>
      </c>
      <c r="C169" s="42">
        <v>24.82</v>
      </c>
      <c r="D169" s="42" t="s">
        <v>5</v>
      </c>
      <c r="E169" s="51" t="s">
        <v>6</v>
      </c>
      <c r="F169" s="45" t="s">
        <v>2207</v>
      </c>
    </row>
    <row r="170" spans="1:6" hidden="1" x14ac:dyDescent="0.2">
      <c r="A170" s="46">
        <v>45774</v>
      </c>
      <c r="B170" s="33" t="s">
        <v>1623</v>
      </c>
      <c r="C170" s="33">
        <v>100</v>
      </c>
      <c r="D170" s="33" t="s">
        <v>5</v>
      </c>
      <c r="E170" s="52" t="s">
        <v>6</v>
      </c>
      <c r="F170" s="47" t="s">
        <v>2207</v>
      </c>
    </row>
    <row r="171" spans="1:6" hidden="1" x14ac:dyDescent="0.2">
      <c r="A171" s="44">
        <v>45774</v>
      </c>
      <c r="B171" s="42" t="s">
        <v>1603</v>
      </c>
      <c r="C171" s="42">
        <v>53.88</v>
      </c>
      <c r="D171" s="42" t="s">
        <v>5</v>
      </c>
      <c r="E171" s="51" t="s">
        <v>6</v>
      </c>
      <c r="F171" s="45" t="s">
        <v>2207</v>
      </c>
    </row>
    <row r="172" spans="1:6" hidden="1" x14ac:dyDescent="0.2">
      <c r="A172" s="46">
        <v>45768</v>
      </c>
      <c r="B172" s="33" t="s">
        <v>2010</v>
      </c>
      <c r="C172" s="33">
        <v>69.97</v>
      </c>
      <c r="D172" s="33" t="s">
        <v>5</v>
      </c>
      <c r="E172" s="52" t="s">
        <v>6</v>
      </c>
      <c r="F172" s="47" t="s">
        <v>2207</v>
      </c>
    </row>
    <row r="173" spans="1:6" hidden="1" x14ac:dyDescent="0.2">
      <c r="A173" s="44">
        <v>45758</v>
      </c>
      <c r="B173" s="42" t="s">
        <v>1603</v>
      </c>
      <c r="C173" s="42">
        <v>74.48</v>
      </c>
      <c r="D173" s="42" t="s">
        <v>5</v>
      </c>
      <c r="E173" s="51" t="s">
        <v>6</v>
      </c>
      <c r="F173" s="45" t="s">
        <v>2207</v>
      </c>
    </row>
    <row r="174" spans="1:6" hidden="1" x14ac:dyDescent="0.2">
      <c r="A174" s="46">
        <v>45751</v>
      </c>
      <c r="B174" s="33" t="s">
        <v>1603</v>
      </c>
      <c r="C174" s="33">
        <v>81.790000000000006</v>
      </c>
      <c r="D174" s="33" t="s">
        <v>5</v>
      </c>
      <c r="E174" s="52" t="s">
        <v>6</v>
      </c>
      <c r="F174" s="47" t="s">
        <v>2207</v>
      </c>
    </row>
    <row r="175" spans="1:6" hidden="1" x14ac:dyDescent="0.2">
      <c r="A175" s="44">
        <v>45751</v>
      </c>
      <c r="B175" s="42" t="s">
        <v>1579</v>
      </c>
      <c r="C175" s="42">
        <v>11.02</v>
      </c>
      <c r="D175" s="42" t="s">
        <v>5</v>
      </c>
      <c r="E175" s="51" t="s">
        <v>6</v>
      </c>
      <c r="F175" s="45" t="s">
        <v>2207</v>
      </c>
    </row>
    <row r="176" spans="1:6" hidden="1" x14ac:dyDescent="0.2">
      <c r="A176" s="46">
        <v>45739</v>
      </c>
      <c r="B176" s="33" t="s">
        <v>1603</v>
      </c>
      <c r="C176" s="33">
        <v>72.709999999999994</v>
      </c>
      <c r="D176" s="33" t="s">
        <v>5</v>
      </c>
      <c r="E176" s="52" t="s">
        <v>6</v>
      </c>
      <c r="F176" s="47" t="s">
        <v>2207</v>
      </c>
    </row>
    <row r="177" spans="1:6" hidden="1" x14ac:dyDescent="0.2">
      <c r="A177" s="44">
        <v>45732</v>
      </c>
      <c r="B177" s="42" t="s">
        <v>1603</v>
      </c>
      <c r="C177" s="42">
        <v>63.26</v>
      </c>
      <c r="D177" s="42" t="s">
        <v>5</v>
      </c>
      <c r="E177" s="51" t="s">
        <v>6</v>
      </c>
      <c r="F177" s="45" t="s">
        <v>2207</v>
      </c>
    </row>
    <row r="178" spans="1:6" hidden="1" x14ac:dyDescent="0.2">
      <c r="A178" s="46">
        <v>45731</v>
      </c>
      <c r="B178" s="33" t="s">
        <v>1623</v>
      </c>
      <c r="C178" s="33">
        <v>100</v>
      </c>
      <c r="D178" s="33" t="s">
        <v>5</v>
      </c>
      <c r="E178" s="52" t="s">
        <v>6</v>
      </c>
      <c r="F178" s="47" t="s">
        <v>2207</v>
      </c>
    </row>
    <row r="179" spans="1:6" hidden="1" x14ac:dyDescent="0.2">
      <c r="A179" s="44">
        <v>45728</v>
      </c>
      <c r="B179" s="42" t="s">
        <v>1593</v>
      </c>
      <c r="C179" s="42">
        <v>14.16</v>
      </c>
      <c r="D179" s="42" t="s">
        <v>5</v>
      </c>
      <c r="E179" s="51" t="s">
        <v>6</v>
      </c>
      <c r="F179" s="45" t="s">
        <v>2207</v>
      </c>
    </row>
    <row r="180" spans="1:6" hidden="1" x14ac:dyDescent="0.2">
      <c r="A180" s="46">
        <v>45724</v>
      </c>
      <c r="B180" s="33" t="s">
        <v>2096</v>
      </c>
      <c r="C180" s="33">
        <v>64.97</v>
      </c>
      <c r="D180" s="33" t="s">
        <v>5</v>
      </c>
      <c r="E180" s="52" t="s">
        <v>6</v>
      </c>
      <c r="F180" s="47" t="s">
        <v>2207</v>
      </c>
    </row>
    <row r="181" spans="1:6" hidden="1" x14ac:dyDescent="0.2">
      <c r="A181" s="44">
        <v>45724</v>
      </c>
      <c r="B181" s="42" t="s">
        <v>2097</v>
      </c>
      <c r="C181" s="42">
        <v>2384.09</v>
      </c>
      <c r="D181" s="42" t="s">
        <v>5</v>
      </c>
      <c r="E181" s="51" t="s">
        <v>6</v>
      </c>
      <c r="F181" s="45" t="s">
        <v>2207</v>
      </c>
    </row>
    <row r="182" spans="1:6" hidden="1" x14ac:dyDescent="0.2">
      <c r="A182" s="46">
        <v>45724</v>
      </c>
      <c r="B182" s="33" t="s">
        <v>2098</v>
      </c>
      <c r="C182" s="33">
        <v>704.01</v>
      </c>
      <c r="D182" s="33" t="s">
        <v>5</v>
      </c>
      <c r="E182" s="52" t="s">
        <v>6</v>
      </c>
      <c r="F182" s="47" t="s">
        <v>2207</v>
      </c>
    </row>
    <row r="183" spans="1:6" hidden="1" x14ac:dyDescent="0.2">
      <c r="A183" s="44">
        <v>45720</v>
      </c>
      <c r="B183" s="42" t="s">
        <v>1579</v>
      </c>
      <c r="C183" s="42">
        <v>11.02</v>
      </c>
      <c r="D183" s="42" t="s">
        <v>5</v>
      </c>
      <c r="E183" s="51" t="s">
        <v>6</v>
      </c>
      <c r="F183" s="45" t="s">
        <v>2207</v>
      </c>
    </row>
    <row r="184" spans="1:6" hidden="1" x14ac:dyDescent="0.2">
      <c r="A184" s="46">
        <v>45719</v>
      </c>
      <c r="B184" s="33" t="s">
        <v>1603</v>
      </c>
      <c r="C184" s="33">
        <v>75.790000000000006</v>
      </c>
      <c r="D184" s="33" t="s">
        <v>5</v>
      </c>
      <c r="E184" s="52" t="s">
        <v>6</v>
      </c>
      <c r="F184" s="47" t="s">
        <v>2207</v>
      </c>
    </row>
    <row r="185" spans="1:6" hidden="1" x14ac:dyDescent="0.2">
      <c r="A185" s="44">
        <v>45708</v>
      </c>
      <c r="B185" s="42" t="s">
        <v>1846</v>
      </c>
      <c r="C185" s="42">
        <v>56.89</v>
      </c>
      <c r="D185" s="42" t="s">
        <v>5</v>
      </c>
      <c r="E185" s="51" t="s">
        <v>6</v>
      </c>
      <c r="F185" s="45" t="s">
        <v>2207</v>
      </c>
    </row>
    <row r="186" spans="1:6" hidden="1" x14ac:dyDescent="0.2">
      <c r="A186" s="46">
        <v>45700</v>
      </c>
      <c r="B186" s="33" t="s">
        <v>1627</v>
      </c>
      <c r="C186" s="33">
        <v>9.25</v>
      </c>
      <c r="D186" s="33" t="s">
        <v>5</v>
      </c>
      <c r="E186" s="52" t="s">
        <v>6</v>
      </c>
      <c r="F186" s="47" t="s">
        <v>2207</v>
      </c>
    </row>
    <row r="187" spans="1:6" hidden="1" x14ac:dyDescent="0.2">
      <c r="A187" s="44">
        <v>45697</v>
      </c>
      <c r="B187" s="42" t="s">
        <v>1603</v>
      </c>
      <c r="C187" s="42">
        <v>80.77</v>
      </c>
      <c r="D187" s="42" t="s">
        <v>5</v>
      </c>
      <c r="E187" s="51" t="s">
        <v>6</v>
      </c>
      <c r="F187" s="45" t="s">
        <v>2207</v>
      </c>
    </row>
    <row r="188" spans="1:6" hidden="1" x14ac:dyDescent="0.2">
      <c r="A188" s="46">
        <v>45692</v>
      </c>
      <c r="B188" s="33" t="s">
        <v>1579</v>
      </c>
      <c r="C188" s="33">
        <v>11.02</v>
      </c>
      <c r="D188" s="33" t="s">
        <v>5</v>
      </c>
      <c r="E188" s="52" t="s">
        <v>6</v>
      </c>
      <c r="F188" s="47" t="s">
        <v>2207</v>
      </c>
    </row>
    <row r="189" spans="1:6" hidden="1" x14ac:dyDescent="0.2">
      <c r="A189" s="44">
        <v>45687</v>
      </c>
      <c r="B189" s="42" t="s">
        <v>1603</v>
      </c>
      <c r="C189" s="42">
        <v>77.94</v>
      </c>
      <c r="D189" s="42" t="s">
        <v>5</v>
      </c>
      <c r="E189" s="51" t="s">
        <v>6</v>
      </c>
      <c r="F189" s="45" t="s">
        <v>2207</v>
      </c>
    </row>
    <row r="190" spans="1:6" hidden="1" x14ac:dyDescent="0.2">
      <c r="A190" s="46">
        <v>45687</v>
      </c>
      <c r="B190" s="33" t="s">
        <v>2147</v>
      </c>
      <c r="C190" s="33">
        <v>55.76</v>
      </c>
      <c r="D190" s="33" t="s">
        <v>5</v>
      </c>
      <c r="E190" s="52" t="s">
        <v>6</v>
      </c>
      <c r="F190" s="47" t="s">
        <v>2207</v>
      </c>
    </row>
    <row r="191" spans="1:6" hidden="1" x14ac:dyDescent="0.2">
      <c r="A191" s="44">
        <v>45677</v>
      </c>
      <c r="B191" s="42" t="s">
        <v>1846</v>
      </c>
      <c r="C191" s="42">
        <v>36.06</v>
      </c>
      <c r="D191" s="42" t="s">
        <v>5</v>
      </c>
      <c r="E191" s="51" t="s">
        <v>6</v>
      </c>
      <c r="F191" s="45" t="s">
        <v>2207</v>
      </c>
    </row>
    <row r="192" spans="1:6" hidden="1" x14ac:dyDescent="0.2">
      <c r="A192" s="46">
        <v>45675</v>
      </c>
      <c r="B192" s="33" t="s">
        <v>1623</v>
      </c>
      <c r="C192" s="33">
        <v>100</v>
      </c>
      <c r="D192" s="33" t="s">
        <v>5</v>
      </c>
      <c r="E192" s="52" t="s">
        <v>6</v>
      </c>
      <c r="F192" s="47" t="s">
        <v>2207</v>
      </c>
    </row>
    <row r="193" spans="1:6" hidden="1" x14ac:dyDescent="0.2">
      <c r="A193" s="44">
        <v>45661</v>
      </c>
      <c r="B193" s="42" t="s">
        <v>1579</v>
      </c>
      <c r="C193" s="42">
        <v>11.02</v>
      </c>
      <c r="D193" s="42" t="s">
        <v>5</v>
      </c>
      <c r="E193" s="51" t="s">
        <v>6</v>
      </c>
      <c r="F193" s="45" t="s">
        <v>2207</v>
      </c>
    </row>
    <row r="194" spans="1:6" hidden="1" x14ac:dyDescent="0.2">
      <c r="A194" s="46">
        <v>45660</v>
      </c>
      <c r="B194" s="33" t="s">
        <v>2192</v>
      </c>
      <c r="C194" s="33">
        <v>32.93</v>
      </c>
      <c r="D194" s="33" t="s">
        <v>5</v>
      </c>
      <c r="E194" s="52" t="s">
        <v>6</v>
      </c>
      <c r="F194" s="47" t="s">
        <v>2207</v>
      </c>
    </row>
    <row r="195" spans="1:6" hidden="1" x14ac:dyDescent="0.2">
      <c r="A195" s="44">
        <v>45660</v>
      </c>
      <c r="B195" s="42" t="s">
        <v>2194</v>
      </c>
      <c r="C195" s="42">
        <v>18.649999999999999</v>
      </c>
      <c r="D195" s="42" t="s">
        <v>5</v>
      </c>
      <c r="E195" s="51" t="s">
        <v>6</v>
      </c>
      <c r="F195" s="45" t="s">
        <v>2207</v>
      </c>
    </row>
    <row r="196" spans="1:6" hidden="1" x14ac:dyDescent="0.2">
      <c r="A196" s="46">
        <v>45983</v>
      </c>
      <c r="B196" s="33" t="s">
        <v>25</v>
      </c>
      <c r="C196" s="33">
        <v>69.83</v>
      </c>
      <c r="D196" s="33" t="s">
        <v>5</v>
      </c>
      <c r="E196" s="52" t="s">
        <v>6</v>
      </c>
      <c r="F196" s="47" t="s">
        <v>2207</v>
      </c>
    </row>
    <row r="197" spans="1:6" hidden="1" x14ac:dyDescent="0.2">
      <c r="A197" s="44">
        <v>45983</v>
      </c>
      <c r="B197" s="42" t="s">
        <v>25</v>
      </c>
      <c r="C197" s="42">
        <v>5.78</v>
      </c>
      <c r="D197" s="42" t="s">
        <v>5</v>
      </c>
      <c r="E197" s="51" t="s">
        <v>6</v>
      </c>
      <c r="F197" s="45" t="s">
        <v>2207</v>
      </c>
    </row>
    <row r="198" spans="1:6" hidden="1" x14ac:dyDescent="0.2">
      <c r="A198" s="46">
        <v>45974</v>
      </c>
      <c r="B198" s="33" t="s">
        <v>46</v>
      </c>
      <c r="C198" s="33">
        <v>6.19</v>
      </c>
      <c r="D198" s="33" t="s">
        <v>5</v>
      </c>
      <c r="E198" s="52" t="s">
        <v>6</v>
      </c>
      <c r="F198" s="47" t="s">
        <v>2207</v>
      </c>
    </row>
    <row r="199" spans="1:6" hidden="1" x14ac:dyDescent="0.2">
      <c r="A199" s="44">
        <v>45974</v>
      </c>
      <c r="B199" s="42" t="s">
        <v>46</v>
      </c>
      <c r="C199" s="42">
        <v>60</v>
      </c>
      <c r="D199" s="42" t="s">
        <v>5</v>
      </c>
      <c r="E199" s="51" t="s">
        <v>6</v>
      </c>
      <c r="F199" s="45" t="s">
        <v>2207</v>
      </c>
    </row>
    <row r="200" spans="1:6" hidden="1" x14ac:dyDescent="0.2">
      <c r="A200" s="46">
        <v>45969</v>
      </c>
      <c r="B200" s="33" t="s">
        <v>25</v>
      </c>
      <c r="C200" s="33">
        <v>44.72</v>
      </c>
      <c r="D200" s="33" t="s">
        <v>5</v>
      </c>
      <c r="E200" s="52" t="s">
        <v>6</v>
      </c>
      <c r="F200" s="47" t="s">
        <v>2207</v>
      </c>
    </row>
    <row r="201" spans="1:6" hidden="1" x14ac:dyDescent="0.2">
      <c r="A201" s="44">
        <v>45966</v>
      </c>
      <c r="B201" s="42" t="s">
        <v>11</v>
      </c>
      <c r="C201" s="42">
        <v>95.75</v>
      </c>
      <c r="D201" s="42" t="s">
        <v>5</v>
      </c>
      <c r="E201" s="51" t="s">
        <v>6</v>
      </c>
      <c r="F201" s="45" t="s">
        <v>2207</v>
      </c>
    </row>
    <row r="202" spans="1:6" hidden="1" x14ac:dyDescent="0.2">
      <c r="A202" s="46">
        <v>45963</v>
      </c>
      <c r="B202" s="33" t="s">
        <v>25</v>
      </c>
      <c r="C202" s="33">
        <v>76.63</v>
      </c>
      <c r="D202" s="33" t="s">
        <v>5</v>
      </c>
      <c r="E202" s="52" t="s">
        <v>6</v>
      </c>
      <c r="F202" s="47" t="s">
        <v>2207</v>
      </c>
    </row>
    <row r="203" spans="1:6" hidden="1" x14ac:dyDescent="0.2">
      <c r="A203" s="44">
        <v>45953</v>
      </c>
      <c r="B203" s="42" t="s">
        <v>25</v>
      </c>
      <c r="C203" s="42">
        <v>69.62</v>
      </c>
      <c r="D203" s="42" t="s">
        <v>5</v>
      </c>
      <c r="E203" s="51" t="s">
        <v>6</v>
      </c>
      <c r="F203" s="45" t="s">
        <v>2207</v>
      </c>
    </row>
    <row r="204" spans="1:6" hidden="1" x14ac:dyDescent="0.2">
      <c r="A204" s="46">
        <v>45953</v>
      </c>
      <c r="B204" s="33" t="s">
        <v>25</v>
      </c>
      <c r="C204" s="33">
        <v>4.38</v>
      </c>
      <c r="D204" s="33" t="s">
        <v>5</v>
      </c>
      <c r="E204" s="52" t="s">
        <v>6</v>
      </c>
      <c r="F204" s="47" t="s">
        <v>2207</v>
      </c>
    </row>
    <row r="205" spans="1:6" hidden="1" x14ac:dyDescent="0.2">
      <c r="A205" s="44">
        <v>45942</v>
      </c>
      <c r="B205" s="42" t="s">
        <v>11</v>
      </c>
      <c r="C205" s="42">
        <v>4.29</v>
      </c>
      <c r="D205" s="42" t="s">
        <v>5</v>
      </c>
      <c r="E205" s="51" t="s">
        <v>6</v>
      </c>
      <c r="F205" s="45" t="s">
        <v>2207</v>
      </c>
    </row>
    <row r="206" spans="1:6" hidden="1" x14ac:dyDescent="0.2">
      <c r="A206" s="46">
        <v>45942</v>
      </c>
      <c r="B206" s="33" t="s">
        <v>11</v>
      </c>
      <c r="C206" s="33">
        <v>73.349999999999994</v>
      </c>
      <c r="D206" s="33" t="s">
        <v>5</v>
      </c>
      <c r="E206" s="52" t="s">
        <v>6</v>
      </c>
      <c r="F206" s="47" t="s">
        <v>2207</v>
      </c>
    </row>
    <row r="207" spans="1:6" hidden="1" x14ac:dyDescent="0.2">
      <c r="A207" s="44">
        <v>45982</v>
      </c>
      <c r="B207" s="42" t="s">
        <v>40</v>
      </c>
      <c r="C207" s="42">
        <v>0.25</v>
      </c>
      <c r="D207" s="42" t="s">
        <v>5</v>
      </c>
      <c r="E207" s="51" t="s">
        <v>6</v>
      </c>
      <c r="F207" s="45" t="s">
        <v>2207</v>
      </c>
    </row>
    <row r="208" spans="1:6" hidden="1" x14ac:dyDescent="0.2">
      <c r="A208" s="46">
        <v>45982</v>
      </c>
      <c r="B208" s="33" t="s">
        <v>40</v>
      </c>
      <c r="C208" s="33">
        <v>0.5</v>
      </c>
      <c r="D208" s="33" t="s">
        <v>5</v>
      </c>
      <c r="E208" s="52" t="s">
        <v>6</v>
      </c>
      <c r="F208" s="47" t="s">
        <v>2207</v>
      </c>
    </row>
    <row r="209" spans="1:6" hidden="1" x14ac:dyDescent="0.2">
      <c r="A209" s="44">
        <v>45981</v>
      </c>
      <c r="B209" s="42" t="s">
        <v>40</v>
      </c>
      <c r="C209" s="42">
        <v>9.35</v>
      </c>
      <c r="D209" s="42" t="s">
        <v>5</v>
      </c>
      <c r="E209" s="51" t="s">
        <v>6</v>
      </c>
      <c r="F209" s="45" t="s">
        <v>2207</v>
      </c>
    </row>
    <row r="210" spans="1:6" hidden="1" x14ac:dyDescent="0.2">
      <c r="A210" s="46">
        <v>45958</v>
      </c>
      <c r="B210" s="33" t="s">
        <v>40</v>
      </c>
      <c r="C210" s="33">
        <v>2.33</v>
      </c>
      <c r="D210" s="33" t="s">
        <v>5</v>
      </c>
      <c r="E210" s="52" t="s">
        <v>6</v>
      </c>
      <c r="F210" s="47" t="s">
        <v>2207</v>
      </c>
    </row>
    <row r="211" spans="1:6" hidden="1" x14ac:dyDescent="0.2">
      <c r="A211" s="44">
        <v>45948</v>
      </c>
      <c r="B211" s="42" t="s">
        <v>40</v>
      </c>
      <c r="C211" s="42">
        <v>3</v>
      </c>
      <c r="D211" s="42" t="s">
        <v>5</v>
      </c>
      <c r="E211" s="51" t="s">
        <v>6</v>
      </c>
      <c r="F211" s="45" t="s">
        <v>2207</v>
      </c>
    </row>
    <row r="212" spans="1:6" hidden="1" x14ac:dyDescent="0.2">
      <c r="A212" s="46">
        <v>45948</v>
      </c>
      <c r="B212" s="33" t="s">
        <v>40</v>
      </c>
      <c r="C212" s="33">
        <v>1.5</v>
      </c>
      <c r="D212" s="33" t="s">
        <v>5</v>
      </c>
      <c r="E212" s="52" t="s">
        <v>6</v>
      </c>
      <c r="F212" s="47" t="s">
        <v>2207</v>
      </c>
    </row>
    <row r="213" spans="1:6" hidden="1" x14ac:dyDescent="0.2">
      <c r="A213" s="44">
        <v>45944</v>
      </c>
      <c r="B213" s="42" t="s">
        <v>40</v>
      </c>
      <c r="C213" s="42">
        <v>1.25</v>
      </c>
      <c r="D213" s="42" t="s">
        <v>5</v>
      </c>
      <c r="E213" s="51" t="s">
        <v>6</v>
      </c>
      <c r="F213" s="45" t="s">
        <v>2207</v>
      </c>
    </row>
    <row r="214" spans="1:6" hidden="1" x14ac:dyDescent="0.2">
      <c r="A214" s="46">
        <v>45941</v>
      </c>
      <c r="B214" s="33" t="s">
        <v>40</v>
      </c>
      <c r="C214" s="33">
        <v>2.75</v>
      </c>
      <c r="D214" s="33" t="s">
        <v>5</v>
      </c>
      <c r="E214" s="52" t="s">
        <v>6</v>
      </c>
      <c r="F214" s="47" t="s">
        <v>2207</v>
      </c>
    </row>
    <row r="215" spans="1:6" hidden="1" x14ac:dyDescent="0.2">
      <c r="A215" s="44">
        <v>45941</v>
      </c>
      <c r="B215" s="42" t="s">
        <v>40</v>
      </c>
      <c r="C215" s="42">
        <v>5.5</v>
      </c>
      <c r="D215" s="42" t="s">
        <v>5</v>
      </c>
      <c r="E215" s="51" t="s">
        <v>6</v>
      </c>
      <c r="F215" s="45" t="s">
        <v>2207</v>
      </c>
    </row>
    <row r="216" spans="1:6" hidden="1" x14ac:dyDescent="0.2">
      <c r="A216" s="46">
        <v>45933</v>
      </c>
      <c r="B216" s="33" t="s">
        <v>40</v>
      </c>
      <c r="C216" s="33">
        <v>4.67</v>
      </c>
      <c r="D216" s="33" t="s">
        <v>5</v>
      </c>
      <c r="E216" s="52" t="s">
        <v>6</v>
      </c>
      <c r="F216" s="47" t="s">
        <v>2207</v>
      </c>
    </row>
    <row r="217" spans="1:6" hidden="1" x14ac:dyDescent="0.2">
      <c r="A217" s="44">
        <v>45981</v>
      </c>
      <c r="B217" s="42" t="s">
        <v>39</v>
      </c>
      <c r="C217" s="42">
        <v>25.36</v>
      </c>
      <c r="D217" s="42" t="s">
        <v>5</v>
      </c>
      <c r="E217" s="51" t="s">
        <v>6</v>
      </c>
      <c r="F217" s="45" t="s">
        <v>2207</v>
      </c>
    </row>
    <row r="218" spans="1:6" hidden="1" x14ac:dyDescent="0.2">
      <c r="A218" s="46">
        <v>45942</v>
      </c>
      <c r="B218" s="33" t="s">
        <v>39</v>
      </c>
      <c r="C218" s="33">
        <v>33.049999999999997</v>
      </c>
      <c r="D218" s="33" t="s">
        <v>5</v>
      </c>
      <c r="E218" s="52" t="s">
        <v>6</v>
      </c>
      <c r="F218" s="47" t="s">
        <v>2207</v>
      </c>
    </row>
    <row r="219" spans="1:6" hidden="1" x14ac:dyDescent="0.2">
      <c r="A219" s="44">
        <v>45907</v>
      </c>
      <c r="B219" s="42" t="s">
        <v>72</v>
      </c>
      <c r="C219" s="42">
        <v>2.15</v>
      </c>
      <c r="D219" s="42" t="s">
        <v>68</v>
      </c>
      <c r="E219" s="51" t="s">
        <v>45</v>
      </c>
      <c r="F219" s="45" t="s">
        <v>2207</v>
      </c>
    </row>
    <row r="220" spans="1:6" hidden="1" x14ac:dyDescent="0.2">
      <c r="A220" s="46">
        <v>45877</v>
      </c>
      <c r="B220" s="33" t="s">
        <v>72</v>
      </c>
      <c r="C220" s="33">
        <v>1.73</v>
      </c>
      <c r="D220" s="33" t="s">
        <v>68</v>
      </c>
      <c r="E220" s="52" t="s">
        <v>45</v>
      </c>
      <c r="F220" s="47" t="s">
        <v>2207</v>
      </c>
    </row>
    <row r="221" spans="1:6" hidden="1" x14ac:dyDescent="0.2">
      <c r="A221" s="44">
        <v>45846</v>
      </c>
      <c r="B221" s="42" t="s">
        <v>72</v>
      </c>
      <c r="C221" s="42">
        <v>0.23</v>
      </c>
      <c r="D221" s="42" t="s">
        <v>68</v>
      </c>
      <c r="E221" s="51" t="s">
        <v>45</v>
      </c>
      <c r="F221" s="45" t="s">
        <v>2207</v>
      </c>
    </row>
    <row r="222" spans="1:6" hidden="1" x14ac:dyDescent="0.2">
      <c r="A222" s="46">
        <v>45814</v>
      </c>
      <c r="B222" s="33" t="s">
        <v>72</v>
      </c>
      <c r="C222" s="33">
        <v>21.35</v>
      </c>
      <c r="D222" s="33" t="s">
        <v>68</v>
      </c>
      <c r="E222" s="52" t="s">
        <v>45</v>
      </c>
      <c r="F222" s="47" t="s">
        <v>2207</v>
      </c>
    </row>
    <row r="223" spans="1:6" hidden="1" x14ac:dyDescent="0.2">
      <c r="A223" s="44">
        <v>45785</v>
      </c>
      <c r="B223" s="42" t="s">
        <v>73</v>
      </c>
      <c r="C223" s="42">
        <v>240.59</v>
      </c>
      <c r="D223" s="42" t="s">
        <v>68</v>
      </c>
      <c r="E223" s="51" t="s">
        <v>45</v>
      </c>
      <c r="F223" s="45" t="s">
        <v>2207</v>
      </c>
    </row>
    <row r="224" spans="1:6" hidden="1" x14ac:dyDescent="0.2">
      <c r="A224" s="46">
        <v>45785</v>
      </c>
      <c r="B224" s="33" t="s">
        <v>72</v>
      </c>
      <c r="C224" s="33">
        <v>5.44</v>
      </c>
      <c r="D224" s="33" t="s">
        <v>68</v>
      </c>
      <c r="E224" s="52" t="s">
        <v>45</v>
      </c>
      <c r="F224" s="47" t="s">
        <v>2207</v>
      </c>
    </row>
    <row r="225" spans="1:6" hidden="1" x14ac:dyDescent="0.2">
      <c r="A225" s="44">
        <v>45754</v>
      </c>
      <c r="B225" s="42" t="s">
        <v>72</v>
      </c>
      <c r="C225" s="42">
        <v>22.11</v>
      </c>
      <c r="D225" s="42" t="s">
        <v>68</v>
      </c>
      <c r="E225" s="51" t="s">
        <v>45</v>
      </c>
      <c r="F225" s="45" t="s">
        <v>2207</v>
      </c>
    </row>
    <row r="226" spans="1:6" hidden="1" x14ac:dyDescent="0.2">
      <c r="A226" s="46">
        <v>45723</v>
      </c>
      <c r="B226" s="33" t="s">
        <v>73</v>
      </c>
      <c r="C226" s="33">
        <v>252.22</v>
      </c>
      <c r="D226" s="33" t="s">
        <v>68</v>
      </c>
      <c r="E226" s="52" t="s">
        <v>45</v>
      </c>
      <c r="F226" s="47" t="s">
        <v>2207</v>
      </c>
    </row>
    <row r="227" spans="1:6" hidden="1" x14ac:dyDescent="0.2">
      <c r="A227" s="44">
        <v>45723</v>
      </c>
      <c r="B227" s="42" t="s">
        <v>72</v>
      </c>
      <c r="C227" s="42">
        <v>16.22</v>
      </c>
      <c r="D227" s="42" t="s">
        <v>68</v>
      </c>
      <c r="E227" s="51" t="s">
        <v>45</v>
      </c>
      <c r="F227" s="45" t="s">
        <v>2207</v>
      </c>
    </row>
    <row r="228" spans="1:6" hidden="1" x14ac:dyDescent="0.2">
      <c r="A228" s="46">
        <v>45693</v>
      </c>
      <c r="B228" s="33" t="s">
        <v>73</v>
      </c>
      <c r="C228" s="33">
        <v>279.12</v>
      </c>
      <c r="D228" s="33" t="s">
        <v>68</v>
      </c>
      <c r="E228" s="52" t="s">
        <v>45</v>
      </c>
      <c r="F228" s="47" t="s">
        <v>2207</v>
      </c>
    </row>
    <row r="229" spans="1:6" hidden="1" x14ac:dyDescent="0.2">
      <c r="A229" s="44">
        <v>45693</v>
      </c>
      <c r="B229" s="42" t="s">
        <v>72</v>
      </c>
      <c r="C229" s="42">
        <v>25.6</v>
      </c>
      <c r="D229" s="42" t="s">
        <v>68</v>
      </c>
      <c r="E229" s="51" t="s">
        <v>45</v>
      </c>
      <c r="F229" s="45" t="s">
        <v>2207</v>
      </c>
    </row>
    <row r="230" spans="1:6" hidden="1" x14ac:dyDescent="0.2">
      <c r="A230" s="46">
        <v>45665</v>
      </c>
      <c r="B230" s="33" t="s">
        <v>72</v>
      </c>
      <c r="C230" s="33">
        <v>47.8</v>
      </c>
      <c r="D230" s="33" t="s">
        <v>68</v>
      </c>
      <c r="E230" s="52" t="s">
        <v>45</v>
      </c>
      <c r="F230" s="47" t="s">
        <v>2207</v>
      </c>
    </row>
    <row r="231" spans="1:6" hidden="1" x14ac:dyDescent="0.2">
      <c r="A231" s="44">
        <v>45665</v>
      </c>
      <c r="B231" s="42" t="s">
        <v>73</v>
      </c>
      <c r="C231" s="42">
        <v>196.67</v>
      </c>
      <c r="D231" s="42" t="s">
        <v>68</v>
      </c>
      <c r="E231" s="51" t="s">
        <v>45</v>
      </c>
      <c r="F231" s="45" t="s">
        <v>2207</v>
      </c>
    </row>
    <row r="232" spans="1:6" hidden="1" x14ac:dyDescent="0.2">
      <c r="A232" s="46">
        <v>45968</v>
      </c>
      <c r="B232" s="33" t="s">
        <v>1576</v>
      </c>
      <c r="C232" s="33">
        <v>46.34</v>
      </c>
      <c r="D232" s="33" t="s">
        <v>68</v>
      </c>
      <c r="E232" s="52" t="s">
        <v>45</v>
      </c>
      <c r="F232" s="47" t="s">
        <v>2207</v>
      </c>
    </row>
    <row r="233" spans="1:6" hidden="1" x14ac:dyDescent="0.2">
      <c r="A233" s="44">
        <v>45938</v>
      </c>
      <c r="B233" s="42" t="s">
        <v>1576</v>
      </c>
      <c r="C233" s="42">
        <v>5.15</v>
      </c>
      <c r="D233" s="42" t="s">
        <v>68</v>
      </c>
      <c r="E233" s="51" t="s">
        <v>45</v>
      </c>
      <c r="F233" s="45" t="s">
        <v>2207</v>
      </c>
    </row>
    <row r="234" spans="1:6" hidden="1" x14ac:dyDescent="0.2">
      <c r="A234" s="46">
        <v>45902</v>
      </c>
      <c r="B234" s="33" t="s">
        <v>1582</v>
      </c>
      <c r="C234" s="33">
        <v>70</v>
      </c>
      <c r="D234" s="33" t="s">
        <v>79</v>
      </c>
      <c r="E234" s="52" t="s">
        <v>45</v>
      </c>
      <c r="F234" s="47" t="s">
        <v>2207</v>
      </c>
    </row>
    <row r="235" spans="1:6" hidden="1" x14ac:dyDescent="0.2">
      <c r="A235" s="44">
        <v>45870</v>
      </c>
      <c r="B235" s="42" t="s">
        <v>1582</v>
      </c>
      <c r="C235" s="42">
        <v>70</v>
      </c>
      <c r="D235" s="42" t="s">
        <v>79</v>
      </c>
      <c r="E235" s="51" t="s">
        <v>45</v>
      </c>
      <c r="F235" s="45" t="s">
        <v>2207</v>
      </c>
    </row>
    <row r="236" spans="1:6" hidden="1" x14ac:dyDescent="0.2">
      <c r="A236" s="46">
        <v>45839</v>
      </c>
      <c r="B236" s="33" t="s">
        <v>1582</v>
      </c>
      <c r="C236" s="33">
        <v>70</v>
      </c>
      <c r="D236" s="33" t="s">
        <v>79</v>
      </c>
      <c r="E236" s="52" t="s">
        <v>45</v>
      </c>
      <c r="F236" s="47" t="s">
        <v>2207</v>
      </c>
    </row>
    <row r="237" spans="1:6" hidden="1" x14ac:dyDescent="0.2">
      <c r="A237" s="44">
        <v>45810</v>
      </c>
      <c r="B237" s="42" t="s">
        <v>1582</v>
      </c>
      <c r="C237" s="42">
        <v>70</v>
      </c>
      <c r="D237" s="42" t="s">
        <v>79</v>
      </c>
      <c r="E237" s="51" t="s">
        <v>45</v>
      </c>
      <c r="F237" s="45" t="s">
        <v>2207</v>
      </c>
    </row>
    <row r="238" spans="1:6" hidden="1" x14ac:dyDescent="0.2">
      <c r="A238" s="46">
        <v>45793</v>
      </c>
      <c r="B238" s="33" t="s">
        <v>1582</v>
      </c>
      <c r="C238" s="33">
        <v>70</v>
      </c>
      <c r="D238" s="33" t="s">
        <v>79</v>
      </c>
      <c r="E238" s="52" t="s">
        <v>45</v>
      </c>
      <c r="F238" s="47" t="s">
        <v>2207</v>
      </c>
    </row>
    <row r="239" spans="1:6" hidden="1" x14ac:dyDescent="0.2">
      <c r="A239" s="44">
        <v>45748</v>
      </c>
      <c r="B239" s="42" t="s">
        <v>1582</v>
      </c>
      <c r="C239" s="42">
        <v>60</v>
      </c>
      <c r="D239" s="42" t="s">
        <v>79</v>
      </c>
      <c r="E239" s="51" t="s">
        <v>45</v>
      </c>
      <c r="F239" s="45" t="s">
        <v>2207</v>
      </c>
    </row>
    <row r="240" spans="1:6" hidden="1" x14ac:dyDescent="0.2">
      <c r="A240" s="46">
        <v>45719</v>
      </c>
      <c r="B240" s="33" t="s">
        <v>1582</v>
      </c>
      <c r="C240" s="33">
        <v>60</v>
      </c>
      <c r="D240" s="33" t="s">
        <v>79</v>
      </c>
      <c r="E240" s="52" t="s">
        <v>45</v>
      </c>
      <c r="F240" s="47" t="s">
        <v>2207</v>
      </c>
    </row>
    <row r="241" spans="1:6" hidden="1" x14ac:dyDescent="0.2">
      <c r="A241" s="44">
        <v>45694</v>
      </c>
      <c r="B241" s="42" t="s">
        <v>1582</v>
      </c>
      <c r="C241" s="42">
        <v>60</v>
      </c>
      <c r="D241" s="42" t="s">
        <v>79</v>
      </c>
      <c r="E241" s="51" t="s">
        <v>45</v>
      </c>
      <c r="F241" s="45" t="s">
        <v>2207</v>
      </c>
    </row>
    <row r="242" spans="1:6" hidden="1" x14ac:dyDescent="0.2">
      <c r="A242" s="46">
        <v>45663</v>
      </c>
      <c r="B242" s="33" t="s">
        <v>1582</v>
      </c>
      <c r="C242" s="33">
        <v>60</v>
      </c>
      <c r="D242" s="33" t="s">
        <v>79</v>
      </c>
      <c r="E242" s="52" t="s">
        <v>45</v>
      </c>
      <c r="F242" s="47" t="s">
        <v>2207</v>
      </c>
    </row>
    <row r="243" spans="1:6" hidden="1" x14ac:dyDescent="0.2">
      <c r="A243" s="44">
        <v>45782</v>
      </c>
      <c r="B243" s="42" t="s">
        <v>2011</v>
      </c>
      <c r="C243" s="42">
        <v>1200</v>
      </c>
      <c r="D243" s="42" t="s">
        <v>87</v>
      </c>
      <c r="E243" s="51" t="s">
        <v>6</v>
      </c>
      <c r="F243" s="45" t="s">
        <v>2207</v>
      </c>
    </row>
    <row r="244" spans="1:6" hidden="1" x14ac:dyDescent="0.2">
      <c r="A244" s="46">
        <v>45743</v>
      </c>
      <c r="B244" s="48" t="s">
        <v>94</v>
      </c>
      <c r="C244" s="33">
        <v>184.5</v>
      </c>
      <c r="D244" s="33" t="s">
        <v>87</v>
      </c>
      <c r="E244" s="52" t="s">
        <v>6</v>
      </c>
      <c r="F244" s="47" t="s">
        <v>2207</v>
      </c>
    </row>
    <row r="245" spans="1:6" hidden="1" x14ac:dyDescent="0.2">
      <c r="A245" s="44">
        <v>45725</v>
      </c>
      <c r="B245" s="42" t="s">
        <v>93</v>
      </c>
      <c r="C245" s="42">
        <v>12</v>
      </c>
      <c r="D245" s="42" t="s">
        <v>87</v>
      </c>
      <c r="E245" s="51" t="s">
        <v>6</v>
      </c>
      <c r="F245" s="45" t="s">
        <v>2207</v>
      </c>
    </row>
    <row r="246" spans="1:6" hidden="1" x14ac:dyDescent="0.2">
      <c r="A246" s="46">
        <v>45723</v>
      </c>
      <c r="B246" s="33" t="s">
        <v>2100</v>
      </c>
      <c r="C246" s="33">
        <v>1547.11</v>
      </c>
      <c r="D246" s="33" t="s">
        <v>87</v>
      </c>
      <c r="E246" s="52" t="s">
        <v>6</v>
      </c>
      <c r="F246" s="47" t="s">
        <v>2207</v>
      </c>
    </row>
    <row r="247" spans="1:6" hidden="1" x14ac:dyDescent="0.2">
      <c r="A247" s="44">
        <v>45711</v>
      </c>
      <c r="B247" s="42" t="s">
        <v>2011</v>
      </c>
      <c r="C247" s="42">
        <v>250</v>
      </c>
      <c r="D247" s="42" t="s">
        <v>87</v>
      </c>
      <c r="E247" s="51" t="s">
        <v>6</v>
      </c>
      <c r="F247" s="45" t="s">
        <v>2207</v>
      </c>
    </row>
    <row r="248" spans="1:6" hidden="1" x14ac:dyDescent="0.2">
      <c r="A248" s="46">
        <v>45910</v>
      </c>
      <c r="B248" s="33" t="s">
        <v>1654</v>
      </c>
      <c r="C248" s="33">
        <v>182.09</v>
      </c>
      <c r="D248" s="33" t="s">
        <v>98</v>
      </c>
      <c r="E248" s="52" t="s">
        <v>6</v>
      </c>
      <c r="F248" s="47" t="s">
        <v>2207</v>
      </c>
    </row>
    <row r="249" spans="1:6" hidden="1" x14ac:dyDescent="0.2">
      <c r="A249" s="44">
        <v>45892</v>
      </c>
      <c r="B249" s="42" t="s">
        <v>1654</v>
      </c>
      <c r="C249" s="42">
        <v>179.82</v>
      </c>
      <c r="D249" s="42" t="s">
        <v>98</v>
      </c>
      <c r="E249" s="51" t="s">
        <v>6</v>
      </c>
      <c r="F249" s="45" t="s">
        <v>2207</v>
      </c>
    </row>
    <row r="250" spans="1:6" hidden="1" x14ac:dyDescent="0.2">
      <c r="A250" s="46">
        <v>45888</v>
      </c>
      <c r="B250" s="33" t="s">
        <v>1654</v>
      </c>
      <c r="C250" s="33">
        <v>100</v>
      </c>
      <c r="D250" s="33" t="s">
        <v>98</v>
      </c>
      <c r="E250" s="52" t="s">
        <v>6</v>
      </c>
      <c r="F250" s="47" t="s">
        <v>2207</v>
      </c>
    </row>
    <row r="251" spans="1:6" hidden="1" x14ac:dyDescent="0.2">
      <c r="A251" s="44">
        <v>45885</v>
      </c>
      <c r="B251" s="42" t="s">
        <v>1586</v>
      </c>
      <c r="C251" s="42">
        <v>152.25</v>
      </c>
      <c r="D251" s="42" t="s">
        <v>98</v>
      </c>
      <c r="E251" s="51" t="s">
        <v>6</v>
      </c>
      <c r="F251" s="45" t="s">
        <v>2207</v>
      </c>
    </row>
    <row r="252" spans="1:6" hidden="1" x14ac:dyDescent="0.2">
      <c r="A252" s="46">
        <v>45883</v>
      </c>
      <c r="B252" s="33" t="s">
        <v>1654</v>
      </c>
      <c r="C252" s="33">
        <v>198.63</v>
      </c>
      <c r="D252" s="33" t="s">
        <v>98</v>
      </c>
      <c r="E252" s="52" t="s">
        <v>6</v>
      </c>
      <c r="F252" s="47" t="s">
        <v>2207</v>
      </c>
    </row>
    <row r="253" spans="1:6" hidden="1" x14ac:dyDescent="0.2">
      <c r="A253" s="44">
        <v>45883</v>
      </c>
      <c r="B253" s="42" t="s">
        <v>1728</v>
      </c>
      <c r="C253" s="42">
        <v>119.18</v>
      </c>
      <c r="D253" s="42" t="s">
        <v>98</v>
      </c>
      <c r="E253" s="51" t="s">
        <v>45</v>
      </c>
      <c r="F253" s="45" t="s">
        <v>2207</v>
      </c>
    </row>
    <row r="254" spans="1:6" hidden="1" x14ac:dyDescent="0.2">
      <c r="A254" s="46">
        <v>45870</v>
      </c>
      <c r="B254" s="33" t="s">
        <v>1654</v>
      </c>
      <c r="C254" s="33">
        <v>38.21</v>
      </c>
      <c r="D254" s="33" t="s">
        <v>98</v>
      </c>
      <c r="E254" s="52" t="s">
        <v>6</v>
      </c>
      <c r="F254" s="47" t="s">
        <v>2207</v>
      </c>
    </row>
    <row r="255" spans="1:6" hidden="1" x14ac:dyDescent="0.2">
      <c r="A255" s="44">
        <v>45863</v>
      </c>
      <c r="B255" s="62" t="s">
        <v>1801</v>
      </c>
      <c r="C255" s="42">
        <v>72.84</v>
      </c>
      <c r="D255" s="42" t="s">
        <v>98</v>
      </c>
      <c r="E255" s="51" t="s">
        <v>6</v>
      </c>
      <c r="F255" s="45" t="s">
        <v>2207</v>
      </c>
    </row>
    <row r="256" spans="1:6" hidden="1" x14ac:dyDescent="0.2">
      <c r="A256" s="46">
        <v>45863</v>
      </c>
      <c r="B256" s="48" t="s">
        <v>1801</v>
      </c>
      <c r="C256" s="33">
        <v>198.65</v>
      </c>
      <c r="D256" s="33" t="s">
        <v>98</v>
      </c>
      <c r="E256" s="52" t="s">
        <v>6</v>
      </c>
      <c r="F256" s="47" t="s">
        <v>2207</v>
      </c>
    </row>
    <row r="257" spans="1:6" hidden="1" x14ac:dyDescent="0.2">
      <c r="A257" s="44">
        <v>45862</v>
      </c>
      <c r="B257" s="42" t="s">
        <v>1654</v>
      </c>
      <c r="C257" s="42">
        <v>279.02</v>
      </c>
      <c r="D257" s="42" t="s">
        <v>98</v>
      </c>
      <c r="E257" s="51" t="s">
        <v>6</v>
      </c>
      <c r="F257" s="45" t="s">
        <v>2207</v>
      </c>
    </row>
    <row r="258" spans="1:6" hidden="1" x14ac:dyDescent="0.2">
      <c r="A258" s="46">
        <v>45854</v>
      </c>
      <c r="B258" s="33" t="s">
        <v>1654</v>
      </c>
      <c r="C258" s="33">
        <v>49.66</v>
      </c>
      <c r="D258" s="33" t="s">
        <v>98</v>
      </c>
      <c r="E258" s="52" t="s">
        <v>6</v>
      </c>
      <c r="F258" s="47" t="s">
        <v>2207</v>
      </c>
    </row>
    <row r="259" spans="1:6" hidden="1" x14ac:dyDescent="0.2">
      <c r="A259" s="44">
        <v>45848</v>
      </c>
      <c r="B259" s="42" t="s">
        <v>1844</v>
      </c>
      <c r="C259" s="42">
        <v>134.94999999999999</v>
      </c>
      <c r="D259" s="42" t="s">
        <v>98</v>
      </c>
      <c r="E259" s="51" t="s">
        <v>45</v>
      </c>
      <c r="F259" s="45" t="s">
        <v>2207</v>
      </c>
    </row>
    <row r="260" spans="1:6" hidden="1" x14ac:dyDescent="0.2">
      <c r="A260" s="46">
        <v>45847</v>
      </c>
      <c r="B260" s="33" t="s">
        <v>1586</v>
      </c>
      <c r="C260" s="33">
        <v>87.73</v>
      </c>
      <c r="D260" s="33" t="s">
        <v>98</v>
      </c>
      <c r="E260" s="52" t="s">
        <v>6</v>
      </c>
      <c r="F260" s="47" t="s">
        <v>2207</v>
      </c>
    </row>
    <row r="261" spans="1:6" hidden="1" x14ac:dyDescent="0.2">
      <c r="A261" s="44">
        <v>45842</v>
      </c>
      <c r="B261" s="42" t="s">
        <v>1654</v>
      </c>
      <c r="C261" s="42">
        <v>500</v>
      </c>
      <c r="D261" s="42" t="s">
        <v>98</v>
      </c>
      <c r="E261" s="51" t="s">
        <v>6</v>
      </c>
      <c r="F261" s="45" t="s">
        <v>2207</v>
      </c>
    </row>
    <row r="262" spans="1:6" hidden="1" x14ac:dyDescent="0.2">
      <c r="A262" s="46">
        <v>45840</v>
      </c>
      <c r="B262" s="33" t="s">
        <v>1844</v>
      </c>
      <c r="C262" s="33">
        <v>134.94999999999999</v>
      </c>
      <c r="D262" s="33" t="s">
        <v>98</v>
      </c>
      <c r="E262" s="52" t="s">
        <v>45</v>
      </c>
      <c r="F262" s="47" t="s">
        <v>2207</v>
      </c>
    </row>
    <row r="263" spans="1:6" hidden="1" x14ac:dyDescent="0.2">
      <c r="A263" s="44">
        <v>45835</v>
      </c>
      <c r="B263" s="42" t="s">
        <v>1888</v>
      </c>
      <c r="C263" s="42">
        <v>132.69999999999999</v>
      </c>
      <c r="D263" s="42" t="s">
        <v>98</v>
      </c>
      <c r="E263" s="51" t="s">
        <v>45</v>
      </c>
      <c r="F263" s="45" t="s">
        <v>2207</v>
      </c>
    </row>
    <row r="264" spans="1:6" hidden="1" x14ac:dyDescent="0.2">
      <c r="A264" s="46">
        <v>45795</v>
      </c>
      <c r="B264" s="33" t="s">
        <v>1728</v>
      </c>
      <c r="C264" s="33">
        <v>369.67</v>
      </c>
      <c r="D264" s="33" t="s">
        <v>98</v>
      </c>
      <c r="E264" s="52" t="s">
        <v>45</v>
      </c>
      <c r="F264" s="47" t="s">
        <v>2207</v>
      </c>
    </row>
    <row r="265" spans="1:6" hidden="1" x14ac:dyDescent="0.2">
      <c r="A265" s="44">
        <v>45795</v>
      </c>
      <c r="B265" s="42" t="s">
        <v>1992</v>
      </c>
      <c r="C265" s="42">
        <v>110.24</v>
      </c>
      <c r="D265" s="42" t="s">
        <v>98</v>
      </c>
      <c r="E265" s="51" t="s">
        <v>45</v>
      </c>
      <c r="F265" s="45" t="s">
        <v>2207</v>
      </c>
    </row>
    <row r="266" spans="1:6" hidden="1" x14ac:dyDescent="0.2">
      <c r="A266" s="46">
        <v>45792</v>
      </c>
      <c r="B266" s="33" t="s">
        <v>1997</v>
      </c>
      <c r="C266" s="33">
        <v>5.62</v>
      </c>
      <c r="D266" s="33" t="s">
        <v>98</v>
      </c>
      <c r="E266" s="52" t="s">
        <v>45</v>
      </c>
      <c r="F266" s="47" t="s">
        <v>2207</v>
      </c>
    </row>
    <row r="267" spans="1:6" hidden="1" x14ac:dyDescent="0.2">
      <c r="A267" s="44">
        <v>45790</v>
      </c>
      <c r="B267" s="42" t="s">
        <v>1999</v>
      </c>
      <c r="C267" s="42">
        <v>57.46</v>
      </c>
      <c r="D267" s="42" t="s">
        <v>98</v>
      </c>
      <c r="E267" s="51" t="s">
        <v>45</v>
      </c>
      <c r="F267" s="45" t="s">
        <v>2207</v>
      </c>
    </row>
    <row r="268" spans="1:6" hidden="1" x14ac:dyDescent="0.2">
      <c r="A268" s="46">
        <v>45774</v>
      </c>
      <c r="B268" s="33" t="s">
        <v>2019</v>
      </c>
      <c r="C268" s="33">
        <v>107.36</v>
      </c>
      <c r="D268" s="33" t="s">
        <v>98</v>
      </c>
      <c r="E268" s="52" t="s">
        <v>45</v>
      </c>
      <c r="F268" s="47" t="s">
        <v>2207</v>
      </c>
    </row>
    <row r="269" spans="1:6" hidden="1" x14ac:dyDescent="0.2">
      <c r="A269" s="44">
        <v>45772</v>
      </c>
      <c r="B269" s="42" t="s">
        <v>1538</v>
      </c>
      <c r="C269" s="42">
        <v>49</v>
      </c>
      <c r="D269" s="42" t="s">
        <v>98</v>
      </c>
      <c r="E269" s="51" t="s">
        <v>6</v>
      </c>
      <c r="F269" s="45" t="s">
        <v>2207</v>
      </c>
    </row>
    <row r="270" spans="1:6" hidden="1" x14ac:dyDescent="0.2">
      <c r="A270" s="46">
        <v>45772</v>
      </c>
      <c r="B270" s="48" t="s">
        <v>2023</v>
      </c>
      <c r="C270" s="33">
        <v>281.18</v>
      </c>
      <c r="D270" s="33" t="s">
        <v>98</v>
      </c>
      <c r="E270" s="52" t="s">
        <v>45</v>
      </c>
      <c r="F270" s="47" t="s">
        <v>2207</v>
      </c>
    </row>
    <row r="271" spans="1:6" hidden="1" x14ac:dyDescent="0.2">
      <c r="A271" s="44">
        <v>45752</v>
      </c>
      <c r="B271" s="42" t="s">
        <v>2048</v>
      </c>
      <c r="C271" s="42">
        <v>186.77</v>
      </c>
      <c r="D271" s="42" t="s">
        <v>98</v>
      </c>
      <c r="E271" s="51" t="s">
        <v>6</v>
      </c>
      <c r="F271" s="45" t="s">
        <v>2207</v>
      </c>
    </row>
    <row r="272" spans="1:6" hidden="1" x14ac:dyDescent="0.2">
      <c r="A272" s="46">
        <v>45751</v>
      </c>
      <c r="B272" s="33" t="s">
        <v>1586</v>
      </c>
      <c r="C272" s="33">
        <v>67.180000000000007</v>
      </c>
      <c r="D272" s="33" t="s">
        <v>98</v>
      </c>
      <c r="E272" s="52" t="s">
        <v>6</v>
      </c>
      <c r="F272" s="47" t="s">
        <v>2207</v>
      </c>
    </row>
    <row r="273" spans="1:6" hidden="1" x14ac:dyDescent="0.2">
      <c r="A273" s="44">
        <v>45744</v>
      </c>
      <c r="B273" s="42" t="s">
        <v>2059</v>
      </c>
      <c r="C273" s="42">
        <v>101.48</v>
      </c>
      <c r="D273" s="42" t="s">
        <v>98</v>
      </c>
      <c r="E273" s="51" t="s">
        <v>6</v>
      </c>
      <c r="F273" s="45" t="s">
        <v>2207</v>
      </c>
    </row>
    <row r="274" spans="1:6" hidden="1" x14ac:dyDescent="0.2">
      <c r="A274" s="46">
        <v>45741</v>
      </c>
      <c r="B274" s="33" t="s">
        <v>2065</v>
      </c>
      <c r="C274" s="33">
        <v>22.21</v>
      </c>
      <c r="D274" s="33" t="s">
        <v>98</v>
      </c>
      <c r="E274" s="52" t="s">
        <v>6</v>
      </c>
      <c r="F274" s="47" t="s">
        <v>2207</v>
      </c>
    </row>
    <row r="275" spans="1:6" hidden="1" x14ac:dyDescent="0.2">
      <c r="A275" s="44">
        <v>45740</v>
      </c>
      <c r="B275" s="42" t="s">
        <v>2067</v>
      </c>
      <c r="C275" s="42">
        <v>87.32</v>
      </c>
      <c r="D275" s="42" t="s">
        <v>98</v>
      </c>
      <c r="E275" s="51" t="s">
        <v>6</v>
      </c>
      <c r="F275" s="45" t="s">
        <v>2207</v>
      </c>
    </row>
    <row r="276" spans="1:6" hidden="1" x14ac:dyDescent="0.2">
      <c r="A276" s="46">
        <v>45739</v>
      </c>
      <c r="B276" s="33" t="s">
        <v>2073</v>
      </c>
      <c r="C276" s="33">
        <v>88.64</v>
      </c>
      <c r="D276" s="33" t="s">
        <v>98</v>
      </c>
      <c r="E276" s="52" t="s">
        <v>45</v>
      </c>
      <c r="F276" s="47" t="s">
        <v>2207</v>
      </c>
    </row>
    <row r="277" spans="1:6" hidden="1" x14ac:dyDescent="0.2">
      <c r="A277" s="44">
        <v>45737</v>
      </c>
      <c r="B277" s="42" t="s">
        <v>1654</v>
      </c>
      <c r="C277" s="42">
        <v>108.11</v>
      </c>
      <c r="D277" s="42" t="s">
        <v>98</v>
      </c>
      <c r="E277" s="51" t="s">
        <v>6</v>
      </c>
      <c r="F277" s="45" t="s">
        <v>2207</v>
      </c>
    </row>
    <row r="278" spans="1:6" hidden="1" x14ac:dyDescent="0.2">
      <c r="A278" s="46">
        <v>45729</v>
      </c>
      <c r="B278" s="33" t="s">
        <v>2086</v>
      </c>
      <c r="C278" s="33">
        <v>364.65</v>
      </c>
      <c r="D278" s="33" t="s">
        <v>98</v>
      </c>
      <c r="E278" s="52" t="s">
        <v>6</v>
      </c>
      <c r="F278" s="47" t="s">
        <v>2207</v>
      </c>
    </row>
    <row r="279" spans="1:6" hidden="1" x14ac:dyDescent="0.2">
      <c r="A279" s="44">
        <v>45727</v>
      </c>
      <c r="B279" s="62" t="s">
        <v>1801</v>
      </c>
      <c r="C279" s="42">
        <v>73.430000000000007</v>
      </c>
      <c r="D279" s="42" t="s">
        <v>98</v>
      </c>
      <c r="E279" s="51" t="s">
        <v>6</v>
      </c>
      <c r="F279" s="45" t="s">
        <v>2207</v>
      </c>
    </row>
    <row r="280" spans="1:6" hidden="1" x14ac:dyDescent="0.2">
      <c r="A280" s="46">
        <v>45715</v>
      </c>
      <c r="B280" s="33" t="s">
        <v>1586</v>
      </c>
      <c r="C280" s="33">
        <v>95.96</v>
      </c>
      <c r="D280" s="33" t="s">
        <v>98</v>
      </c>
      <c r="E280" s="52" t="s">
        <v>6</v>
      </c>
      <c r="F280" s="47" t="s">
        <v>2207</v>
      </c>
    </row>
    <row r="281" spans="1:6" hidden="1" x14ac:dyDescent="0.2">
      <c r="A281" s="44">
        <v>45711</v>
      </c>
      <c r="B281" s="42" t="s">
        <v>1728</v>
      </c>
      <c r="C281" s="42">
        <v>19.86</v>
      </c>
      <c r="D281" s="42" t="s">
        <v>98</v>
      </c>
      <c r="E281" s="51" t="s">
        <v>45</v>
      </c>
      <c r="F281" s="45" t="s">
        <v>2207</v>
      </c>
    </row>
    <row r="282" spans="1:6" hidden="1" x14ac:dyDescent="0.2">
      <c r="A282" s="46">
        <v>45704</v>
      </c>
      <c r="B282" s="33" t="s">
        <v>2119</v>
      </c>
      <c r="C282" s="33">
        <v>44.13</v>
      </c>
      <c r="D282" s="33" t="s">
        <v>98</v>
      </c>
      <c r="E282" s="52" t="s">
        <v>45</v>
      </c>
      <c r="F282" s="47" t="s">
        <v>2207</v>
      </c>
    </row>
    <row r="283" spans="1:6" hidden="1" x14ac:dyDescent="0.2">
      <c r="A283" s="44">
        <v>45663</v>
      </c>
      <c r="B283" s="42" t="s">
        <v>2119</v>
      </c>
      <c r="C283" s="42">
        <v>16.28</v>
      </c>
      <c r="D283" s="42" t="s">
        <v>98</v>
      </c>
      <c r="E283" s="51" t="s">
        <v>45</v>
      </c>
      <c r="F283" s="45" t="s">
        <v>2207</v>
      </c>
    </row>
    <row r="284" spans="1:6" hidden="1" x14ac:dyDescent="0.2">
      <c r="A284" s="46">
        <v>45662</v>
      </c>
      <c r="B284" s="33" t="s">
        <v>2181</v>
      </c>
      <c r="C284" s="33">
        <v>103.27</v>
      </c>
      <c r="D284" s="33" t="s">
        <v>98</v>
      </c>
      <c r="E284" s="52" t="s">
        <v>45</v>
      </c>
      <c r="F284" s="47" t="s">
        <v>2207</v>
      </c>
    </row>
    <row r="285" spans="1:6" hidden="1" x14ac:dyDescent="0.2">
      <c r="A285" s="44">
        <v>45662</v>
      </c>
      <c r="B285" s="42" t="s">
        <v>2181</v>
      </c>
      <c r="C285" s="42">
        <v>29.78</v>
      </c>
      <c r="D285" s="42" t="s">
        <v>98</v>
      </c>
      <c r="E285" s="51" t="s">
        <v>45</v>
      </c>
      <c r="F285" s="45" t="s">
        <v>2207</v>
      </c>
    </row>
    <row r="286" spans="1:6" hidden="1" x14ac:dyDescent="0.2">
      <c r="A286" s="46">
        <v>45962</v>
      </c>
      <c r="B286" s="33" t="s">
        <v>118</v>
      </c>
      <c r="C286" s="33">
        <v>25</v>
      </c>
      <c r="D286" s="33" t="s">
        <v>98</v>
      </c>
      <c r="E286" s="52" t="s">
        <v>45</v>
      </c>
      <c r="F286" s="47" t="s">
        <v>2207</v>
      </c>
    </row>
    <row r="287" spans="1:6" hidden="1" x14ac:dyDescent="0.2">
      <c r="A287" s="44">
        <v>45960</v>
      </c>
      <c r="B287" s="42" t="s">
        <v>109</v>
      </c>
      <c r="C287" s="42">
        <v>156.68</v>
      </c>
      <c r="D287" s="42" t="s">
        <v>98</v>
      </c>
      <c r="E287" s="51" t="s">
        <v>45</v>
      </c>
      <c r="F287" s="45" t="s">
        <v>2207</v>
      </c>
    </row>
    <row r="288" spans="1:6" hidden="1" x14ac:dyDescent="0.2">
      <c r="A288" s="46">
        <v>45960</v>
      </c>
      <c r="B288" s="33" t="s">
        <v>109</v>
      </c>
      <c r="C288" s="33">
        <v>33.11</v>
      </c>
      <c r="D288" s="33" t="s">
        <v>98</v>
      </c>
      <c r="E288" s="52" t="s">
        <v>45</v>
      </c>
      <c r="F288" s="47" t="s">
        <v>2207</v>
      </c>
    </row>
    <row r="289" spans="1:6" hidden="1" x14ac:dyDescent="0.2">
      <c r="A289" s="44">
        <v>45905</v>
      </c>
      <c r="B289" s="42" t="s">
        <v>1559</v>
      </c>
      <c r="C289" s="42">
        <v>-21348.38</v>
      </c>
      <c r="D289" s="42" t="s">
        <v>154</v>
      </c>
      <c r="E289" s="51" t="s">
        <v>6</v>
      </c>
      <c r="F289" s="45" t="s">
        <v>2207</v>
      </c>
    </row>
    <row r="290" spans="1:6" hidden="1" x14ac:dyDescent="0.2">
      <c r="A290" s="46">
        <v>45905</v>
      </c>
      <c r="B290" s="33" t="s">
        <v>1559</v>
      </c>
      <c r="C290" s="33">
        <v>-8324.11</v>
      </c>
      <c r="D290" s="33" t="s">
        <v>154</v>
      </c>
      <c r="E290" s="52" t="s">
        <v>6</v>
      </c>
      <c r="F290" s="47" t="s">
        <v>2207</v>
      </c>
    </row>
    <row r="291" spans="1:6" hidden="1" x14ac:dyDescent="0.2">
      <c r="A291" s="44">
        <v>45873</v>
      </c>
      <c r="B291" s="42" t="s">
        <v>1559</v>
      </c>
      <c r="C291" s="42">
        <v>-10000</v>
      </c>
      <c r="D291" s="42" t="s">
        <v>154</v>
      </c>
      <c r="E291" s="51" t="s">
        <v>6</v>
      </c>
      <c r="F291" s="45" t="s">
        <v>2207</v>
      </c>
    </row>
    <row r="292" spans="1:6" hidden="1" x14ac:dyDescent="0.2">
      <c r="A292" s="46">
        <v>45862</v>
      </c>
      <c r="B292" s="33" t="s">
        <v>1559</v>
      </c>
      <c r="C292" s="33">
        <v>-7408.12</v>
      </c>
      <c r="D292" s="33" t="s">
        <v>154</v>
      </c>
      <c r="E292" s="52" t="s">
        <v>6</v>
      </c>
      <c r="F292" s="47" t="s">
        <v>2207</v>
      </c>
    </row>
    <row r="293" spans="1:6" hidden="1" x14ac:dyDescent="0.2">
      <c r="A293" s="44">
        <v>45860</v>
      </c>
      <c r="B293" s="42" t="s">
        <v>1559</v>
      </c>
      <c r="C293" s="42">
        <v>-23350.85</v>
      </c>
      <c r="D293" s="42" t="s">
        <v>154</v>
      </c>
      <c r="E293" s="51" t="s">
        <v>6</v>
      </c>
      <c r="F293" s="45" t="s">
        <v>2207</v>
      </c>
    </row>
    <row r="294" spans="1:6" hidden="1" x14ac:dyDescent="0.2">
      <c r="A294" s="46">
        <v>45822</v>
      </c>
      <c r="B294" s="33" t="s">
        <v>1559</v>
      </c>
      <c r="C294" s="33">
        <v>-13188.92</v>
      </c>
      <c r="D294" s="33" t="s">
        <v>154</v>
      </c>
      <c r="E294" s="52" t="s">
        <v>6</v>
      </c>
      <c r="F294" s="47" t="s">
        <v>2207</v>
      </c>
    </row>
    <row r="295" spans="1:6" hidden="1" x14ac:dyDescent="0.2">
      <c r="A295" s="44">
        <v>45802</v>
      </c>
      <c r="B295" s="42" t="s">
        <v>1559</v>
      </c>
      <c r="C295" s="42">
        <v>-20000</v>
      </c>
      <c r="D295" s="42" t="s">
        <v>154</v>
      </c>
      <c r="E295" s="51" t="s">
        <v>6</v>
      </c>
      <c r="F295" s="45" t="s">
        <v>2207</v>
      </c>
    </row>
    <row r="296" spans="1:6" hidden="1" x14ac:dyDescent="0.2">
      <c r="A296" s="46">
        <v>45796</v>
      </c>
      <c r="B296" s="33" t="s">
        <v>1559</v>
      </c>
      <c r="C296" s="33">
        <v>-3000</v>
      </c>
      <c r="D296" s="33" t="s">
        <v>154</v>
      </c>
      <c r="E296" s="52" t="s">
        <v>6</v>
      </c>
      <c r="F296" s="47" t="s">
        <v>2207</v>
      </c>
    </row>
    <row r="297" spans="1:6" hidden="1" x14ac:dyDescent="0.2">
      <c r="A297" s="44">
        <v>45792</v>
      </c>
      <c r="B297" s="42" t="s">
        <v>1559</v>
      </c>
      <c r="C297" s="42">
        <v>-7000</v>
      </c>
      <c r="D297" s="42" t="s">
        <v>154</v>
      </c>
      <c r="E297" s="51" t="s">
        <v>6</v>
      </c>
      <c r="F297" s="45" t="s">
        <v>2207</v>
      </c>
    </row>
    <row r="298" spans="1:6" hidden="1" x14ac:dyDescent="0.2">
      <c r="A298" s="46">
        <v>45786</v>
      </c>
      <c r="B298" s="33" t="s">
        <v>1568</v>
      </c>
      <c r="C298" s="33">
        <v>100</v>
      </c>
      <c r="D298" s="33" t="s">
        <v>154</v>
      </c>
      <c r="E298" s="52" t="s">
        <v>6</v>
      </c>
      <c r="F298" s="47" t="s">
        <v>2207</v>
      </c>
    </row>
    <row r="299" spans="1:6" hidden="1" x14ac:dyDescent="0.2">
      <c r="A299" s="44">
        <v>45784</v>
      </c>
      <c r="B299" s="42" t="s">
        <v>1568</v>
      </c>
      <c r="C299" s="42">
        <v>400</v>
      </c>
      <c r="D299" s="42" t="s">
        <v>154</v>
      </c>
      <c r="E299" s="51" t="s">
        <v>6</v>
      </c>
      <c r="F299" s="45" t="s">
        <v>2207</v>
      </c>
    </row>
    <row r="300" spans="1:6" hidden="1" x14ac:dyDescent="0.2">
      <c r="A300" s="46">
        <v>45783</v>
      </c>
      <c r="B300" s="33" t="s">
        <v>1568</v>
      </c>
      <c r="C300" s="33">
        <v>400</v>
      </c>
      <c r="D300" s="33" t="s">
        <v>154</v>
      </c>
      <c r="E300" s="52" t="s">
        <v>6</v>
      </c>
      <c r="F300" s="47" t="s">
        <v>2207</v>
      </c>
    </row>
    <row r="301" spans="1:6" hidden="1" x14ac:dyDescent="0.2">
      <c r="A301" s="44">
        <v>45782</v>
      </c>
      <c r="B301" s="42" t="s">
        <v>1568</v>
      </c>
      <c r="C301" s="42">
        <v>3000</v>
      </c>
      <c r="D301" s="42" t="s">
        <v>154</v>
      </c>
      <c r="E301" s="51" t="s">
        <v>6</v>
      </c>
      <c r="F301" s="45" t="s">
        <v>2207</v>
      </c>
    </row>
    <row r="302" spans="1:6" hidden="1" x14ac:dyDescent="0.2">
      <c r="A302" s="46">
        <v>45748</v>
      </c>
      <c r="B302" s="33" t="s">
        <v>1559</v>
      </c>
      <c r="C302" s="33">
        <v>-15000</v>
      </c>
      <c r="D302" s="33" t="s">
        <v>154</v>
      </c>
      <c r="E302" s="52" t="s">
        <v>6</v>
      </c>
      <c r="F302" s="47" t="s">
        <v>2207</v>
      </c>
    </row>
    <row r="303" spans="1:6" hidden="1" x14ac:dyDescent="0.2">
      <c r="A303" s="44">
        <v>45737</v>
      </c>
      <c r="B303" s="42" t="s">
        <v>1559</v>
      </c>
      <c r="C303" s="42">
        <v>-10000</v>
      </c>
      <c r="D303" s="42" t="s">
        <v>154</v>
      </c>
      <c r="E303" s="51" t="s">
        <v>6</v>
      </c>
      <c r="F303" s="45" t="s">
        <v>2207</v>
      </c>
    </row>
    <row r="304" spans="1:6" hidden="1" x14ac:dyDescent="0.2">
      <c r="A304" s="46">
        <v>45724</v>
      </c>
      <c r="B304" s="33" t="s">
        <v>1559</v>
      </c>
      <c r="C304" s="33">
        <v>-10000</v>
      </c>
      <c r="D304" s="33" t="s">
        <v>154</v>
      </c>
      <c r="E304" s="52" t="s">
        <v>6</v>
      </c>
      <c r="F304" s="47" t="s">
        <v>2207</v>
      </c>
    </row>
    <row r="305" spans="1:6" hidden="1" x14ac:dyDescent="0.2">
      <c r="A305" s="44">
        <v>45721</v>
      </c>
      <c r="B305" s="42" t="s">
        <v>1568</v>
      </c>
      <c r="C305" s="42">
        <v>3700</v>
      </c>
      <c r="D305" s="42" t="s">
        <v>154</v>
      </c>
      <c r="E305" s="51" t="s">
        <v>6</v>
      </c>
      <c r="F305" s="45" t="s">
        <v>2207</v>
      </c>
    </row>
    <row r="306" spans="1:6" hidden="1" x14ac:dyDescent="0.2">
      <c r="A306" s="46">
        <v>45696</v>
      </c>
      <c r="B306" s="33" t="s">
        <v>1559</v>
      </c>
      <c r="C306" s="33">
        <v>-2500</v>
      </c>
      <c r="D306" s="33" t="s">
        <v>154</v>
      </c>
      <c r="E306" s="52" t="s">
        <v>6</v>
      </c>
      <c r="F306" s="47" t="s">
        <v>2207</v>
      </c>
    </row>
    <row r="307" spans="1:6" hidden="1" x14ac:dyDescent="0.2">
      <c r="A307" s="44">
        <v>45696</v>
      </c>
      <c r="B307" s="42" t="s">
        <v>1559</v>
      </c>
      <c r="C307" s="42">
        <v>-10000</v>
      </c>
      <c r="D307" s="42" t="s">
        <v>154</v>
      </c>
      <c r="E307" s="51" t="s">
        <v>6</v>
      </c>
      <c r="F307" s="45" t="s">
        <v>2207</v>
      </c>
    </row>
    <row r="308" spans="1:6" hidden="1" x14ac:dyDescent="0.2">
      <c r="A308" s="46">
        <v>45676</v>
      </c>
      <c r="B308" s="33" t="s">
        <v>1559</v>
      </c>
      <c r="C308" s="33">
        <v>-8000</v>
      </c>
      <c r="D308" s="33" t="s">
        <v>154</v>
      </c>
      <c r="E308" s="52" t="s">
        <v>6</v>
      </c>
      <c r="F308" s="47" t="s">
        <v>2207</v>
      </c>
    </row>
    <row r="309" spans="1:6" hidden="1" x14ac:dyDescent="0.2">
      <c r="A309" s="44">
        <v>45659</v>
      </c>
      <c r="B309" s="42" t="s">
        <v>1559</v>
      </c>
      <c r="C309" s="42">
        <v>-10000</v>
      </c>
      <c r="D309" s="42" t="s">
        <v>154</v>
      </c>
      <c r="E309" s="51" t="s">
        <v>6</v>
      </c>
      <c r="F309" s="45" t="s">
        <v>2207</v>
      </c>
    </row>
    <row r="310" spans="1:6" hidden="1" x14ac:dyDescent="0.2">
      <c r="A310" s="46">
        <v>45969</v>
      </c>
      <c r="B310" s="33" t="s">
        <v>1216</v>
      </c>
      <c r="C310" s="33">
        <v>94.38</v>
      </c>
      <c r="D310" s="33" t="s">
        <v>165</v>
      </c>
      <c r="E310" s="52" t="s">
        <v>45</v>
      </c>
      <c r="F310" s="47" t="s">
        <v>2207</v>
      </c>
    </row>
    <row r="311" spans="1:6" hidden="1" x14ac:dyDescent="0.2">
      <c r="A311" s="44">
        <v>45969</v>
      </c>
      <c r="B311" s="42" t="s">
        <v>459</v>
      </c>
      <c r="C311" s="42">
        <v>5.26</v>
      </c>
      <c r="D311" s="42" t="s">
        <v>165</v>
      </c>
      <c r="E311" s="51" t="s">
        <v>45</v>
      </c>
      <c r="F311" s="45" t="s">
        <v>2207</v>
      </c>
    </row>
    <row r="312" spans="1:6" hidden="1" x14ac:dyDescent="0.2">
      <c r="A312" s="46">
        <v>45943</v>
      </c>
      <c r="B312" s="33" t="s">
        <v>173</v>
      </c>
      <c r="C312" s="33">
        <v>76.09</v>
      </c>
      <c r="D312" s="33" t="s">
        <v>165</v>
      </c>
      <c r="E312" s="52" t="s">
        <v>45</v>
      </c>
      <c r="F312" s="47" t="s">
        <v>2207</v>
      </c>
    </row>
    <row r="313" spans="1:6" hidden="1" x14ac:dyDescent="0.2">
      <c r="A313" s="44">
        <v>45931</v>
      </c>
      <c r="B313" s="42" t="s">
        <v>1534</v>
      </c>
      <c r="C313" s="42">
        <v>25.06</v>
      </c>
      <c r="D313" s="42" t="s">
        <v>165</v>
      </c>
      <c r="E313" s="51" t="s">
        <v>45</v>
      </c>
      <c r="F313" s="45" t="s">
        <v>2207</v>
      </c>
    </row>
    <row r="314" spans="1:6" hidden="1" x14ac:dyDescent="0.2">
      <c r="A314" s="46">
        <v>45930</v>
      </c>
      <c r="B314" s="33" t="s">
        <v>1534</v>
      </c>
      <c r="C314" s="33">
        <v>16.600000000000001</v>
      </c>
      <c r="D314" s="33" t="s">
        <v>165</v>
      </c>
      <c r="E314" s="52" t="s">
        <v>45</v>
      </c>
      <c r="F314" s="47" t="s">
        <v>2207</v>
      </c>
    </row>
    <row r="315" spans="1:6" hidden="1" x14ac:dyDescent="0.2">
      <c r="A315" s="44">
        <v>45929</v>
      </c>
      <c r="B315" s="42" t="s">
        <v>1534</v>
      </c>
      <c r="C315" s="42">
        <v>25.06</v>
      </c>
      <c r="D315" s="42" t="s">
        <v>165</v>
      </c>
      <c r="E315" s="51" t="s">
        <v>45</v>
      </c>
      <c r="F315" s="45" t="s">
        <v>2207</v>
      </c>
    </row>
    <row r="316" spans="1:6" hidden="1" x14ac:dyDescent="0.2">
      <c r="A316" s="46">
        <v>45926</v>
      </c>
      <c r="B316" s="33" t="s">
        <v>1534</v>
      </c>
      <c r="C316" s="33">
        <v>12.99</v>
      </c>
      <c r="D316" s="33" t="s">
        <v>165</v>
      </c>
      <c r="E316" s="52" t="s">
        <v>45</v>
      </c>
      <c r="F316" s="47" t="s">
        <v>2207</v>
      </c>
    </row>
    <row r="317" spans="1:6" hidden="1" x14ac:dyDescent="0.2">
      <c r="A317" s="44">
        <v>45926</v>
      </c>
      <c r="B317" s="42" t="s">
        <v>1619</v>
      </c>
      <c r="C317" s="42">
        <v>31.45</v>
      </c>
      <c r="D317" s="42" t="s">
        <v>165</v>
      </c>
      <c r="E317" s="51" t="s">
        <v>45</v>
      </c>
      <c r="F317" s="45" t="s">
        <v>2207</v>
      </c>
    </row>
    <row r="318" spans="1:6" hidden="1" x14ac:dyDescent="0.2">
      <c r="A318" s="46">
        <v>45926</v>
      </c>
      <c r="B318" s="33" t="s">
        <v>1620</v>
      </c>
      <c r="C318" s="33">
        <v>13.13</v>
      </c>
      <c r="D318" s="33" t="s">
        <v>165</v>
      </c>
      <c r="E318" s="52" t="s">
        <v>45</v>
      </c>
      <c r="F318" s="47" t="s">
        <v>2207</v>
      </c>
    </row>
    <row r="319" spans="1:6" hidden="1" x14ac:dyDescent="0.2">
      <c r="A319" s="44">
        <v>45926</v>
      </c>
      <c r="B319" s="42" t="s">
        <v>1534</v>
      </c>
      <c r="C319" s="42">
        <v>17.25</v>
      </c>
      <c r="D319" s="42" t="s">
        <v>165</v>
      </c>
      <c r="E319" s="51" t="s">
        <v>45</v>
      </c>
      <c r="F319" s="45" t="s">
        <v>2207</v>
      </c>
    </row>
    <row r="320" spans="1:6" hidden="1" x14ac:dyDescent="0.2">
      <c r="A320" s="46">
        <v>45925</v>
      </c>
      <c r="B320" s="33" t="s">
        <v>1534</v>
      </c>
      <c r="C320" s="33">
        <v>17.25</v>
      </c>
      <c r="D320" s="33" t="s">
        <v>165</v>
      </c>
      <c r="E320" s="52" t="s">
        <v>45</v>
      </c>
      <c r="F320" s="47" t="s">
        <v>2207</v>
      </c>
    </row>
    <row r="321" spans="1:6" hidden="1" x14ac:dyDescent="0.2">
      <c r="A321" s="44">
        <v>45924</v>
      </c>
      <c r="B321" s="42" t="s">
        <v>1534</v>
      </c>
      <c r="C321" s="42">
        <v>12.37</v>
      </c>
      <c r="D321" s="42" t="s">
        <v>165</v>
      </c>
      <c r="E321" s="51" t="s">
        <v>45</v>
      </c>
      <c r="F321" s="45" t="s">
        <v>2207</v>
      </c>
    </row>
    <row r="322" spans="1:6" hidden="1" x14ac:dyDescent="0.2">
      <c r="A322" s="46">
        <v>45924</v>
      </c>
      <c r="B322" s="33" t="s">
        <v>1534</v>
      </c>
      <c r="C322" s="33">
        <v>16.600000000000001</v>
      </c>
      <c r="D322" s="33" t="s">
        <v>165</v>
      </c>
      <c r="E322" s="52" t="s">
        <v>45</v>
      </c>
      <c r="F322" s="47" t="s">
        <v>2207</v>
      </c>
    </row>
    <row r="323" spans="1:6" hidden="1" x14ac:dyDescent="0.2">
      <c r="A323" s="44">
        <v>45924</v>
      </c>
      <c r="B323" s="42" t="s">
        <v>1629</v>
      </c>
      <c r="C323" s="42">
        <v>87.96</v>
      </c>
      <c r="D323" s="42" t="s">
        <v>165</v>
      </c>
      <c r="E323" s="51" t="s">
        <v>45</v>
      </c>
      <c r="F323" s="45" t="s">
        <v>2207</v>
      </c>
    </row>
    <row r="324" spans="1:6" hidden="1" x14ac:dyDescent="0.2">
      <c r="A324" s="46">
        <v>45922</v>
      </c>
      <c r="B324" s="33" t="s">
        <v>1534</v>
      </c>
      <c r="C324" s="33">
        <v>18.88</v>
      </c>
      <c r="D324" s="33" t="s">
        <v>165</v>
      </c>
      <c r="E324" s="52" t="s">
        <v>45</v>
      </c>
      <c r="F324" s="47" t="s">
        <v>2207</v>
      </c>
    </row>
    <row r="325" spans="1:6" hidden="1" x14ac:dyDescent="0.2">
      <c r="A325" s="44">
        <v>45922</v>
      </c>
      <c r="B325" s="42" t="s">
        <v>1562</v>
      </c>
      <c r="C325" s="42">
        <v>52.99</v>
      </c>
      <c r="D325" s="42" t="s">
        <v>165</v>
      </c>
      <c r="E325" s="51" t="s">
        <v>45</v>
      </c>
      <c r="F325" s="45" t="s">
        <v>2207</v>
      </c>
    </row>
    <row r="326" spans="1:6" hidden="1" x14ac:dyDescent="0.2">
      <c r="A326" s="46">
        <v>45920</v>
      </c>
      <c r="B326" s="33" t="s">
        <v>1529</v>
      </c>
      <c r="C326" s="33">
        <v>41.22</v>
      </c>
      <c r="D326" s="33" t="s">
        <v>165</v>
      </c>
      <c r="E326" s="52" t="s">
        <v>45</v>
      </c>
      <c r="F326" s="47" t="s">
        <v>2207</v>
      </c>
    </row>
    <row r="327" spans="1:6" hidden="1" x14ac:dyDescent="0.2">
      <c r="A327" s="44">
        <v>45919</v>
      </c>
      <c r="B327" s="42" t="s">
        <v>1534</v>
      </c>
      <c r="C327" s="42">
        <v>12.37</v>
      </c>
      <c r="D327" s="42" t="s">
        <v>165</v>
      </c>
      <c r="E327" s="51" t="s">
        <v>45</v>
      </c>
      <c r="F327" s="45" t="s">
        <v>2207</v>
      </c>
    </row>
    <row r="328" spans="1:6" hidden="1" x14ac:dyDescent="0.2">
      <c r="A328" s="46">
        <v>45919</v>
      </c>
      <c r="B328" s="33" t="s">
        <v>1534</v>
      </c>
      <c r="C328" s="33">
        <v>17.25</v>
      </c>
      <c r="D328" s="33" t="s">
        <v>165</v>
      </c>
      <c r="E328" s="52" t="s">
        <v>45</v>
      </c>
      <c r="F328" s="47" t="s">
        <v>2207</v>
      </c>
    </row>
    <row r="329" spans="1:6" hidden="1" x14ac:dyDescent="0.2">
      <c r="A329" s="44">
        <v>45918</v>
      </c>
      <c r="B329" s="42" t="s">
        <v>1534</v>
      </c>
      <c r="C329" s="42">
        <v>18.88</v>
      </c>
      <c r="D329" s="42" t="s">
        <v>165</v>
      </c>
      <c r="E329" s="51" t="s">
        <v>45</v>
      </c>
      <c r="F329" s="45" t="s">
        <v>2207</v>
      </c>
    </row>
    <row r="330" spans="1:6" hidden="1" x14ac:dyDescent="0.2">
      <c r="A330" s="46">
        <v>45918</v>
      </c>
      <c r="B330" s="33" t="s">
        <v>1619</v>
      </c>
      <c r="C330" s="33">
        <v>32.44</v>
      </c>
      <c r="D330" s="33" t="s">
        <v>165</v>
      </c>
      <c r="E330" s="52" t="s">
        <v>45</v>
      </c>
      <c r="F330" s="47" t="s">
        <v>2207</v>
      </c>
    </row>
    <row r="331" spans="1:6" hidden="1" x14ac:dyDescent="0.2">
      <c r="A331" s="44">
        <v>45917</v>
      </c>
      <c r="B331" s="42" t="s">
        <v>1534</v>
      </c>
      <c r="C331" s="42">
        <v>12.37</v>
      </c>
      <c r="D331" s="42" t="s">
        <v>165</v>
      </c>
      <c r="E331" s="51" t="s">
        <v>45</v>
      </c>
      <c r="F331" s="45" t="s">
        <v>2207</v>
      </c>
    </row>
    <row r="332" spans="1:6" hidden="1" x14ac:dyDescent="0.2">
      <c r="A332" s="46">
        <v>45917</v>
      </c>
      <c r="B332" s="33" t="s">
        <v>1534</v>
      </c>
      <c r="C332" s="33">
        <v>17.25</v>
      </c>
      <c r="D332" s="33" t="s">
        <v>165</v>
      </c>
      <c r="E332" s="52" t="s">
        <v>45</v>
      </c>
      <c r="F332" s="47" t="s">
        <v>2207</v>
      </c>
    </row>
    <row r="333" spans="1:6" hidden="1" x14ac:dyDescent="0.2">
      <c r="A333" s="44">
        <v>45916</v>
      </c>
      <c r="B333" s="42" t="s">
        <v>1534</v>
      </c>
      <c r="C333" s="42">
        <v>20.18</v>
      </c>
      <c r="D333" s="42" t="s">
        <v>165</v>
      </c>
      <c r="E333" s="51" t="s">
        <v>45</v>
      </c>
      <c r="F333" s="45" t="s">
        <v>2207</v>
      </c>
    </row>
    <row r="334" spans="1:6" hidden="1" x14ac:dyDescent="0.2">
      <c r="A334" s="46">
        <v>45915</v>
      </c>
      <c r="B334" s="33" t="s">
        <v>1534</v>
      </c>
      <c r="C334" s="33">
        <v>4.8600000000000003</v>
      </c>
      <c r="D334" s="33" t="s">
        <v>165</v>
      </c>
      <c r="E334" s="52" t="s">
        <v>45</v>
      </c>
      <c r="F334" s="47" t="s">
        <v>2207</v>
      </c>
    </row>
    <row r="335" spans="1:6" hidden="1" x14ac:dyDescent="0.2">
      <c r="A335" s="44">
        <v>45915</v>
      </c>
      <c r="B335" s="42" t="s">
        <v>1562</v>
      </c>
      <c r="C335" s="42">
        <v>60.18</v>
      </c>
      <c r="D335" s="42" t="s">
        <v>165</v>
      </c>
      <c r="E335" s="51" t="s">
        <v>45</v>
      </c>
      <c r="F335" s="45" t="s">
        <v>2207</v>
      </c>
    </row>
    <row r="336" spans="1:6" hidden="1" x14ac:dyDescent="0.2">
      <c r="A336" s="46">
        <v>45915</v>
      </c>
      <c r="B336" s="33" t="s">
        <v>1534</v>
      </c>
      <c r="C336" s="33">
        <v>17.25</v>
      </c>
      <c r="D336" s="33" t="s">
        <v>165</v>
      </c>
      <c r="E336" s="52" t="s">
        <v>45</v>
      </c>
      <c r="F336" s="47" t="s">
        <v>2207</v>
      </c>
    </row>
    <row r="337" spans="1:6" hidden="1" x14ac:dyDescent="0.2">
      <c r="A337" s="44">
        <v>45914</v>
      </c>
      <c r="B337" s="42" t="s">
        <v>1529</v>
      </c>
      <c r="C337" s="42">
        <v>51.31</v>
      </c>
      <c r="D337" s="42" t="s">
        <v>165</v>
      </c>
      <c r="E337" s="51" t="s">
        <v>45</v>
      </c>
      <c r="F337" s="45" t="s">
        <v>2207</v>
      </c>
    </row>
    <row r="338" spans="1:6" hidden="1" x14ac:dyDescent="0.2">
      <c r="A338" s="46">
        <v>45912</v>
      </c>
      <c r="B338" s="33" t="s">
        <v>1534</v>
      </c>
      <c r="C338" s="33">
        <v>17.25</v>
      </c>
      <c r="D338" s="33" t="s">
        <v>165</v>
      </c>
      <c r="E338" s="52" t="s">
        <v>45</v>
      </c>
      <c r="F338" s="47" t="s">
        <v>2207</v>
      </c>
    </row>
    <row r="339" spans="1:6" hidden="1" x14ac:dyDescent="0.2">
      <c r="A339" s="44">
        <v>45910</v>
      </c>
      <c r="B339" s="42" t="s">
        <v>1534</v>
      </c>
      <c r="C339" s="42">
        <v>21.81</v>
      </c>
      <c r="D339" s="42" t="s">
        <v>165</v>
      </c>
      <c r="E339" s="51" t="s">
        <v>45</v>
      </c>
      <c r="F339" s="45" t="s">
        <v>2207</v>
      </c>
    </row>
    <row r="340" spans="1:6" hidden="1" x14ac:dyDescent="0.2">
      <c r="A340" s="46">
        <v>45910</v>
      </c>
      <c r="B340" s="33" t="s">
        <v>1534</v>
      </c>
      <c r="C340" s="33">
        <v>21.81</v>
      </c>
      <c r="D340" s="33" t="s">
        <v>165</v>
      </c>
      <c r="E340" s="52" t="s">
        <v>45</v>
      </c>
      <c r="F340" s="47" t="s">
        <v>2207</v>
      </c>
    </row>
    <row r="341" spans="1:6" hidden="1" x14ac:dyDescent="0.2">
      <c r="A341" s="44">
        <v>45908</v>
      </c>
      <c r="B341" s="42" t="s">
        <v>1534</v>
      </c>
      <c r="C341" s="42">
        <v>10.76</v>
      </c>
      <c r="D341" s="42" t="s">
        <v>165</v>
      </c>
      <c r="E341" s="51" t="s">
        <v>45</v>
      </c>
      <c r="F341" s="45" t="s">
        <v>2207</v>
      </c>
    </row>
    <row r="342" spans="1:6" hidden="1" x14ac:dyDescent="0.2">
      <c r="A342" s="46">
        <v>45908</v>
      </c>
      <c r="B342" s="33" t="s">
        <v>1534</v>
      </c>
      <c r="C342" s="33">
        <v>12.05</v>
      </c>
      <c r="D342" s="33" t="s">
        <v>165</v>
      </c>
      <c r="E342" s="52" t="s">
        <v>45</v>
      </c>
      <c r="F342" s="47" t="s">
        <v>2207</v>
      </c>
    </row>
    <row r="343" spans="1:6" hidden="1" x14ac:dyDescent="0.2">
      <c r="A343" s="44">
        <v>45908</v>
      </c>
      <c r="B343" s="42" t="s">
        <v>1529</v>
      </c>
      <c r="C343" s="42">
        <v>22.81</v>
      </c>
      <c r="D343" s="42" t="s">
        <v>165</v>
      </c>
      <c r="E343" s="51" t="s">
        <v>45</v>
      </c>
      <c r="F343" s="45" t="s">
        <v>2207</v>
      </c>
    </row>
    <row r="344" spans="1:6" hidden="1" x14ac:dyDescent="0.2">
      <c r="A344" s="46">
        <v>45905</v>
      </c>
      <c r="B344" s="33" t="s">
        <v>1534</v>
      </c>
      <c r="C344" s="33">
        <v>12.37</v>
      </c>
      <c r="D344" s="33" t="s">
        <v>165</v>
      </c>
      <c r="E344" s="52" t="s">
        <v>45</v>
      </c>
      <c r="F344" s="47" t="s">
        <v>2207</v>
      </c>
    </row>
    <row r="345" spans="1:6" hidden="1" x14ac:dyDescent="0.2">
      <c r="A345" s="44">
        <v>45905</v>
      </c>
      <c r="B345" s="42" t="s">
        <v>1534</v>
      </c>
      <c r="C345" s="42">
        <v>18.88</v>
      </c>
      <c r="D345" s="42" t="s">
        <v>165</v>
      </c>
      <c r="E345" s="51" t="s">
        <v>45</v>
      </c>
      <c r="F345" s="45" t="s">
        <v>2207</v>
      </c>
    </row>
    <row r="346" spans="1:6" hidden="1" x14ac:dyDescent="0.2">
      <c r="A346" s="46">
        <v>45903</v>
      </c>
      <c r="B346" s="33" t="s">
        <v>1562</v>
      </c>
      <c r="C346" s="33">
        <v>29.54</v>
      </c>
      <c r="D346" s="33" t="s">
        <v>165</v>
      </c>
      <c r="E346" s="52" t="s">
        <v>45</v>
      </c>
      <c r="F346" s="47" t="s">
        <v>2207</v>
      </c>
    </row>
    <row r="347" spans="1:6" hidden="1" x14ac:dyDescent="0.2">
      <c r="A347" s="44">
        <v>45903</v>
      </c>
      <c r="B347" s="42" t="s">
        <v>1665</v>
      </c>
      <c r="C347" s="42">
        <v>15.96</v>
      </c>
      <c r="D347" s="42" t="s">
        <v>165</v>
      </c>
      <c r="E347" s="51" t="s">
        <v>45</v>
      </c>
      <c r="F347" s="45" t="s">
        <v>2207</v>
      </c>
    </row>
    <row r="348" spans="1:6" hidden="1" x14ac:dyDescent="0.2">
      <c r="A348" s="46">
        <v>45902</v>
      </c>
      <c r="B348" s="33" t="s">
        <v>1666</v>
      </c>
      <c r="C348" s="33">
        <v>17.66</v>
      </c>
      <c r="D348" s="33" t="s">
        <v>165</v>
      </c>
      <c r="E348" s="52" t="s">
        <v>45</v>
      </c>
      <c r="F348" s="47" t="s">
        <v>2207</v>
      </c>
    </row>
    <row r="349" spans="1:6" hidden="1" x14ac:dyDescent="0.2">
      <c r="A349" s="44">
        <v>45902</v>
      </c>
      <c r="B349" s="42" t="s">
        <v>1529</v>
      </c>
      <c r="C349" s="42">
        <v>53.97</v>
      </c>
      <c r="D349" s="42" t="s">
        <v>165</v>
      </c>
      <c r="E349" s="51" t="s">
        <v>45</v>
      </c>
      <c r="F349" s="45" t="s">
        <v>2207</v>
      </c>
    </row>
    <row r="350" spans="1:6" hidden="1" x14ac:dyDescent="0.2">
      <c r="A350" s="46">
        <v>45902</v>
      </c>
      <c r="B350" s="33" t="s">
        <v>1667</v>
      </c>
      <c r="C350" s="33">
        <v>16.989999999999998</v>
      </c>
      <c r="D350" s="33" t="s">
        <v>165</v>
      </c>
      <c r="E350" s="52" t="s">
        <v>45</v>
      </c>
      <c r="F350" s="47" t="s">
        <v>2207</v>
      </c>
    </row>
    <row r="351" spans="1:6" hidden="1" x14ac:dyDescent="0.2">
      <c r="A351" s="44">
        <v>45901</v>
      </c>
      <c r="B351" s="42" t="s">
        <v>1671</v>
      </c>
      <c r="C351" s="42">
        <v>75</v>
      </c>
      <c r="D351" s="42" t="s">
        <v>165</v>
      </c>
      <c r="E351" s="51" t="s">
        <v>45</v>
      </c>
      <c r="F351" s="45" t="s">
        <v>2207</v>
      </c>
    </row>
    <row r="352" spans="1:6" hidden="1" x14ac:dyDescent="0.2">
      <c r="A352" s="46">
        <v>45898</v>
      </c>
      <c r="B352" s="33" t="s">
        <v>1562</v>
      </c>
      <c r="C352" s="33">
        <v>46.98</v>
      </c>
      <c r="D352" s="33" t="s">
        <v>165</v>
      </c>
      <c r="E352" s="52" t="s">
        <v>45</v>
      </c>
      <c r="F352" s="47" t="s">
        <v>2207</v>
      </c>
    </row>
    <row r="353" spans="1:6" hidden="1" x14ac:dyDescent="0.2">
      <c r="A353" s="44">
        <v>45897</v>
      </c>
      <c r="B353" s="42" t="s">
        <v>1529</v>
      </c>
      <c r="C353" s="42">
        <v>59.69</v>
      </c>
      <c r="D353" s="42" t="s">
        <v>165</v>
      </c>
      <c r="E353" s="51" t="s">
        <v>45</v>
      </c>
      <c r="F353" s="45" t="s">
        <v>2207</v>
      </c>
    </row>
    <row r="354" spans="1:6" hidden="1" x14ac:dyDescent="0.2">
      <c r="A354" s="46">
        <v>45896</v>
      </c>
      <c r="B354" s="33" t="s">
        <v>1529</v>
      </c>
      <c r="C354" s="33">
        <v>37.06</v>
      </c>
      <c r="D354" s="33" t="s">
        <v>165</v>
      </c>
      <c r="E354" s="52" t="s">
        <v>45</v>
      </c>
      <c r="F354" s="47" t="s">
        <v>2207</v>
      </c>
    </row>
    <row r="355" spans="1:6" hidden="1" x14ac:dyDescent="0.2">
      <c r="A355" s="44">
        <v>45896</v>
      </c>
      <c r="B355" s="42" t="s">
        <v>1619</v>
      </c>
      <c r="C355" s="42">
        <v>30.9</v>
      </c>
      <c r="D355" s="42" t="s">
        <v>165</v>
      </c>
      <c r="E355" s="51" t="s">
        <v>45</v>
      </c>
      <c r="F355" s="45" t="s">
        <v>2207</v>
      </c>
    </row>
    <row r="356" spans="1:6" hidden="1" x14ac:dyDescent="0.2">
      <c r="A356" s="46">
        <v>45895</v>
      </c>
      <c r="B356" s="33" t="s">
        <v>1693</v>
      </c>
      <c r="C356" s="33">
        <v>21.96</v>
      </c>
      <c r="D356" s="33" t="s">
        <v>165</v>
      </c>
      <c r="E356" s="52" t="s">
        <v>45</v>
      </c>
      <c r="F356" s="47" t="s">
        <v>2207</v>
      </c>
    </row>
    <row r="357" spans="1:6" hidden="1" x14ac:dyDescent="0.2">
      <c r="A357" s="44">
        <v>45895</v>
      </c>
      <c r="B357" s="42" t="s">
        <v>1562</v>
      </c>
      <c r="C357" s="42">
        <v>63.32</v>
      </c>
      <c r="D357" s="42" t="s">
        <v>165</v>
      </c>
      <c r="E357" s="51" t="s">
        <v>45</v>
      </c>
      <c r="F357" s="45" t="s">
        <v>2207</v>
      </c>
    </row>
    <row r="358" spans="1:6" hidden="1" x14ac:dyDescent="0.2">
      <c r="A358" s="46">
        <v>45893</v>
      </c>
      <c r="B358" s="33" t="s">
        <v>1697</v>
      </c>
      <c r="C358" s="33">
        <v>14.69</v>
      </c>
      <c r="D358" s="33" t="s">
        <v>165</v>
      </c>
      <c r="E358" s="52" t="s">
        <v>45</v>
      </c>
      <c r="F358" s="47" t="s">
        <v>2207</v>
      </c>
    </row>
    <row r="359" spans="1:6" hidden="1" x14ac:dyDescent="0.2">
      <c r="A359" s="44">
        <v>45890</v>
      </c>
      <c r="B359" s="42" t="s">
        <v>1702</v>
      </c>
      <c r="C359" s="42">
        <v>16.350000000000001</v>
      </c>
      <c r="D359" s="42" t="s">
        <v>165</v>
      </c>
      <c r="E359" s="51" t="s">
        <v>45</v>
      </c>
      <c r="F359" s="45" t="s">
        <v>2207</v>
      </c>
    </row>
    <row r="360" spans="1:6" hidden="1" x14ac:dyDescent="0.2">
      <c r="A360" s="46">
        <v>45887</v>
      </c>
      <c r="B360" s="33" t="s">
        <v>1562</v>
      </c>
      <c r="C360" s="33">
        <v>29.51</v>
      </c>
      <c r="D360" s="33" t="s">
        <v>165</v>
      </c>
      <c r="E360" s="52" t="s">
        <v>45</v>
      </c>
      <c r="F360" s="47" t="s">
        <v>2207</v>
      </c>
    </row>
    <row r="361" spans="1:6" hidden="1" x14ac:dyDescent="0.2">
      <c r="A361" s="44">
        <v>45886</v>
      </c>
      <c r="B361" s="42" t="s">
        <v>1715</v>
      </c>
      <c r="C361" s="42">
        <v>57</v>
      </c>
      <c r="D361" s="42" t="s">
        <v>165</v>
      </c>
      <c r="E361" s="51" t="s">
        <v>45</v>
      </c>
      <c r="F361" s="45" t="s">
        <v>2207</v>
      </c>
    </row>
    <row r="362" spans="1:6" hidden="1" x14ac:dyDescent="0.2">
      <c r="A362" s="46">
        <v>45885</v>
      </c>
      <c r="B362" s="33" t="s">
        <v>1605</v>
      </c>
      <c r="C362" s="33">
        <v>18.72</v>
      </c>
      <c r="D362" s="33" t="s">
        <v>165</v>
      </c>
      <c r="E362" s="52" t="s">
        <v>45</v>
      </c>
      <c r="F362" s="47" t="s">
        <v>2207</v>
      </c>
    </row>
    <row r="363" spans="1:6" hidden="1" x14ac:dyDescent="0.2">
      <c r="A363" s="44">
        <v>45885</v>
      </c>
      <c r="B363" s="42" t="s">
        <v>1717</v>
      </c>
      <c r="C363" s="42">
        <v>12.41</v>
      </c>
      <c r="D363" s="42" t="s">
        <v>165</v>
      </c>
      <c r="E363" s="51" t="s">
        <v>45</v>
      </c>
      <c r="F363" s="45" t="s">
        <v>2207</v>
      </c>
    </row>
    <row r="364" spans="1:6" hidden="1" x14ac:dyDescent="0.2">
      <c r="A364" s="46">
        <v>45883</v>
      </c>
      <c r="B364" s="33" t="s">
        <v>1587</v>
      </c>
      <c r="C364" s="33">
        <v>11.02</v>
      </c>
      <c r="D364" s="33" t="s">
        <v>165</v>
      </c>
      <c r="E364" s="52" t="s">
        <v>45</v>
      </c>
      <c r="F364" s="47" t="s">
        <v>2207</v>
      </c>
    </row>
    <row r="365" spans="1:6" hidden="1" x14ac:dyDescent="0.2">
      <c r="A365" s="44">
        <v>45883</v>
      </c>
      <c r="B365" s="42" t="s">
        <v>1667</v>
      </c>
      <c r="C365" s="42">
        <v>10.98</v>
      </c>
      <c r="D365" s="42" t="s">
        <v>165</v>
      </c>
      <c r="E365" s="51" t="s">
        <v>45</v>
      </c>
      <c r="F365" s="45" t="s">
        <v>2207</v>
      </c>
    </row>
    <row r="366" spans="1:6" hidden="1" x14ac:dyDescent="0.2">
      <c r="A366" s="46">
        <v>45882</v>
      </c>
      <c r="B366" s="33" t="s">
        <v>1730</v>
      </c>
      <c r="C366" s="33">
        <v>12.05</v>
      </c>
      <c r="D366" s="33" t="s">
        <v>165</v>
      </c>
      <c r="E366" s="52" t="s">
        <v>45</v>
      </c>
      <c r="F366" s="47" t="s">
        <v>2207</v>
      </c>
    </row>
    <row r="367" spans="1:6" hidden="1" x14ac:dyDescent="0.2">
      <c r="A367" s="44">
        <v>45881</v>
      </c>
      <c r="B367" s="42" t="s">
        <v>1529</v>
      </c>
      <c r="C367" s="42">
        <v>16.55</v>
      </c>
      <c r="D367" s="42" t="s">
        <v>165</v>
      </c>
      <c r="E367" s="51" t="s">
        <v>45</v>
      </c>
      <c r="F367" s="45" t="s">
        <v>2207</v>
      </c>
    </row>
    <row r="368" spans="1:6" hidden="1" x14ac:dyDescent="0.2">
      <c r="A368" s="46">
        <v>45881</v>
      </c>
      <c r="B368" s="33" t="s">
        <v>1529</v>
      </c>
      <c r="C368" s="33">
        <v>36.29</v>
      </c>
      <c r="D368" s="33" t="s">
        <v>165</v>
      </c>
      <c r="E368" s="52" t="s">
        <v>45</v>
      </c>
      <c r="F368" s="47" t="s">
        <v>2207</v>
      </c>
    </row>
    <row r="369" spans="1:6" hidden="1" x14ac:dyDescent="0.2">
      <c r="A369" s="44">
        <v>45880</v>
      </c>
      <c r="B369" s="42" t="s">
        <v>1619</v>
      </c>
      <c r="C369" s="42">
        <v>13.41</v>
      </c>
      <c r="D369" s="42" t="s">
        <v>165</v>
      </c>
      <c r="E369" s="51" t="s">
        <v>45</v>
      </c>
      <c r="F369" s="45" t="s">
        <v>2207</v>
      </c>
    </row>
    <row r="370" spans="1:6" hidden="1" x14ac:dyDescent="0.2">
      <c r="A370" s="46">
        <v>45880</v>
      </c>
      <c r="B370" s="33" t="s">
        <v>1619</v>
      </c>
      <c r="C370" s="33">
        <v>18.87</v>
      </c>
      <c r="D370" s="33" t="s">
        <v>165</v>
      </c>
      <c r="E370" s="52" t="s">
        <v>45</v>
      </c>
      <c r="F370" s="47" t="s">
        <v>2207</v>
      </c>
    </row>
    <row r="371" spans="1:6" hidden="1" x14ac:dyDescent="0.2">
      <c r="A371" s="44">
        <v>45878</v>
      </c>
      <c r="B371" s="62" t="s">
        <v>1744</v>
      </c>
      <c r="C371" s="42">
        <v>100.51</v>
      </c>
      <c r="D371" s="42" t="s">
        <v>165</v>
      </c>
      <c r="E371" s="51" t="s">
        <v>45</v>
      </c>
      <c r="F371" s="45" t="s">
        <v>2207</v>
      </c>
    </row>
    <row r="372" spans="1:6" hidden="1" x14ac:dyDescent="0.2">
      <c r="A372" s="46">
        <v>45878</v>
      </c>
      <c r="B372" s="33" t="s">
        <v>1667</v>
      </c>
      <c r="C372" s="33">
        <v>9.32</v>
      </c>
      <c r="D372" s="33" t="s">
        <v>165</v>
      </c>
      <c r="E372" s="52" t="s">
        <v>45</v>
      </c>
      <c r="F372" s="47" t="s">
        <v>2207</v>
      </c>
    </row>
    <row r="373" spans="1:6" hidden="1" x14ac:dyDescent="0.2">
      <c r="A373" s="44">
        <v>45871</v>
      </c>
      <c r="B373" s="42" t="s">
        <v>1629</v>
      </c>
      <c r="C373" s="42">
        <v>139.11000000000001</v>
      </c>
      <c r="D373" s="42" t="s">
        <v>165</v>
      </c>
      <c r="E373" s="51" t="s">
        <v>45</v>
      </c>
      <c r="F373" s="45" t="s">
        <v>2207</v>
      </c>
    </row>
    <row r="374" spans="1:6" hidden="1" x14ac:dyDescent="0.2">
      <c r="A374" s="46">
        <v>45870</v>
      </c>
      <c r="B374" s="33" t="s">
        <v>1619</v>
      </c>
      <c r="C374" s="33">
        <v>28.97</v>
      </c>
      <c r="D374" s="33" t="s">
        <v>165</v>
      </c>
      <c r="E374" s="52" t="s">
        <v>45</v>
      </c>
      <c r="F374" s="47" t="s">
        <v>2207</v>
      </c>
    </row>
    <row r="375" spans="1:6" hidden="1" x14ac:dyDescent="0.2">
      <c r="A375" s="44">
        <v>45864</v>
      </c>
      <c r="B375" s="42" t="s">
        <v>1796</v>
      </c>
      <c r="C375" s="42">
        <v>15.89</v>
      </c>
      <c r="D375" s="42" t="s">
        <v>165</v>
      </c>
      <c r="E375" s="51" t="s">
        <v>45</v>
      </c>
      <c r="F375" s="45" t="s">
        <v>2207</v>
      </c>
    </row>
    <row r="376" spans="1:6" hidden="1" x14ac:dyDescent="0.2">
      <c r="A376" s="46">
        <v>45862</v>
      </c>
      <c r="B376" s="33" t="s">
        <v>1697</v>
      </c>
      <c r="C376" s="33">
        <v>13.48</v>
      </c>
      <c r="D376" s="33" t="s">
        <v>165</v>
      </c>
      <c r="E376" s="52" t="s">
        <v>45</v>
      </c>
      <c r="F376" s="47" t="s">
        <v>2207</v>
      </c>
    </row>
    <row r="377" spans="1:6" hidden="1" x14ac:dyDescent="0.2">
      <c r="A377" s="44">
        <v>45856</v>
      </c>
      <c r="B377" s="42" t="s">
        <v>1822</v>
      </c>
      <c r="C377" s="42">
        <v>12.99</v>
      </c>
      <c r="D377" s="42" t="s">
        <v>165</v>
      </c>
      <c r="E377" s="51" t="s">
        <v>45</v>
      </c>
      <c r="F377" s="45" t="s">
        <v>2207</v>
      </c>
    </row>
    <row r="378" spans="1:6" hidden="1" x14ac:dyDescent="0.2">
      <c r="A378" s="46">
        <v>45855</v>
      </c>
      <c r="B378" s="33" t="s">
        <v>1702</v>
      </c>
      <c r="C378" s="33">
        <v>13.48</v>
      </c>
      <c r="D378" s="33" t="s">
        <v>165</v>
      </c>
      <c r="E378" s="52" t="s">
        <v>45</v>
      </c>
      <c r="F378" s="47" t="s">
        <v>2207</v>
      </c>
    </row>
    <row r="379" spans="1:6" hidden="1" x14ac:dyDescent="0.2">
      <c r="A379" s="44">
        <v>45853</v>
      </c>
      <c r="B379" s="42" t="s">
        <v>1629</v>
      </c>
      <c r="C379" s="42">
        <v>99.04</v>
      </c>
      <c r="D379" s="42" t="s">
        <v>165</v>
      </c>
      <c r="E379" s="51" t="s">
        <v>45</v>
      </c>
      <c r="F379" s="45" t="s">
        <v>2207</v>
      </c>
    </row>
    <row r="380" spans="1:6" hidden="1" x14ac:dyDescent="0.2">
      <c r="A380" s="46">
        <v>45847</v>
      </c>
      <c r="B380" s="33" t="s">
        <v>1848</v>
      </c>
      <c r="C380" s="33">
        <v>6.38</v>
      </c>
      <c r="D380" s="33" t="s">
        <v>165</v>
      </c>
      <c r="E380" s="52" t="s">
        <v>45</v>
      </c>
      <c r="F380" s="47" t="s">
        <v>2207</v>
      </c>
    </row>
    <row r="381" spans="1:6" hidden="1" x14ac:dyDescent="0.2">
      <c r="A381" s="44">
        <v>45847</v>
      </c>
      <c r="B381" s="42" t="s">
        <v>1849</v>
      </c>
      <c r="C381" s="42">
        <v>14.5</v>
      </c>
      <c r="D381" s="42" t="s">
        <v>165</v>
      </c>
      <c r="E381" s="51" t="s">
        <v>45</v>
      </c>
      <c r="F381" s="45" t="s">
        <v>2207</v>
      </c>
    </row>
    <row r="382" spans="1:6" hidden="1" x14ac:dyDescent="0.2">
      <c r="A382" s="46">
        <v>45847</v>
      </c>
      <c r="B382" s="33" t="s">
        <v>1850</v>
      </c>
      <c r="C382" s="33">
        <v>23.18</v>
      </c>
      <c r="D382" s="33" t="s">
        <v>165</v>
      </c>
      <c r="E382" s="52" t="s">
        <v>45</v>
      </c>
      <c r="F382" s="47" t="s">
        <v>2207</v>
      </c>
    </row>
    <row r="383" spans="1:6" hidden="1" x14ac:dyDescent="0.2">
      <c r="A383" s="44">
        <v>45847</v>
      </c>
      <c r="B383" s="42" t="s">
        <v>1850</v>
      </c>
      <c r="C383" s="42">
        <v>7.07</v>
      </c>
      <c r="D383" s="42" t="s">
        <v>165</v>
      </c>
      <c r="E383" s="51" t="s">
        <v>45</v>
      </c>
      <c r="F383" s="45" t="s">
        <v>2207</v>
      </c>
    </row>
    <row r="384" spans="1:6" hidden="1" x14ac:dyDescent="0.2">
      <c r="A384" s="46">
        <v>45847</v>
      </c>
      <c r="B384" s="33" t="s">
        <v>1850</v>
      </c>
      <c r="C384" s="33">
        <v>125.66</v>
      </c>
      <c r="D384" s="33" t="s">
        <v>165</v>
      </c>
      <c r="E384" s="52" t="s">
        <v>45</v>
      </c>
      <c r="F384" s="47" t="s">
        <v>2207</v>
      </c>
    </row>
    <row r="385" spans="1:6" hidden="1" x14ac:dyDescent="0.2">
      <c r="A385" s="44">
        <v>45847</v>
      </c>
      <c r="B385" s="42" t="s">
        <v>1850</v>
      </c>
      <c r="C385" s="42">
        <v>18.88</v>
      </c>
      <c r="D385" s="42" t="s">
        <v>165</v>
      </c>
      <c r="E385" s="51" t="s">
        <v>45</v>
      </c>
      <c r="F385" s="45" t="s">
        <v>2207</v>
      </c>
    </row>
    <row r="386" spans="1:6" hidden="1" x14ac:dyDescent="0.2">
      <c r="A386" s="46">
        <v>45845</v>
      </c>
      <c r="B386" s="33" t="s">
        <v>1693</v>
      </c>
      <c r="C386" s="33">
        <v>9.1199999999999992</v>
      </c>
      <c r="D386" s="33" t="s">
        <v>165</v>
      </c>
      <c r="E386" s="52" t="s">
        <v>45</v>
      </c>
      <c r="F386" s="47" t="s">
        <v>2207</v>
      </c>
    </row>
    <row r="387" spans="1:6" hidden="1" x14ac:dyDescent="0.2">
      <c r="A387" s="44">
        <v>45845</v>
      </c>
      <c r="B387" s="42" t="s">
        <v>1587</v>
      </c>
      <c r="C387" s="42">
        <v>11.12</v>
      </c>
      <c r="D387" s="42" t="s">
        <v>165</v>
      </c>
      <c r="E387" s="51" t="s">
        <v>45</v>
      </c>
      <c r="F387" s="45" t="s">
        <v>2207</v>
      </c>
    </row>
    <row r="388" spans="1:6" hidden="1" x14ac:dyDescent="0.2">
      <c r="A388" s="46">
        <v>45844</v>
      </c>
      <c r="B388" s="33" t="s">
        <v>1855</v>
      </c>
      <c r="C388" s="33">
        <v>6</v>
      </c>
      <c r="D388" s="33" t="s">
        <v>165</v>
      </c>
      <c r="E388" s="52" t="s">
        <v>45</v>
      </c>
      <c r="F388" s="47" t="s">
        <v>2207</v>
      </c>
    </row>
    <row r="389" spans="1:6" hidden="1" x14ac:dyDescent="0.2">
      <c r="A389" s="44">
        <v>45843</v>
      </c>
      <c r="B389" s="42" t="s">
        <v>1587</v>
      </c>
      <c r="C389" s="42">
        <v>12.98</v>
      </c>
      <c r="D389" s="42" t="s">
        <v>165</v>
      </c>
      <c r="E389" s="51" t="s">
        <v>45</v>
      </c>
      <c r="F389" s="45" t="s">
        <v>2207</v>
      </c>
    </row>
    <row r="390" spans="1:6" hidden="1" x14ac:dyDescent="0.2">
      <c r="A390" s="46">
        <v>45843</v>
      </c>
      <c r="B390" s="33" t="s">
        <v>1858</v>
      </c>
      <c r="C390" s="33">
        <v>8.7200000000000006</v>
      </c>
      <c r="D390" s="33" t="s">
        <v>165</v>
      </c>
      <c r="E390" s="52" t="s">
        <v>45</v>
      </c>
      <c r="F390" s="47" t="s">
        <v>2207</v>
      </c>
    </row>
    <row r="391" spans="1:6" hidden="1" x14ac:dyDescent="0.2">
      <c r="A391" s="44">
        <v>45843</v>
      </c>
      <c r="B391" s="42" t="s">
        <v>1601</v>
      </c>
      <c r="C391" s="42">
        <v>75.349999999999994</v>
      </c>
      <c r="D391" s="42" t="s">
        <v>165</v>
      </c>
      <c r="E391" s="51" t="s">
        <v>45</v>
      </c>
      <c r="F391" s="45" t="s">
        <v>2207</v>
      </c>
    </row>
    <row r="392" spans="1:6" hidden="1" x14ac:dyDescent="0.2">
      <c r="A392" s="46">
        <v>45842</v>
      </c>
      <c r="B392" s="48" t="s">
        <v>1744</v>
      </c>
      <c r="C392" s="33">
        <v>11.92</v>
      </c>
      <c r="D392" s="33" t="s">
        <v>165</v>
      </c>
      <c r="E392" s="52" t="s">
        <v>45</v>
      </c>
      <c r="F392" s="47" t="s">
        <v>2207</v>
      </c>
    </row>
    <row r="393" spans="1:6" hidden="1" x14ac:dyDescent="0.2">
      <c r="A393" s="44">
        <v>45842</v>
      </c>
      <c r="B393" s="62" t="s">
        <v>1744</v>
      </c>
      <c r="C393" s="42">
        <v>175.89</v>
      </c>
      <c r="D393" s="42" t="s">
        <v>165</v>
      </c>
      <c r="E393" s="51" t="s">
        <v>45</v>
      </c>
      <c r="F393" s="45" t="s">
        <v>2207</v>
      </c>
    </row>
    <row r="394" spans="1:6" hidden="1" x14ac:dyDescent="0.2">
      <c r="A394" s="46">
        <v>45842</v>
      </c>
      <c r="B394" s="33" t="s">
        <v>1860</v>
      </c>
      <c r="C394" s="33">
        <v>6.29</v>
      </c>
      <c r="D394" s="33" t="s">
        <v>165</v>
      </c>
      <c r="E394" s="52" t="s">
        <v>45</v>
      </c>
      <c r="F394" s="47" t="s">
        <v>2207</v>
      </c>
    </row>
    <row r="395" spans="1:6" hidden="1" x14ac:dyDescent="0.2">
      <c r="A395" s="44">
        <v>45841</v>
      </c>
      <c r="B395" s="42" t="s">
        <v>1697</v>
      </c>
      <c r="C395" s="42">
        <v>17.12</v>
      </c>
      <c r="D395" s="42" t="s">
        <v>165</v>
      </c>
      <c r="E395" s="51" t="s">
        <v>45</v>
      </c>
      <c r="F395" s="45" t="s">
        <v>2207</v>
      </c>
    </row>
    <row r="396" spans="1:6" hidden="1" x14ac:dyDescent="0.2">
      <c r="A396" s="46">
        <v>45841</v>
      </c>
      <c r="B396" s="33" t="s">
        <v>1862</v>
      </c>
      <c r="C396" s="33">
        <v>50.04</v>
      </c>
      <c r="D396" s="33" t="s">
        <v>165</v>
      </c>
      <c r="E396" s="52" t="s">
        <v>45</v>
      </c>
      <c r="F396" s="47" t="s">
        <v>2207</v>
      </c>
    </row>
    <row r="397" spans="1:6" hidden="1" x14ac:dyDescent="0.2">
      <c r="A397" s="44">
        <v>45839</v>
      </c>
      <c r="B397" s="42" t="s">
        <v>1869</v>
      </c>
      <c r="C397" s="42">
        <v>16.989999999999998</v>
      </c>
      <c r="D397" s="42" t="s">
        <v>165</v>
      </c>
      <c r="E397" s="51" t="s">
        <v>45</v>
      </c>
      <c r="F397" s="45" t="s">
        <v>2207</v>
      </c>
    </row>
    <row r="398" spans="1:6" hidden="1" x14ac:dyDescent="0.2">
      <c r="A398" s="46">
        <v>45839</v>
      </c>
      <c r="B398" s="33" t="s">
        <v>1717</v>
      </c>
      <c r="C398" s="33">
        <v>3.48</v>
      </c>
      <c r="D398" s="33" t="s">
        <v>165</v>
      </c>
      <c r="E398" s="52" t="s">
        <v>45</v>
      </c>
      <c r="F398" s="47" t="s">
        <v>2207</v>
      </c>
    </row>
    <row r="399" spans="1:6" hidden="1" x14ac:dyDescent="0.2">
      <c r="A399" s="44">
        <v>45839</v>
      </c>
      <c r="B399" s="42" t="s">
        <v>1717</v>
      </c>
      <c r="C399" s="42">
        <v>22.9</v>
      </c>
      <c r="D399" s="42" t="s">
        <v>165</v>
      </c>
      <c r="E399" s="51" t="s">
        <v>45</v>
      </c>
      <c r="F399" s="45" t="s">
        <v>2207</v>
      </c>
    </row>
    <row r="400" spans="1:6" hidden="1" x14ac:dyDescent="0.2">
      <c r="A400" s="46">
        <v>45837</v>
      </c>
      <c r="B400" s="33" t="s">
        <v>1873</v>
      </c>
      <c r="C400" s="33">
        <v>9.17</v>
      </c>
      <c r="D400" s="33" t="s">
        <v>165</v>
      </c>
      <c r="E400" s="52" t="s">
        <v>45</v>
      </c>
      <c r="F400" s="47" t="s">
        <v>2207</v>
      </c>
    </row>
    <row r="401" spans="1:6" hidden="1" x14ac:dyDescent="0.2">
      <c r="A401" s="44">
        <v>45836</v>
      </c>
      <c r="B401" s="42" t="s">
        <v>1730</v>
      </c>
      <c r="C401" s="42">
        <v>43.44</v>
      </c>
      <c r="D401" s="42" t="s">
        <v>165</v>
      </c>
      <c r="E401" s="51" t="s">
        <v>45</v>
      </c>
      <c r="F401" s="45" t="s">
        <v>2207</v>
      </c>
    </row>
    <row r="402" spans="1:6" hidden="1" x14ac:dyDescent="0.2">
      <c r="A402" s="46">
        <v>45834</v>
      </c>
      <c r="B402" s="33" t="s">
        <v>1619</v>
      </c>
      <c r="C402" s="33">
        <v>32.99</v>
      </c>
      <c r="D402" s="33" t="s">
        <v>165</v>
      </c>
      <c r="E402" s="52" t="s">
        <v>45</v>
      </c>
      <c r="F402" s="47" t="s">
        <v>2207</v>
      </c>
    </row>
    <row r="403" spans="1:6" hidden="1" x14ac:dyDescent="0.2">
      <c r="A403" s="44">
        <v>45833</v>
      </c>
      <c r="B403" s="42" t="s">
        <v>1667</v>
      </c>
      <c r="C403" s="42">
        <v>18.649999999999999</v>
      </c>
      <c r="D403" s="42" t="s">
        <v>165</v>
      </c>
      <c r="E403" s="51" t="s">
        <v>45</v>
      </c>
      <c r="F403" s="45" t="s">
        <v>2207</v>
      </c>
    </row>
    <row r="404" spans="1:6" hidden="1" x14ac:dyDescent="0.2">
      <c r="A404" s="46">
        <v>45833</v>
      </c>
      <c r="B404" s="33" t="s">
        <v>1529</v>
      </c>
      <c r="C404" s="33">
        <v>17.86</v>
      </c>
      <c r="D404" s="33" t="s">
        <v>165</v>
      </c>
      <c r="E404" s="52" t="s">
        <v>45</v>
      </c>
      <c r="F404" s="47" t="s">
        <v>2207</v>
      </c>
    </row>
    <row r="405" spans="1:6" hidden="1" x14ac:dyDescent="0.2">
      <c r="A405" s="44">
        <v>45833</v>
      </c>
      <c r="B405" s="42" t="s">
        <v>1902</v>
      </c>
      <c r="C405" s="42">
        <v>14.31</v>
      </c>
      <c r="D405" s="42" t="s">
        <v>165</v>
      </c>
      <c r="E405" s="51" t="s">
        <v>45</v>
      </c>
      <c r="F405" s="45" t="s">
        <v>2207</v>
      </c>
    </row>
    <row r="406" spans="1:6" hidden="1" x14ac:dyDescent="0.2">
      <c r="A406" s="46">
        <v>45831</v>
      </c>
      <c r="B406" s="33" t="s">
        <v>1907</v>
      </c>
      <c r="C406" s="33">
        <v>23.29</v>
      </c>
      <c r="D406" s="33" t="s">
        <v>165</v>
      </c>
      <c r="E406" s="52" t="s">
        <v>45</v>
      </c>
      <c r="F406" s="47" t="s">
        <v>2207</v>
      </c>
    </row>
    <row r="407" spans="1:6" hidden="1" x14ac:dyDescent="0.2">
      <c r="A407" s="44">
        <v>45831</v>
      </c>
      <c r="B407" s="42" t="s">
        <v>1908</v>
      </c>
      <c r="C407" s="42">
        <v>19.27</v>
      </c>
      <c r="D407" s="42" t="s">
        <v>165</v>
      </c>
      <c r="E407" s="51" t="s">
        <v>45</v>
      </c>
      <c r="F407" s="45" t="s">
        <v>2207</v>
      </c>
    </row>
    <row r="408" spans="1:6" hidden="1" x14ac:dyDescent="0.2">
      <c r="A408" s="46">
        <v>45830</v>
      </c>
      <c r="B408" s="33" t="s">
        <v>1913</v>
      </c>
      <c r="C408" s="33">
        <v>10.5</v>
      </c>
      <c r="D408" s="33" t="s">
        <v>165</v>
      </c>
      <c r="E408" s="52" t="s">
        <v>45</v>
      </c>
      <c r="F408" s="47" t="s">
        <v>2207</v>
      </c>
    </row>
    <row r="409" spans="1:6" hidden="1" x14ac:dyDescent="0.2">
      <c r="A409" s="44">
        <v>45827</v>
      </c>
      <c r="B409" s="42" t="s">
        <v>1822</v>
      </c>
      <c r="C409" s="42">
        <v>15.99</v>
      </c>
      <c r="D409" s="42" t="s">
        <v>165</v>
      </c>
      <c r="E409" s="51" t="s">
        <v>45</v>
      </c>
      <c r="F409" s="45" t="s">
        <v>2207</v>
      </c>
    </row>
    <row r="410" spans="1:6" hidden="1" x14ac:dyDescent="0.2">
      <c r="A410" s="46">
        <v>45826</v>
      </c>
      <c r="B410" s="33" t="s">
        <v>1925</v>
      </c>
      <c r="C410" s="33">
        <v>4.51</v>
      </c>
      <c r="D410" s="33" t="s">
        <v>165</v>
      </c>
      <c r="E410" s="52" t="s">
        <v>45</v>
      </c>
      <c r="F410" s="47" t="s">
        <v>2207</v>
      </c>
    </row>
    <row r="411" spans="1:6" hidden="1" x14ac:dyDescent="0.2">
      <c r="A411" s="44">
        <v>45825</v>
      </c>
      <c r="B411" s="42" t="s">
        <v>1665</v>
      </c>
      <c r="C411" s="42">
        <v>41.93</v>
      </c>
      <c r="D411" s="42" t="s">
        <v>165</v>
      </c>
      <c r="E411" s="51" t="s">
        <v>45</v>
      </c>
      <c r="F411" s="45" t="s">
        <v>2207</v>
      </c>
    </row>
    <row r="412" spans="1:6" hidden="1" x14ac:dyDescent="0.2">
      <c r="A412" s="46">
        <v>45825</v>
      </c>
      <c r="B412" s="33" t="s">
        <v>1930</v>
      </c>
      <c r="C412" s="33">
        <v>47.06</v>
      </c>
      <c r="D412" s="33" t="s">
        <v>165</v>
      </c>
      <c r="E412" s="52" t="s">
        <v>45</v>
      </c>
      <c r="F412" s="47" t="s">
        <v>2207</v>
      </c>
    </row>
    <row r="413" spans="1:6" hidden="1" x14ac:dyDescent="0.2">
      <c r="A413" s="44">
        <v>45824</v>
      </c>
      <c r="B413" s="42" t="s">
        <v>1913</v>
      </c>
      <c r="C413" s="42">
        <v>7</v>
      </c>
      <c r="D413" s="42" t="s">
        <v>165</v>
      </c>
      <c r="E413" s="51" t="s">
        <v>45</v>
      </c>
      <c r="F413" s="45" t="s">
        <v>2207</v>
      </c>
    </row>
    <row r="414" spans="1:6" hidden="1" x14ac:dyDescent="0.2">
      <c r="A414" s="46">
        <v>45824</v>
      </c>
      <c r="B414" s="33" t="s">
        <v>1848</v>
      </c>
      <c r="C414" s="33">
        <v>17.97</v>
      </c>
      <c r="D414" s="33" t="s">
        <v>165</v>
      </c>
      <c r="E414" s="52" t="s">
        <v>45</v>
      </c>
      <c r="F414" s="47" t="s">
        <v>2207</v>
      </c>
    </row>
    <row r="415" spans="1:6" hidden="1" x14ac:dyDescent="0.2">
      <c r="A415" s="44">
        <v>45824</v>
      </c>
      <c r="B415" s="42" t="s">
        <v>1848</v>
      </c>
      <c r="C415" s="42">
        <v>24</v>
      </c>
      <c r="D415" s="42" t="s">
        <v>165</v>
      </c>
      <c r="E415" s="51" t="s">
        <v>45</v>
      </c>
      <c r="F415" s="45" t="s">
        <v>2207</v>
      </c>
    </row>
    <row r="416" spans="1:6" hidden="1" x14ac:dyDescent="0.2">
      <c r="A416" s="46">
        <v>45823</v>
      </c>
      <c r="B416" s="33" t="s">
        <v>1932</v>
      </c>
      <c r="C416" s="33">
        <v>74.34</v>
      </c>
      <c r="D416" s="33" t="s">
        <v>165</v>
      </c>
      <c r="E416" s="52" t="s">
        <v>45</v>
      </c>
      <c r="F416" s="47" t="s">
        <v>2207</v>
      </c>
    </row>
    <row r="417" spans="1:6" hidden="1" x14ac:dyDescent="0.2">
      <c r="A417" s="44">
        <v>45823</v>
      </c>
      <c r="B417" s="42" t="s">
        <v>1933</v>
      </c>
      <c r="C417" s="42">
        <v>20.27</v>
      </c>
      <c r="D417" s="42" t="s">
        <v>165</v>
      </c>
      <c r="E417" s="51" t="s">
        <v>45</v>
      </c>
      <c r="F417" s="45" t="s">
        <v>2207</v>
      </c>
    </row>
    <row r="418" spans="1:6" hidden="1" x14ac:dyDescent="0.2">
      <c r="A418" s="46">
        <v>45823</v>
      </c>
      <c r="B418" s="33" t="s">
        <v>1936</v>
      </c>
      <c r="C418" s="33">
        <v>14.41</v>
      </c>
      <c r="D418" s="33" t="s">
        <v>165</v>
      </c>
      <c r="E418" s="52" t="s">
        <v>45</v>
      </c>
      <c r="F418" s="47" t="s">
        <v>2207</v>
      </c>
    </row>
    <row r="419" spans="1:6" hidden="1" x14ac:dyDescent="0.2">
      <c r="A419" s="44">
        <v>45823</v>
      </c>
      <c r="B419" s="42" t="s">
        <v>1932</v>
      </c>
      <c r="C419" s="42">
        <v>20.309999999999999</v>
      </c>
      <c r="D419" s="42" t="s">
        <v>165</v>
      </c>
      <c r="E419" s="51" t="s">
        <v>45</v>
      </c>
      <c r="F419" s="45" t="s">
        <v>2207</v>
      </c>
    </row>
    <row r="420" spans="1:6" hidden="1" x14ac:dyDescent="0.2">
      <c r="A420" s="46">
        <v>45822</v>
      </c>
      <c r="B420" s="33" t="s">
        <v>1938</v>
      </c>
      <c r="C420" s="33">
        <v>97.75</v>
      </c>
      <c r="D420" s="33" t="s">
        <v>165</v>
      </c>
      <c r="E420" s="52" t="s">
        <v>45</v>
      </c>
      <c r="F420" s="47" t="s">
        <v>2207</v>
      </c>
    </row>
    <row r="421" spans="1:6" hidden="1" x14ac:dyDescent="0.2">
      <c r="A421" s="44">
        <v>45822</v>
      </c>
      <c r="B421" s="42" t="s">
        <v>1939</v>
      </c>
      <c r="C421" s="42">
        <v>4.8899999999999997</v>
      </c>
      <c r="D421" s="42" t="s">
        <v>165</v>
      </c>
      <c r="E421" s="51" t="s">
        <v>45</v>
      </c>
      <c r="F421" s="45" t="s">
        <v>2207</v>
      </c>
    </row>
    <row r="422" spans="1:6" hidden="1" x14ac:dyDescent="0.2">
      <c r="A422" s="46">
        <v>45822</v>
      </c>
      <c r="B422" s="33" t="s">
        <v>1938</v>
      </c>
      <c r="C422" s="33">
        <v>38.4</v>
      </c>
      <c r="D422" s="33" t="s">
        <v>165</v>
      </c>
      <c r="E422" s="52" t="s">
        <v>45</v>
      </c>
      <c r="F422" s="47" t="s">
        <v>2207</v>
      </c>
    </row>
    <row r="423" spans="1:6" hidden="1" x14ac:dyDescent="0.2">
      <c r="A423" s="44">
        <v>45822</v>
      </c>
      <c r="B423" s="42" t="s">
        <v>1942</v>
      </c>
      <c r="C423" s="42">
        <v>17.46</v>
      </c>
      <c r="D423" s="42" t="s">
        <v>165</v>
      </c>
      <c r="E423" s="51" t="s">
        <v>45</v>
      </c>
      <c r="F423" s="45" t="s">
        <v>2207</v>
      </c>
    </row>
    <row r="424" spans="1:6" hidden="1" x14ac:dyDescent="0.2">
      <c r="A424" s="46">
        <v>45822</v>
      </c>
      <c r="B424" s="33" t="s">
        <v>1943</v>
      </c>
      <c r="C424" s="33">
        <v>26.66</v>
      </c>
      <c r="D424" s="33" t="s">
        <v>165</v>
      </c>
      <c r="E424" s="52" t="s">
        <v>45</v>
      </c>
      <c r="F424" s="47" t="s">
        <v>2207</v>
      </c>
    </row>
    <row r="425" spans="1:6" hidden="1" x14ac:dyDescent="0.2">
      <c r="A425" s="44">
        <v>45822</v>
      </c>
      <c r="B425" s="42" t="s">
        <v>1939</v>
      </c>
      <c r="C425" s="42">
        <v>39.29</v>
      </c>
      <c r="D425" s="42" t="s">
        <v>165</v>
      </c>
      <c r="E425" s="51" t="s">
        <v>45</v>
      </c>
      <c r="F425" s="45" t="s">
        <v>2207</v>
      </c>
    </row>
    <row r="426" spans="1:6" hidden="1" x14ac:dyDescent="0.2">
      <c r="A426" s="46">
        <v>45821</v>
      </c>
      <c r="B426" s="48" t="s">
        <v>1744</v>
      </c>
      <c r="C426" s="33">
        <v>146.69999999999999</v>
      </c>
      <c r="D426" s="33" t="s">
        <v>165</v>
      </c>
      <c r="E426" s="52" t="s">
        <v>45</v>
      </c>
      <c r="F426" s="47" t="s">
        <v>2207</v>
      </c>
    </row>
    <row r="427" spans="1:6" hidden="1" x14ac:dyDescent="0.2">
      <c r="A427" s="44">
        <v>45821</v>
      </c>
      <c r="B427" s="42" t="s">
        <v>1587</v>
      </c>
      <c r="C427" s="42">
        <v>13.12</v>
      </c>
      <c r="D427" s="42" t="s">
        <v>165</v>
      </c>
      <c r="E427" s="51" t="s">
        <v>45</v>
      </c>
      <c r="F427" s="45" t="s">
        <v>2207</v>
      </c>
    </row>
    <row r="428" spans="1:6" hidden="1" x14ac:dyDescent="0.2">
      <c r="A428" s="46">
        <v>45821</v>
      </c>
      <c r="B428" s="33" t="s">
        <v>1946</v>
      </c>
      <c r="C428" s="33">
        <v>60.13</v>
      </c>
      <c r="D428" s="33" t="s">
        <v>165</v>
      </c>
      <c r="E428" s="52" t="s">
        <v>45</v>
      </c>
      <c r="F428" s="47" t="s">
        <v>2207</v>
      </c>
    </row>
    <row r="429" spans="1:6" hidden="1" x14ac:dyDescent="0.2">
      <c r="A429" s="44">
        <v>45820</v>
      </c>
      <c r="B429" s="42" t="s">
        <v>1529</v>
      </c>
      <c r="C429" s="42">
        <v>22.81</v>
      </c>
      <c r="D429" s="42" t="s">
        <v>165</v>
      </c>
      <c r="E429" s="51" t="s">
        <v>45</v>
      </c>
      <c r="F429" s="45" t="s">
        <v>2207</v>
      </c>
    </row>
    <row r="430" spans="1:6" hidden="1" x14ac:dyDescent="0.2">
      <c r="A430" s="46">
        <v>45818</v>
      </c>
      <c r="B430" s="33" t="s">
        <v>1533</v>
      </c>
      <c r="C430" s="33">
        <v>17.59</v>
      </c>
      <c r="D430" s="33" t="s">
        <v>165</v>
      </c>
      <c r="E430" s="52" t="s">
        <v>45</v>
      </c>
      <c r="F430" s="47" t="s">
        <v>2207</v>
      </c>
    </row>
    <row r="431" spans="1:6" hidden="1" x14ac:dyDescent="0.2">
      <c r="A431" s="44">
        <v>45818</v>
      </c>
      <c r="B431" s="42" t="s">
        <v>1951</v>
      </c>
      <c r="C431" s="42">
        <v>15.9</v>
      </c>
      <c r="D431" s="42" t="s">
        <v>165</v>
      </c>
      <c r="E431" s="51" t="s">
        <v>45</v>
      </c>
      <c r="F431" s="45" t="s">
        <v>2207</v>
      </c>
    </row>
    <row r="432" spans="1:6" hidden="1" x14ac:dyDescent="0.2">
      <c r="A432" s="46">
        <v>45817</v>
      </c>
      <c r="B432" s="33" t="s">
        <v>1953</v>
      </c>
      <c r="C432" s="33">
        <v>22.52</v>
      </c>
      <c r="D432" s="33" t="s">
        <v>165</v>
      </c>
      <c r="E432" s="52" t="s">
        <v>45</v>
      </c>
      <c r="F432" s="47" t="s">
        <v>2207</v>
      </c>
    </row>
    <row r="433" spans="1:6" hidden="1" x14ac:dyDescent="0.2">
      <c r="A433" s="44">
        <v>45817</v>
      </c>
      <c r="B433" s="42" t="s">
        <v>1534</v>
      </c>
      <c r="C433" s="42">
        <v>21.81</v>
      </c>
      <c r="D433" s="42" t="s">
        <v>165</v>
      </c>
      <c r="E433" s="51" t="s">
        <v>45</v>
      </c>
      <c r="F433" s="45" t="s">
        <v>2207</v>
      </c>
    </row>
    <row r="434" spans="1:6" hidden="1" x14ac:dyDescent="0.2">
      <c r="A434" s="46">
        <v>45815</v>
      </c>
      <c r="B434" s="33" t="s">
        <v>1953</v>
      </c>
      <c r="C434" s="33">
        <v>6.51</v>
      </c>
      <c r="D434" s="33" t="s">
        <v>165</v>
      </c>
      <c r="E434" s="52" t="s">
        <v>45</v>
      </c>
      <c r="F434" s="47" t="s">
        <v>2207</v>
      </c>
    </row>
    <row r="435" spans="1:6" hidden="1" x14ac:dyDescent="0.2">
      <c r="A435" s="44">
        <v>45815</v>
      </c>
      <c r="B435" s="42" t="s">
        <v>1534</v>
      </c>
      <c r="C435" s="42">
        <v>11.74</v>
      </c>
      <c r="D435" s="42" t="s">
        <v>165</v>
      </c>
      <c r="E435" s="51" t="s">
        <v>45</v>
      </c>
      <c r="F435" s="45" t="s">
        <v>2207</v>
      </c>
    </row>
    <row r="436" spans="1:6" hidden="1" x14ac:dyDescent="0.2">
      <c r="A436" s="46">
        <v>45813</v>
      </c>
      <c r="B436" s="33" t="s">
        <v>1957</v>
      </c>
      <c r="C436" s="33">
        <v>12.99</v>
      </c>
      <c r="D436" s="33" t="s">
        <v>165</v>
      </c>
      <c r="E436" s="52" t="s">
        <v>45</v>
      </c>
      <c r="F436" s="47" t="s">
        <v>2207</v>
      </c>
    </row>
    <row r="437" spans="1:6" hidden="1" x14ac:dyDescent="0.2">
      <c r="A437" s="44">
        <v>45813</v>
      </c>
      <c r="B437" s="42" t="s">
        <v>1951</v>
      </c>
      <c r="C437" s="42">
        <v>14.33</v>
      </c>
      <c r="D437" s="42" t="s">
        <v>165</v>
      </c>
      <c r="E437" s="51" t="s">
        <v>45</v>
      </c>
      <c r="F437" s="45" t="s">
        <v>2207</v>
      </c>
    </row>
    <row r="438" spans="1:6" hidden="1" x14ac:dyDescent="0.2">
      <c r="A438" s="46">
        <v>45812</v>
      </c>
      <c r="B438" s="33" t="s">
        <v>1953</v>
      </c>
      <c r="C438" s="33">
        <v>12.51</v>
      </c>
      <c r="D438" s="33" t="s">
        <v>165</v>
      </c>
      <c r="E438" s="52" t="s">
        <v>45</v>
      </c>
      <c r="F438" s="47" t="s">
        <v>2207</v>
      </c>
    </row>
    <row r="439" spans="1:6" hidden="1" x14ac:dyDescent="0.2">
      <c r="A439" s="44">
        <v>45811</v>
      </c>
      <c r="B439" s="42" t="s">
        <v>1534</v>
      </c>
      <c r="C439" s="42">
        <v>10</v>
      </c>
      <c r="D439" s="42" t="s">
        <v>165</v>
      </c>
      <c r="E439" s="51" t="s">
        <v>45</v>
      </c>
      <c r="F439" s="45" t="s">
        <v>2207</v>
      </c>
    </row>
    <row r="440" spans="1:6" hidden="1" x14ac:dyDescent="0.2">
      <c r="A440" s="46">
        <v>45810</v>
      </c>
      <c r="B440" s="48" t="s">
        <v>1963</v>
      </c>
      <c r="C440" s="33">
        <v>107.49</v>
      </c>
      <c r="D440" s="33" t="s">
        <v>165</v>
      </c>
      <c r="E440" s="52" t="s">
        <v>45</v>
      </c>
      <c r="F440" s="47" t="s">
        <v>2207</v>
      </c>
    </row>
    <row r="441" spans="1:6" hidden="1" x14ac:dyDescent="0.2">
      <c r="A441" s="44">
        <v>45810</v>
      </c>
      <c r="B441" s="42" t="s">
        <v>1965</v>
      </c>
      <c r="C441" s="42">
        <v>12.64</v>
      </c>
      <c r="D441" s="42" t="s">
        <v>165</v>
      </c>
      <c r="E441" s="51" t="s">
        <v>45</v>
      </c>
      <c r="F441" s="45" t="s">
        <v>2207</v>
      </c>
    </row>
    <row r="442" spans="1:6" hidden="1" x14ac:dyDescent="0.2">
      <c r="A442" s="46">
        <v>45810</v>
      </c>
      <c r="B442" s="48" t="s">
        <v>1963</v>
      </c>
      <c r="C442" s="33">
        <v>69.290000000000006</v>
      </c>
      <c r="D442" s="33" t="s">
        <v>165</v>
      </c>
      <c r="E442" s="52" t="s">
        <v>45</v>
      </c>
      <c r="F442" s="47" t="s">
        <v>2207</v>
      </c>
    </row>
    <row r="443" spans="1:6" hidden="1" x14ac:dyDescent="0.2">
      <c r="A443" s="44">
        <v>45809</v>
      </c>
      <c r="B443" s="42" t="s">
        <v>1967</v>
      </c>
      <c r="C443" s="42">
        <v>15.2</v>
      </c>
      <c r="D443" s="42" t="s">
        <v>165</v>
      </c>
      <c r="E443" s="51" t="s">
        <v>45</v>
      </c>
      <c r="F443" s="45" t="s">
        <v>2207</v>
      </c>
    </row>
    <row r="444" spans="1:6" hidden="1" x14ac:dyDescent="0.2">
      <c r="A444" s="46">
        <v>45809</v>
      </c>
      <c r="B444" s="33" t="s">
        <v>1969</v>
      </c>
      <c r="C444" s="33">
        <v>54.95</v>
      </c>
      <c r="D444" s="33" t="s">
        <v>165</v>
      </c>
      <c r="E444" s="52" t="s">
        <v>45</v>
      </c>
      <c r="F444" s="47" t="s">
        <v>2207</v>
      </c>
    </row>
    <row r="445" spans="1:6" hidden="1" x14ac:dyDescent="0.2">
      <c r="A445" s="44">
        <v>45808</v>
      </c>
      <c r="B445" s="42" t="s">
        <v>1965</v>
      </c>
      <c r="C445" s="42">
        <v>14.5</v>
      </c>
      <c r="D445" s="42" t="s">
        <v>165</v>
      </c>
      <c r="E445" s="51" t="s">
        <v>45</v>
      </c>
      <c r="F445" s="45" t="s">
        <v>2207</v>
      </c>
    </row>
    <row r="446" spans="1:6" hidden="1" x14ac:dyDescent="0.2">
      <c r="A446" s="46">
        <v>45808</v>
      </c>
      <c r="B446" s="33" t="s">
        <v>1665</v>
      </c>
      <c r="C446" s="33">
        <v>39.049999999999997</v>
      </c>
      <c r="D446" s="33" t="s">
        <v>165</v>
      </c>
      <c r="E446" s="52" t="s">
        <v>45</v>
      </c>
      <c r="F446" s="47" t="s">
        <v>2207</v>
      </c>
    </row>
    <row r="447" spans="1:6" hidden="1" x14ac:dyDescent="0.2">
      <c r="A447" s="44">
        <v>45807</v>
      </c>
      <c r="B447" s="42" t="s">
        <v>1534</v>
      </c>
      <c r="C447" s="42">
        <v>30.6</v>
      </c>
      <c r="D447" s="42" t="s">
        <v>165</v>
      </c>
      <c r="E447" s="51" t="s">
        <v>45</v>
      </c>
      <c r="F447" s="45" t="s">
        <v>2207</v>
      </c>
    </row>
    <row r="448" spans="1:6" hidden="1" x14ac:dyDescent="0.2">
      <c r="A448" s="46">
        <v>45807</v>
      </c>
      <c r="B448" s="33" t="s">
        <v>1971</v>
      </c>
      <c r="C448" s="33">
        <v>4.21</v>
      </c>
      <c r="D448" s="33" t="s">
        <v>165</v>
      </c>
      <c r="E448" s="52" t="s">
        <v>6</v>
      </c>
      <c r="F448" s="47" t="s">
        <v>2207</v>
      </c>
    </row>
    <row r="449" spans="1:6" hidden="1" x14ac:dyDescent="0.2">
      <c r="A449" s="44">
        <v>45807</v>
      </c>
      <c r="B449" s="42" t="s">
        <v>1971</v>
      </c>
      <c r="C449" s="42">
        <v>7.46</v>
      </c>
      <c r="D449" s="42" t="s">
        <v>165</v>
      </c>
      <c r="E449" s="51" t="s">
        <v>6</v>
      </c>
      <c r="F449" s="45" t="s">
        <v>2207</v>
      </c>
    </row>
    <row r="450" spans="1:6" hidden="1" x14ac:dyDescent="0.2">
      <c r="A450" s="46">
        <v>45807</v>
      </c>
      <c r="B450" s="48" t="s">
        <v>1973</v>
      </c>
      <c r="C450" s="33">
        <v>33.75</v>
      </c>
      <c r="D450" s="33" t="s">
        <v>165</v>
      </c>
      <c r="E450" s="52" t="s">
        <v>45</v>
      </c>
      <c r="F450" s="47" t="s">
        <v>2207</v>
      </c>
    </row>
    <row r="451" spans="1:6" hidden="1" x14ac:dyDescent="0.2">
      <c r="A451" s="44">
        <v>45806</v>
      </c>
      <c r="B451" s="42" t="s">
        <v>1620</v>
      </c>
      <c r="C451" s="42">
        <v>20.86</v>
      </c>
      <c r="D451" s="42" t="s">
        <v>165</v>
      </c>
      <c r="E451" s="51" t="s">
        <v>45</v>
      </c>
      <c r="F451" s="45" t="s">
        <v>2207</v>
      </c>
    </row>
    <row r="452" spans="1:6" hidden="1" x14ac:dyDescent="0.2">
      <c r="A452" s="46">
        <v>45806</v>
      </c>
      <c r="B452" s="33" t="s">
        <v>1534</v>
      </c>
      <c r="C452" s="33">
        <v>10.210000000000001</v>
      </c>
      <c r="D452" s="33" t="s">
        <v>165</v>
      </c>
      <c r="E452" s="52" t="s">
        <v>45</v>
      </c>
      <c r="F452" s="47" t="s">
        <v>2207</v>
      </c>
    </row>
    <row r="453" spans="1:6" hidden="1" x14ac:dyDescent="0.2">
      <c r="A453" s="44">
        <v>45805</v>
      </c>
      <c r="B453" s="42" t="s">
        <v>1534</v>
      </c>
      <c r="C453" s="42">
        <v>10</v>
      </c>
      <c r="D453" s="42" t="s">
        <v>165</v>
      </c>
      <c r="E453" s="51" t="s">
        <v>45</v>
      </c>
      <c r="F453" s="45" t="s">
        <v>2207</v>
      </c>
    </row>
    <row r="454" spans="1:6" hidden="1" x14ac:dyDescent="0.2">
      <c r="A454" s="46">
        <v>45804</v>
      </c>
      <c r="B454" s="48" t="s">
        <v>1975</v>
      </c>
      <c r="C454" s="33">
        <v>21.96</v>
      </c>
      <c r="D454" s="33" t="s">
        <v>165</v>
      </c>
      <c r="E454" s="52" t="s">
        <v>45</v>
      </c>
      <c r="F454" s="47" t="s">
        <v>2207</v>
      </c>
    </row>
    <row r="455" spans="1:6" hidden="1" x14ac:dyDescent="0.2">
      <c r="A455" s="44">
        <v>45804</v>
      </c>
      <c r="B455" s="42" t="s">
        <v>1796</v>
      </c>
      <c r="C455" s="42">
        <v>16.28</v>
      </c>
      <c r="D455" s="42" t="s">
        <v>165</v>
      </c>
      <c r="E455" s="51" t="s">
        <v>45</v>
      </c>
      <c r="F455" s="45" t="s">
        <v>2207</v>
      </c>
    </row>
    <row r="456" spans="1:6" hidden="1" x14ac:dyDescent="0.2">
      <c r="A456" s="46">
        <v>45804</v>
      </c>
      <c r="B456" s="33" t="s">
        <v>1943</v>
      </c>
      <c r="C456" s="33">
        <v>22.95</v>
      </c>
      <c r="D456" s="33" t="s">
        <v>165</v>
      </c>
      <c r="E456" s="52" t="s">
        <v>45</v>
      </c>
      <c r="F456" s="47" t="s">
        <v>2207</v>
      </c>
    </row>
    <row r="457" spans="1:6" hidden="1" x14ac:dyDescent="0.2">
      <c r="A457" s="44">
        <v>45803</v>
      </c>
      <c r="B457" s="62" t="s">
        <v>1963</v>
      </c>
      <c r="C457" s="42">
        <v>95.98</v>
      </c>
      <c r="D457" s="42" t="s">
        <v>165</v>
      </c>
      <c r="E457" s="51" t="s">
        <v>45</v>
      </c>
      <c r="F457" s="45" t="s">
        <v>2207</v>
      </c>
    </row>
    <row r="458" spans="1:6" hidden="1" x14ac:dyDescent="0.2">
      <c r="A458" s="46">
        <v>45802</v>
      </c>
      <c r="B458" s="33" t="s">
        <v>1978</v>
      </c>
      <c r="C458" s="33">
        <v>9.0299999999999994</v>
      </c>
      <c r="D458" s="33" t="s">
        <v>165</v>
      </c>
      <c r="E458" s="52" t="s">
        <v>45</v>
      </c>
      <c r="F458" s="47" t="s">
        <v>2207</v>
      </c>
    </row>
    <row r="459" spans="1:6" hidden="1" x14ac:dyDescent="0.2">
      <c r="A459" s="44">
        <v>45800</v>
      </c>
      <c r="B459" s="42" t="s">
        <v>1534</v>
      </c>
      <c r="C459" s="42">
        <v>17.38</v>
      </c>
      <c r="D459" s="42" t="s">
        <v>165</v>
      </c>
      <c r="E459" s="51" t="s">
        <v>45</v>
      </c>
      <c r="F459" s="45" t="s">
        <v>2207</v>
      </c>
    </row>
    <row r="460" spans="1:6" hidden="1" x14ac:dyDescent="0.2">
      <c r="A460" s="46">
        <v>45799</v>
      </c>
      <c r="B460" s="33" t="s">
        <v>1534</v>
      </c>
      <c r="C460" s="33">
        <v>10.76</v>
      </c>
      <c r="D460" s="33" t="s">
        <v>165</v>
      </c>
      <c r="E460" s="52" t="s">
        <v>45</v>
      </c>
      <c r="F460" s="47" t="s">
        <v>2207</v>
      </c>
    </row>
    <row r="461" spans="1:6" hidden="1" x14ac:dyDescent="0.2">
      <c r="A461" s="44">
        <v>45799</v>
      </c>
      <c r="B461" s="42" t="s">
        <v>1697</v>
      </c>
      <c r="C461" s="42">
        <v>16.57</v>
      </c>
      <c r="D461" s="42" t="s">
        <v>165</v>
      </c>
      <c r="E461" s="51" t="s">
        <v>45</v>
      </c>
      <c r="F461" s="45" t="s">
        <v>2207</v>
      </c>
    </row>
    <row r="462" spans="1:6" hidden="1" x14ac:dyDescent="0.2">
      <c r="A462" s="46">
        <v>45799</v>
      </c>
      <c r="B462" s="33" t="s">
        <v>1554</v>
      </c>
      <c r="C462" s="33">
        <v>14.89</v>
      </c>
      <c r="D462" s="33" t="s">
        <v>165</v>
      </c>
      <c r="E462" s="52" t="s">
        <v>45</v>
      </c>
      <c r="F462" s="47" t="s">
        <v>2207</v>
      </c>
    </row>
    <row r="463" spans="1:6" hidden="1" x14ac:dyDescent="0.2">
      <c r="A463" s="44">
        <v>45798</v>
      </c>
      <c r="B463" s="42" t="s">
        <v>1796</v>
      </c>
      <c r="C463" s="42">
        <v>18.72</v>
      </c>
      <c r="D463" s="42" t="s">
        <v>165</v>
      </c>
      <c r="E463" s="51" t="s">
        <v>45</v>
      </c>
      <c r="F463" s="45" t="s">
        <v>2207</v>
      </c>
    </row>
    <row r="464" spans="1:6" hidden="1" x14ac:dyDescent="0.2">
      <c r="A464" s="46">
        <v>45798</v>
      </c>
      <c r="B464" s="33" t="s">
        <v>1983</v>
      </c>
      <c r="C464" s="33">
        <v>5.78</v>
      </c>
      <c r="D464" s="33" t="s">
        <v>165</v>
      </c>
      <c r="E464" s="52" t="s">
        <v>45</v>
      </c>
      <c r="F464" s="47" t="s">
        <v>2207</v>
      </c>
    </row>
    <row r="465" spans="1:6" hidden="1" x14ac:dyDescent="0.2">
      <c r="A465" s="44">
        <v>45798</v>
      </c>
      <c r="B465" s="42" t="s">
        <v>1534</v>
      </c>
      <c r="C465" s="42">
        <v>10</v>
      </c>
      <c r="D465" s="42" t="s">
        <v>165</v>
      </c>
      <c r="E465" s="51" t="s">
        <v>45</v>
      </c>
      <c r="F465" s="45" t="s">
        <v>2207</v>
      </c>
    </row>
    <row r="466" spans="1:6" hidden="1" x14ac:dyDescent="0.2">
      <c r="A466" s="46">
        <v>45798</v>
      </c>
      <c r="B466" s="33" t="s">
        <v>1986</v>
      </c>
      <c r="C466" s="33">
        <v>18.7</v>
      </c>
      <c r="D466" s="33" t="s">
        <v>165</v>
      </c>
      <c r="E466" s="52" t="s">
        <v>45</v>
      </c>
      <c r="F466" s="47" t="s">
        <v>2207</v>
      </c>
    </row>
    <row r="467" spans="1:6" hidden="1" x14ac:dyDescent="0.2">
      <c r="A467" s="44">
        <v>45796</v>
      </c>
      <c r="B467" s="42" t="s">
        <v>1965</v>
      </c>
      <c r="C467" s="42">
        <v>41.09</v>
      </c>
      <c r="D467" s="42" t="s">
        <v>165</v>
      </c>
      <c r="E467" s="51" t="s">
        <v>45</v>
      </c>
      <c r="F467" s="45" t="s">
        <v>2207</v>
      </c>
    </row>
    <row r="468" spans="1:6" hidden="1" x14ac:dyDescent="0.2">
      <c r="A468" s="46">
        <v>45796</v>
      </c>
      <c r="B468" s="33" t="s">
        <v>1534</v>
      </c>
      <c r="C468" s="33">
        <v>29.19</v>
      </c>
      <c r="D468" s="33" t="s">
        <v>165</v>
      </c>
      <c r="E468" s="52" t="s">
        <v>45</v>
      </c>
      <c r="F468" s="47" t="s">
        <v>2207</v>
      </c>
    </row>
    <row r="469" spans="1:6" hidden="1" x14ac:dyDescent="0.2">
      <c r="A469" s="44">
        <v>45796</v>
      </c>
      <c r="B469" s="42" t="s">
        <v>1990</v>
      </c>
      <c r="C469" s="42">
        <v>90</v>
      </c>
      <c r="D469" s="42" t="s">
        <v>165</v>
      </c>
      <c r="E469" s="51" t="s">
        <v>45</v>
      </c>
      <c r="F469" s="45" t="s">
        <v>2207</v>
      </c>
    </row>
    <row r="470" spans="1:6" hidden="1" x14ac:dyDescent="0.2">
      <c r="A470" s="46">
        <v>45795</v>
      </c>
      <c r="B470" s="33" t="s">
        <v>1629</v>
      </c>
      <c r="C470" s="33">
        <v>144.69999999999999</v>
      </c>
      <c r="D470" s="33" t="s">
        <v>165</v>
      </c>
      <c r="E470" s="52" t="s">
        <v>45</v>
      </c>
      <c r="F470" s="47" t="s">
        <v>2207</v>
      </c>
    </row>
    <row r="471" spans="1:6" hidden="1" x14ac:dyDescent="0.2">
      <c r="A471" s="44">
        <v>45793</v>
      </c>
      <c r="B471" s="42" t="s">
        <v>1953</v>
      </c>
      <c r="C471" s="42">
        <v>6.26</v>
      </c>
      <c r="D471" s="42" t="s">
        <v>165</v>
      </c>
      <c r="E471" s="51" t="s">
        <v>45</v>
      </c>
      <c r="F471" s="45" t="s">
        <v>2207</v>
      </c>
    </row>
    <row r="472" spans="1:6" hidden="1" x14ac:dyDescent="0.2">
      <c r="A472" s="46">
        <v>45793</v>
      </c>
      <c r="B472" s="33" t="s">
        <v>1534</v>
      </c>
      <c r="C472" s="33">
        <v>12.37</v>
      </c>
      <c r="D472" s="33" t="s">
        <v>165</v>
      </c>
      <c r="E472" s="52" t="s">
        <v>45</v>
      </c>
      <c r="F472" s="47" t="s">
        <v>2207</v>
      </c>
    </row>
    <row r="473" spans="1:6" hidden="1" x14ac:dyDescent="0.2">
      <c r="A473" s="44">
        <v>45793</v>
      </c>
      <c r="B473" s="42" t="s">
        <v>1995</v>
      </c>
      <c r="C473" s="42">
        <v>27.49</v>
      </c>
      <c r="D473" s="42" t="s">
        <v>165</v>
      </c>
      <c r="E473" s="51" t="s">
        <v>45</v>
      </c>
      <c r="F473" s="45" t="s">
        <v>2207</v>
      </c>
    </row>
    <row r="474" spans="1:6" hidden="1" x14ac:dyDescent="0.2">
      <c r="A474" s="46">
        <v>45793</v>
      </c>
      <c r="B474" s="33" t="s">
        <v>1996</v>
      </c>
      <c r="C474" s="33">
        <v>16.5</v>
      </c>
      <c r="D474" s="33" t="s">
        <v>165</v>
      </c>
      <c r="E474" s="52" t="s">
        <v>45</v>
      </c>
      <c r="F474" s="47" t="s">
        <v>2207</v>
      </c>
    </row>
    <row r="475" spans="1:6" hidden="1" x14ac:dyDescent="0.2">
      <c r="A475" s="44">
        <v>45792</v>
      </c>
      <c r="B475" s="42" t="s">
        <v>1796</v>
      </c>
      <c r="C475" s="42">
        <v>13.52</v>
      </c>
      <c r="D475" s="42" t="s">
        <v>165</v>
      </c>
      <c r="E475" s="51" t="s">
        <v>45</v>
      </c>
      <c r="F475" s="45" t="s">
        <v>2207</v>
      </c>
    </row>
    <row r="476" spans="1:6" hidden="1" x14ac:dyDescent="0.2">
      <c r="A476" s="46">
        <v>45792</v>
      </c>
      <c r="B476" s="33" t="s">
        <v>1534</v>
      </c>
      <c r="C476" s="33">
        <v>10</v>
      </c>
      <c r="D476" s="33" t="s">
        <v>165</v>
      </c>
      <c r="E476" s="52" t="s">
        <v>45</v>
      </c>
      <c r="F476" s="47" t="s">
        <v>2207</v>
      </c>
    </row>
    <row r="477" spans="1:6" hidden="1" x14ac:dyDescent="0.2">
      <c r="A477" s="44">
        <v>45792</v>
      </c>
      <c r="B477" s="42" t="s">
        <v>1965</v>
      </c>
      <c r="C477" s="42">
        <v>52.91</v>
      </c>
      <c r="D477" s="42" t="s">
        <v>165</v>
      </c>
      <c r="E477" s="51" t="s">
        <v>45</v>
      </c>
      <c r="F477" s="45" t="s">
        <v>2207</v>
      </c>
    </row>
    <row r="478" spans="1:6" hidden="1" x14ac:dyDescent="0.2">
      <c r="A478" s="46">
        <v>45791</v>
      </c>
      <c r="B478" s="33" t="s">
        <v>1554</v>
      </c>
      <c r="C478" s="33">
        <v>24</v>
      </c>
      <c r="D478" s="33" t="s">
        <v>165</v>
      </c>
      <c r="E478" s="52" t="s">
        <v>45</v>
      </c>
      <c r="F478" s="47" t="s">
        <v>2207</v>
      </c>
    </row>
    <row r="479" spans="1:6" hidden="1" x14ac:dyDescent="0.2">
      <c r="A479" s="44">
        <v>45790</v>
      </c>
      <c r="B479" s="42" t="s">
        <v>1578</v>
      </c>
      <c r="C479" s="42">
        <v>11.22</v>
      </c>
      <c r="D479" s="42" t="s">
        <v>165</v>
      </c>
      <c r="E479" s="51" t="s">
        <v>45</v>
      </c>
      <c r="F479" s="45" t="s">
        <v>2207</v>
      </c>
    </row>
    <row r="480" spans="1:6" hidden="1" x14ac:dyDescent="0.2">
      <c r="A480" s="46">
        <v>45789</v>
      </c>
      <c r="B480" s="33" t="s">
        <v>1534</v>
      </c>
      <c r="C480" s="33">
        <v>11.86</v>
      </c>
      <c r="D480" s="33" t="s">
        <v>165</v>
      </c>
      <c r="E480" s="52" t="s">
        <v>45</v>
      </c>
      <c r="F480" s="47" t="s">
        <v>2207</v>
      </c>
    </row>
    <row r="481" spans="1:6" hidden="1" x14ac:dyDescent="0.2">
      <c r="A481" s="44">
        <v>45789</v>
      </c>
      <c r="B481" s="42" t="s">
        <v>1957</v>
      </c>
      <c r="C481" s="42">
        <v>15.74</v>
      </c>
      <c r="D481" s="42" t="s">
        <v>165</v>
      </c>
      <c r="E481" s="51" t="s">
        <v>45</v>
      </c>
      <c r="F481" s="45" t="s">
        <v>2207</v>
      </c>
    </row>
    <row r="482" spans="1:6" hidden="1" x14ac:dyDescent="0.2">
      <c r="A482" s="46">
        <v>45789</v>
      </c>
      <c r="B482" s="33" t="s">
        <v>2000</v>
      </c>
      <c r="C482" s="33">
        <v>5.7</v>
      </c>
      <c r="D482" s="33" t="s">
        <v>165</v>
      </c>
      <c r="E482" s="52" t="s">
        <v>45</v>
      </c>
      <c r="F482" s="47" t="s">
        <v>2207</v>
      </c>
    </row>
    <row r="483" spans="1:6" hidden="1" x14ac:dyDescent="0.2">
      <c r="A483" s="44">
        <v>45789</v>
      </c>
      <c r="B483" s="42" t="s">
        <v>1953</v>
      </c>
      <c r="C483" s="42">
        <v>6.51</v>
      </c>
      <c r="D483" s="42" t="s">
        <v>165</v>
      </c>
      <c r="E483" s="51" t="s">
        <v>45</v>
      </c>
      <c r="F483" s="45" t="s">
        <v>2207</v>
      </c>
    </row>
    <row r="484" spans="1:6" hidden="1" x14ac:dyDescent="0.2">
      <c r="A484" s="46">
        <v>45787</v>
      </c>
      <c r="B484" s="33" t="s">
        <v>2004</v>
      </c>
      <c r="C484" s="33">
        <v>38.85</v>
      </c>
      <c r="D484" s="33" t="s">
        <v>165</v>
      </c>
      <c r="E484" s="52" t="s">
        <v>45</v>
      </c>
      <c r="F484" s="47" t="s">
        <v>2207</v>
      </c>
    </row>
    <row r="485" spans="1:6" hidden="1" x14ac:dyDescent="0.2">
      <c r="A485" s="44">
        <v>45786</v>
      </c>
      <c r="B485" s="42" t="s">
        <v>1965</v>
      </c>
      <c r="C485" s="42">
        <v>27</v>
      </c>
      <c r="D485" s="42" t="s">
        <v>165</v>
      </c>
      <c r="E485" s="51" t="s">
        <v>45</v>
      </c>
      <c r="F485" s="45" t="s">
        <v>2207</v>
      </c>
    </row>
    <row r="486" spans="1:6" hidden="1" x14ac:dyDescent="0.2">
      <c r="A486" s="46">
        <v>45786</v>
      </c>
      <c r="B486" s="33" t="s">
        <v>1796</v>
      </c>
      <c r="C486" s="33">
        <v>15.17</v>
      </c>
      <c r="D486" s="33" t="s">
        <v>165</v>
      </c>
      <c r="E486" s="52" t="s">
        <v>45</v>
      </c>
      <c r="F486" s="47" t="s">
        <v>2207</v>
      </c>
    </row>
    <row r="487" spans="1:6" hidden="1" x14ac:dyDescent="0.2">
      <c r="A487" s="44">
        <v>45786</v>
      </c>
      <c r="B487" s="42" t="s">
        <v>2006</v>
      </c>
      <c r="C487" s="42">
        <v>169.68</v>
      </c>
      <c r="D487" s="42" t="s">
        <v>165</v>
      </c>
      <c r="E487" s="51" t="s">
        <v>45</v>
      </c>
      <c r="F487" s="45" t="s">
        <v>2207</v>
      </c>
    </row>
    <row r="488" spans="1:6" hidden="1" x14ac:dyDescent="0.2">
      <c r="A488" s="46">
        <v>45786</v>
      </c>
      <c r="B488" s="33" t="s">
        <v>1554</v>
      </c>
      <c r="C488" s="33">
        <v>19.260000000000002</v>
      </c>
      <c r="D488" s="33" t="s">
        <v>165</v>
      </c>
      <c r="E488" s="52" t="s">
        <v>45</v>
      </c>
      <c r="F488" s="47" t="s">
        <v>2207</v>
      </c>
    </row>
    <row r="489" spans="1:6" hidden="1" x14ac:dyDescent="0.2">
      <c r="A489" s="44">
        <v>45786</v>
      </c>
      <c r="B489" s="42" t="s">
        <v>1965</v>
      </c>
      <c r="C489" s="42">
        <v>30.48</v>
      </c>
      <c r="D489" s="42" t="s">
        <v>165</v>
      </c>
      <c r="E489" s="51" t="s">
        <v>45</v>
      </c>
      <c r="F489" s="45" t="s">
        <v>2207</v>
      </c>
    </row>
    <row r="490" spans="1:6" hidden="1" x14ac:dyDescent="0.2">
      <c r="A490" s="46">
        <v>45786</v>
      </c>
      <c r="B490" s="33" t="s">
        <v>1534</v>
      </c>
      <c r="C490" s="33">
        <v>27.91</v>
      </c>
      <c r="D490" s="33" t="s">
        <v>165</v>
      </c>
      <c r="E490" s="52" t="s">
        <v>45</v>
      </c>
      <c r="F490" s="47" t="s">
        <v>2207</v>
      </c>
    </row>
    <row r="491" spans="1:6" hidden="1" x14ac:dyDescent="0.2">
      <c r="A491" s="44">
        <v>45786</v>
      </c>
      <c r="B491" s="42" t="s">
        <v>1534</v>
      </c>
      <c r="C491" s="42">
        <v>12.37</v>
      </c>
      <c r="D491" s="42" t="s">
        <v>165</v>
      </c>
      <c r="E491" s="51" t="s">
        <v>45</v>
      </c>
      <c r="F491" s="45" t="s">
        <v>2207</v>
      </c>
    </row>
    <row r="492" spans="1:6" hidden="1" x14ac:dyDescent="0.2">
      <c r="A492" s="46">
        <v>45783</v>
      </c>
      <c r="B492" s="33" t="s">
        <v>1953</v>
      </c>
      <c r="C492" s="33">
        <v>5.51</v>
      </c>
      <c r="D492" s="33" t="s">
        <v>165</v>
      </c>
      <c r="E492" s="52" t="s">
        <v>45</v>
      </c>
      <c r="F492" s="47" t="s">
        <v>2207</v>
      </c>
    </row>
    <row r="493" spans="1:6" hidden="1" x14ac:dyDescent="0.2">
      <c r="A493" s="44">
        <v>45782</v>
      </c>
      <c r="B493" s="42" t="s">
        <v>1796</v>
      </c>
      <c r="C493" s="42">
        <v>12.7</v>
      </c>
      <c r="D493" s="42" t="s">
        <v>165</v>
      </c>
      <c r="E493" s="51" t="s">
        <v>45</v>
      </c>
      <c r="F493" s="45" t="s">
        <v>2207</v>
      </c>
    </row>
    <row r="494" spans="1:6" hidden="1" x14ac:dyDescent="0.2">
      <c r="A494" s="46">
        <v>45780</v>
      </c>
      <c r="B494" s="33" t="s">
        <v>2013</v>
      </c>
      <c r="C494" s="33">
        <v>23.81</v>
      </c>
      <c r="D494" s="33" t="s">
        <v>165</v>
      </c>
      <c r="E494" s="52" t="s">
        <v>45</v>
      </c>
      <c r="F494" s="47" t="s">
        <v>2207</v>
      </c>
    </row>
    <row r="495" spans="1:6" hidden="1" x14ac:dyDescent="0.2">
      <c r="A495" s="44">
        <v>45779</v>
      </c>
      <c r="B495" s="42" t="s">
        <v>1957</v>
      </c>
      <c r="C495" s="42">
        <v>12.99</v>
      </c>
      <c r="D495" s="42" t="s">
        <v>165</v>
      </c>
      <c r="E495" s="51" t="s">
        <v>45</v>
      </c>
      <c r="F495" s="45" t="s">
        <v>2207</v>
      </c>
    </row>
    <row r="496" spans="1:6" hidden="1" x14ac:dyDescent="0.2">
      <c r="A496" s="46">
        <v>45778</v>
      </c>
      <c r="B496" s="33" t="s">
        <v>1796</v>
      </c>
      <c r="C496" s="33">
        <v>16.28</v>
      </c>
      <c r="D496" s="33" t="s">
        <v>165</v>
      </c>
      <c r="E496" s="52" t="s">
        <v>45</v>
      </c>
      <c r="F496" s="47" t="s">
        <v>2207</v>
      </c>
    </row>
    <row r="497" spans="1:6" hidden="1" x14ac:dyDescent="0.2">
      <c r="A497" s="44">
        <v>45778</v>
      </c>
      <c r="B497" s="42" t="s">
        <v>1671</v>
      </c>
      <c r="C497" s="42">
        <v>90.56</v>
      </c>
      <c r="D497" s="42" t="s">
        <v>165</v>
      </c>
      <c r="E497" s="51" t="s">
        <v>45</v>
      </c>
      <c r="F497" s="45" t="s">
        <v>2207</v>
      </c>
    </row>
    <row r="498" spans="1:6" hidden="1" x14ac:dyDescent="0.2">
      <c r="A498" s="46">
        <v>45778</v>
      </c>
      <c r="B498" s="33" t="s">
        <v>1534</v>
      </c>
      <c r="C498" s="33">
        <v>9.4499999999999993</v>
      </c>
      <c r="D498" s="33" t="s">
        <v>165</v>
      </c>
      <c r="E498" s="52" t="s">
        <v>45</v>
      </c>
      <c r="F498" s="47" t="s">
        <v>2207</v>
      </c>
    </row>
    <row r="499" spans="1:6" hidden="1" x14ac:dyDescent="0.2">
      <c r="A499" s="44">
        <v>45777</v>
      </c>
      <c r="B499" s="42" t="s">
        <v>1534</v>
      </c>
      <c r="C499" s="42">
        <v>28.13</v>
      </c>
      <c r="D499" s="42" t="s">
        <v>165</v>
      </c>
      <c r="E499" s="51" t="s">
        <v>45</v>
      </c>
      <c r="F499" s="45" t="s">
        <v>2207</v>
      </c>
    </row>
    <row r="500" spans="1:6" hidden="1" x14ac:dyDescent="0.2">
      <c r="A500" s="46">
        <v>45777</v>
      </c>
      <c r="B500" s="33" t="s">
        <v>1965</v>
      </c>
      <c r="C500" s="33">
        <v>22.75</v>
      </c>
      <c r="D500" s="33" t="s">
        <v>165</v>
      </c>
      <c r="E500" s="52" t="s">
        <v>45</v>
      </c>
      <c r="F500" s="47" t="s">
        <v>2207</v>
      </c>
    </row>
    <row r="501" spans="1:6" hidden="1" x14ac:dyDescent="0.2">
      <c r="A501" s="44">
        <v>45777</v>
      </c>
      <c r="B501" s="42" t="s">
        <v>2017</v>
      </c>
      <c r="C501" s="42">
        <v>10.48</v>
      </c>
      <c r="D501" s="42" t="s">
        <v>165</v>
      </c>
      <c r="E501" s="51" t="s">
        <v>45</v>
      </c>
      <c r="F501" s="45" t="s">
        <v>2207</v>
      </c>
    </row>
    <row r="502" spans="1:6" hidden="1" x14ac:dyDescent="0.2">
      <c r="A502" s="46">
        <v>45776</v>
      </c>
      <c r="B502" s="33" t="s">
        <v>1534</v>
      </c>
      <c r="C502" s="33">
        <v>16.809999999999999</v>
      </c>
      <c r="D502" s="33" t="s">
        <v>165</v>
      </c>
      <c r="E502" s="52" t="s">
        <v>45</v>
      </c>
      <c r="F502" s="47" t="s">
        <v>2207</v>
      </c>
    </row>
    <row r="503" spans="1:6" hidden="1" x14ac:dyDescent="0.2">
      <c r="A503" s="44">
        <v>45775</v>
      </c>
      <c r="B503" s="42" t="s">
        <v>1796</v>
      </c>
      <c r="C503" s="42">
        <v>11.31</v>
      </c>
      <c r="D503" s="42" t="s">
        <v>165</v>
      </c>
      <c r="E503" s="51" t="s">
        <v>45</v>
      </c>
      <c r="F503" s="45" t="s">
        <v>2207</v>
      </c>
    </row>
    <row r="504" spans="1:6" hidden="1" x14ac:dyDescent="0.2">
      <c r="A504" s="46">
        <v>45775</v>
      </c>
      <c r="B504" s="33" t="s">
        <v>1534</v>
      </c>
      <c r="C504" s="33">
        <v>16.27</v>
      </c>
      <c r="D504" s="33" t="s">
        <v>165</v>
      </c>
      <c r="E504" s="52" t="s">
        <v>45</v>
      </c>
      <c r="F504" s="47" t="s">
        <v>2207</v>
      </c>
    </row>
    <row r="505" spans="1:6" hidden="1" x14ac:dyDescent="0.2">
      <c r="A505" s="44">
        <v>45774</v>
      </c>
      <c r="B505" s="42" t="s">
        <v>1629</v>
      </c>
      <c r="C505" s="42">
        <v>149.11000000000001</v>
      </c>
      <c r="D505" s="42" t="s">
        <v>165</v>
      </c>
      <c r="E505" s="51" t="s">
        <v>45</v>
      </c>
      <c r="F505" s="45" t="s">
        <v>2207</v>
      </c>
    </row>
    <row r="506" spans="1:6" hidden="1" x14ac:dyDescent="0.2">
      <c r="A506" s="46">
        <v>45774</v>
      </c>
      <c r="B506" s="33" t="s">
        <v>2018</v>
      </c>
      <c r="C506" s="33">
        <v>114.44</v>
      </c>
      <c r="D506" s="33" t="s">
        <v>165</v>
      </c>
      <c r="E506" s="52" t="s">
        <v>45</v>
      </c>
      <c r="F506" s="47" t="s">
        <v>2207</v>
      </c>
    </row>
    <row r="507" spans="1:6" hidden="1" x14ac:dyDescent="0.2">
      <c r="A507" s="44">
        <v>45773</v>
      </c>
      <c r="B507" s="42" t="s">
        <v>1587</v>
      </c>
      <c r="C507" s="42">
        <v>13.12</v>
      </c>
      <c r="D507" s="42" t="s">
        <v>165</v>
      </c>
      <c r="E507" s="51" t="s">
        <v>45</v>
      </c>
      <c r="F507" s="45" t="s">
        <v>2207</v>
      </c>
    </row>
    <row r="508" spans="1:6" hidden="1" x14ac:dyDescent="0.2">
      <c r="A508" s="46">
        <v>45773</v>
      </c>
      <c r="B508" s="33" t="s">
        <v>1587</v>
      </c>
      <c r="C508" s="33">
        <v>8.16</v>
      </c>
      <c r="D508" s="33" t="s">
        <v>165</v>
      </c>
      <c r="E508" s="52" t="s">
        <v>45</v>
      </c>
      <c r="F508" s="47" t="s">
        <v>2207</v>
      </c>
    </row>
    <row r="509" spans="1:6" hidden="1" x14ac:dyDescent="0.2">
      <c r="A509" s="44">
        <v>45772</v>
      </c>
      <c r="B509" s="42" t="s">
        <v>2022</v>
      </c>
      <c r="C509" s="42">
        <v>35.03</v>
      </c>
      <c r="D509" s="42" t="s">
        <v>165</v>
      </c>
      <c r="E509" s="51" t="s">
        <v>45</v>
      </c>
      <c r="F509" s="45" t="s">
        <v>2207</v>
      </c>
    </row>
    <row r="510" spans="1:6" hidden="1" x14ac:dyDescent="0.2">
      <c r="A510" s="46">
        <v>45772</v>
      </c>
      <c r="B510" s="33" t="s">
        <v>1796</v>
      </c>
      <c r="C510" s="33">
        <v>18.72</v>
      </c>
      <c r="D510" s="33" t="s">
        <v>165</v>
      </c>
      <c r="E510" s="52" t="s">
        <v>45</v>
      </c>
      <c r="F510" s="47" t="s">
        <v>2207</v>
      </c>
    </row>
    <row r="511" spans="1:6" hidden="1" x14ac:dyDescent="0.2">
      <c r="A511" s="44">
        <v>45771</v>
      </c>
      <c r="B511" s="42" t="s">
        <v>1534</v>
      </c>
      <c r="C511" s="42">
        <v>25.36</v>
      </c>
      <c r="D511" s="42" t="s">
        <v>165</v>
      </c>
      <c r="E511" s="51" t="s">
        <v>45</v>
      </c>
      <c r="F511" s="45" t="s">
        <v>2207</v>
      </c>
    </row>
    <row r="512" spans="1:6" hidden="1" x14ac:dyDescent="0.2">
      <c r="A512" s="46">
        <v>45770</v>
      </c>
      <c r="B512" s="33" t="s">
        <v>1534</v>
      </c>
      <c r="C512" s="33">
        <v>16.809999999999999</v>
      </c>
      <c r="D512" s="33" t="s">
        <v>165</v>
      </c>
      <c r="E512" s="52" t="s">
        <v>45</v>
      </c>
      <c r="F512" s="47" t="s">
        <v>2207</v>
      </c>
    </row>
    <row r="513" spans="1:6" hidden="1" x14ac:dyDescent="0.2">
      <c r="A513" s="44">
        <v>45770</v>
      </c>
      <c r="B513" s="42" t="s">
        <v>1953</v>
      </c>
      <c r="C513" s="42">
        <v>6.51</v>
      </c>
      <c r="D513" s="42" t="s">
        <v>165</v>
      </c>
      <c r="E513" s="51" t="s">
        <v>45</v>
      </c>
      <c r="F513" s="45" t="s">
        <v>2207</v>
      </c>
    </row>
    <row r="514" spans="1:6" hidden="1" x14ac:dyDescent="0.2">
      <c r="A514" s="46">
        <v>45769</v>
      </c>
      <c r="B514" s="33" t="s">
        <v>1534</v>
      </c>
      <c r="C514" s="33">
        <v>15.86</v>
      </c>
      <c r="D514" s="33" t="s">
        <v>165</v>
      </c>
      <c r="E514" s="52" t="s">
        <v>45</v>
      </c>
      <c r="F514" s="47" t="s">
        <v>2207</v>
      </c>
    </row>
    <row r="515" spans="1:6" hidden="1" x14ac:dyDescent="0.2">
      <c r="A515" s="44">
        <v>45769</v>
      </c>
      <c r="B515" s="42" t="s">
        <v>1796</v>
      </c>
      <c r="C515" s="42">
        <v>18.72</v>
      </c>
      <c r="D515" s="42" t="s">
        <v>165</v>
      </c>
      <c r="E515" s="51" t="s">
        <v>45</v>
      </c>
      <c r="F515" s="45" t="s">
        <v>2207</v>
      </c>
    </row>
    <row r="516" spans="1:6" hidden="1" x14ac:dyDescent="0.2">
      <c r="A516" s="46">
        <v>45769</v>
      </c>
      <c r="B516" s="33" t="s">
        <v>2027</v>
      </c>
      <c r="C516" s="33">
        <v>18.239999999999998</v>
      </c>
      <c r="D516" s="33" t="s">
        <v>165</v>
      </c>
      <c r="E516" s="52" t="s">
        <v>45</v>
      </c>
      <c r="F516" s="47" t="s">
        <v>2207</v>
      </c>
    </row>
    <row r="517" spans="1:6" hidden="1" x14ac:dyDescent="0.2">
      <c r="A517" s="44">
        <v>45769</v>
      </c>
      <c r="B517" s="42" t="s">
        <v>2028</v>
      </c>
      <c r="C517" s="42">
        <v>11.81</v>
      </c>
      <c r="D517" s="42" t="s">
        <v>165</v>
      </c>
      <c r="E517" s="51" t="s">
        <v>45</v>
      </c>
      <c r="F517" s="45" t="s">
        <v>2207</v>
      </c>
    </row>
    <row r="518" spans="1:6" hidden="1" x14ac:dyDescent="0.2">
      <c r="A518" s="46">
        <v>45768</v>
      </c>
      <c r="B518" s="33" t="s">
        <v>1965</v>
      </c>
      <c r="C518" s="33">
        <v>22.75</v>
      </c>
      <c r="D518" s="33" t="s">
        <v>165</v>
      </c>
      <c r="E518" s="52" t="s">
        <v>45</v>
      </c>
      <c r="F518" s="47" t="s">
        <v>2207</v>
      </c>
    </row>
    <row r="519" spans="1:6" hidden="1" x14ac:dyDescent="0.2">
      <c r="A519" s="44">
        <v>45768</v>
      </c>
      <c r="B519" s="42" t="s">
        <v>1796</v>
      </c>
      <c r="C519" s="42">
        <v>18.72</v>
      </c>
      <c r="D519" s="42" t="s">
        <v>165</v>
      </c>
      <c r="E519" s="51" t="s">
        <v>45</v>
      </c>
      <c r="F519" s="45" t="s">
        <v>2207</v>
      </c>
    </row>
    <row r="520" spans="1:6" hidden="1" x14ac:dyDescent="0.2">
      <c r="A520" s="46">
        <v>45766</v>
      </c>
      <c r="B520" s="33" t="s">
        <v>2033</v>
      </c>
      <c r="C520" s="33">
        <v>10.38</v>
      </c>
      <c r="D520" s="33" t="s">
        <v>165</v>
      </c>
      <c r="E520" s="52" t="s">
        <v>45</v>
      </c>
      <c r="F520" s="47" t="s">
        <v>2207</v>
      </c>
    </row>
    <row r="521" spans="1:6" hidden="1" x14ac:dyDescent="0.2">
      <c r="A521" s="44">
        <v>45765</v>
      </c>
      <c r="B521" s="42" t="s">
        <v>1619</v>
      </c>
      <c r="C521" s="42">
        <v>15.06</v>
      </c>
      <c r="D521" s="42" t="s">
        <v>165</v>
      </c>
      <c r="E521" s="51" t="s">
        <v>45</v>
      </c>
      <c r="F521" s="45" t="s">
        <v>2207</v>
      </c>
    </row>
    <row r="522" spans="1:6" hidden="1" x14ac:dyDescent="0.2">
      <c r="A522" s="46">
        <v>45764</v>
      </c>
      <c r="B522" s="33" t="s">
        <v>1697</v>
      </c>
      <c r="C522" s="33">
        <v>16.57</v>
      </c>
      <c r="D522" s="33" t="s">
        <v>165</v>
      </c>
      <c r="E522" s="52" t="s">
        <v>45</v>
      </c>
      <c r="F522" s="47" t="s">
        <v>2207</v>
      </c>
    </row>
    <row r="523" spans="1:6" hidden="1" x14ac:dyDescent="0.2">
      <c r="A523" s="44">
        <v>45763</v>
      </c>
      <c r="B523" s="42" t="s">
        <v>1619</v>
      </c>
      <c r="C523" s="42">
        <v>15.06</v>
      </c>
      <c r="D523" s="42" t="s">
        <v>165</v>
      </c>
      <c r="E523" s="51" t="s">
        <v>45</v>
      </c>
      <c r="F523" s="45" t="s">
        <v>2207</v>
      </c>
    </row>
    <row r="524" spans="1:6" hidden="1" x14ac:dyDescent="0.2">
      <c r="A524" s="46">
        <v>45762</v>
      </c>
      <c r="B524" s="33" t="s">
        <v>2037</v>
      </c>
      <c r="C524" s="33">
        <v>34.04</v>
      </c>
      <c r="D524" s="33" t="s">
        <v>165</v>
      </c>
      <c r="E524" s="52" t="s">
        <v>45</v>
      </c>
      <c r="F524" s="47" t="s">
        <v>2207</v>
      </c>
    </row>
    <row r="525" spans="1:6" hidden="1" x14ac:dyDescent="0.2">
      <c r="A525" s="44">
        <v>45761</v>
      </c>
      <c r="B525" s="42" t="s">
        <v>1587</v>
      </c>
      <c r="C525" s="42">
        <v>15.43</v>
      </c>
      <c r="D525" s="42" t="s">
        <v>165</v>
      </c>
      <c r="E525" s="51" t="s">
        <v>45</v>
      </c>
      <c r="F525" s="45" t="s">
        <v>2207</v>
      </c>
    </row>
    <row r="526" spans="1:6" hidden="1" x14ac:dyDescent="0.2">
      <c r="A526" s="46">
        <v>45760</v>
      </c>
      <c r="B526" s="33" t="s">
        <v>2006</v>
      </c>
      <c r="C526" s="33">
        <v>67.48</v>
      </c>
      <c r="D526" s="33" t="s">
        <v>165</v>
      </c>
      <c r="E526" s="52" t="s">
        <v>45</v>
      </c>
      <c r="F526" s="47" t="s">
        <v>2207</v>
      </c>
    </row>
    <row r="527" spans="1:6" hidden="1" x14ac:dyDescent="0.2">
      <c r="A527" s="44">
        <v>45759</v>
      </c>
      <c r="B527" s="42" t="s">
        <v>2038</v>
      </c>
      <c r="C527" s="42">
        <v>68.5</v>
      </c>
      <c r="D527" s="42" t="s">
        <v>165</v>
      </c>
      <c r="E527" s="51" t="s">
        <v>45</v>
      </c>
      <c r="F527" s="45" t="s">
        <v>2207</v>
      </c>
    </row>
    <row r="528" spans="1:6" hidden="1" x14ac:dyDescent="0.2">
      <c r="A528" s="46">
        <v>45758</v>
      </c>
      <c r="B528" s="33" t="s">
        <v>1587</v>
      </c>
      <c r="C528" s="33">
        <v>14</v>
      </c>
      <c r="D528" s="33" t="s">
        <v>165</v>
      </c>
      <c r="E528" s="52" t="s">
        <v>45</v>
      </c>
      <c r="F528" s="47" t="s">
        <v>2207</v>
      </c>
    </row>
    <row r="529" spans="1:6" hidden="1" x14ac:dyDescent="0.2">
      <c r="A529" s="44">
        <v>45758</v>
      </c>
      <c r="B529" s="42" t="s">
        <v>1529</v>
      </c>
      <c r="C529" s="42">
        <v>28.83</v>
      </c>
      <c r="D529" s="42" t="s">
        <v>165</v>
      </c>
      <c r="E529" s="51" t="s">
        <v>45</v>
      </c>
      <c r="F529" s="45" t="s">
        <v>2207</v>
      </c>
    </row>
    <row r="530" spans="1:6" hidden="1" x14ac:dyDescent="0.2">
      <c r="A530" s="46">
        <v>45757</v>
      </c>
      <c r="B530" s="33" t="s">
        <v>2040</v>
      </c>
      <c r="C530" s="33">
        <v>32.43</v>
      </c>
      <c r="D530" s="33" t="s">
        <v>165</v>
      </c>
      <c r="E530" s="52" t="s">
        <v>45</v>
      </c>
      <c r="F530" s="47" t="s">
        <v>2207</v>
      </c>
    </row>
    <row r="531" spans="1:6" hidden="1" x14ac:dyDescent="0.2">
      <c r="A531" s="44">
        <v>45757</v>
      </c>
      <c r="B531" s="42" t="s">
        <v>2042</v>
      </c>
      <c r="C531" s="42">
        <v>17.86</v>
      </c>
      <c r="D531" s="42" t="s">
        <v>165</v>
      </c>
      <c r="E531" s="51" t="s">
        <v>45</v>
      </c>
      <c r="F531" s="45" t="s">
        <v>2207</v>
      </c>
    </row>
    <row r="532" spans="1:6" hidden="1" x14ac:dyDescent="0.2">
      <c r="A532" s="46">
        <v>45756</v>
      </c>
      <c r="B532" s="33" t="s">
        <v>1534</v>
      </c>
      <c r="C532" s="33">
        <v>27.92</v>
      </c>
      <c r="D532" s="33" t="s">
        <v>165</v>
      </c>
      <c r="E532" s="52" t="s">
        <v>45</v>
      </c>
      <c r="F532" s="47" t="s">
        <v>2207</v>
      </c>
    </row>
    <row r="533" spans="1:6" hidden="1" x14ac:dyDescent="0.2">
      <c r="A533" s="44">
        <v>45755</v>
      </c>
      <c r="B533" s="42" t="s">
        <v>1534</v>
      </c>
      <c r="C533" s="42">
        <v>16.809999999999999</v>
      </c>
      <c r="D533" s="42" t="s">
        <v>165</v>
      </c>
      <c r="E533" s="51" t="s">
        <v>45</v>
      </c>
      <c r="F533" s="45" t="s">
        <v>2207</v>
      </c>
    </row>
    <row r="534" spans="1:6" hidden="1" x14ac:dyDescent="0.2">
      <c r="A534" s="46">
        <v>45755</v>
      </c>
      <c r="B534" s="33" t="s">
        <v>1554</v>
      </c>
      <c r="C534" s="33">
        <v>18.809999999999999</v>
      </c>
      <c r="D534" s="33" t="s">
        <v>165</v>
      </c>
      <c r="E534" s="52" t="s">
        <v>45</v>
      </c>
      <c r="F534" s="47" t="s">
        <v>2207</v>
      </c>
    </row>
    <row r="535" spans="1:6" hidden="1" x14ac:dyDescent="0.2">
      <c r="A535" s="44">
        <v>45755</v>
      </c>
      <c r="B535" s="42" t="s">
        <v>1534</v>
      </c>
      <c r="C535" s="42">
        <v>17.25</v>
      </c>
      <c r="D535" s="42" t="s">
        <v>165</v>
      </c>
      <c r="E535" s="51" t="s">
        <v>45</v>
      </c>
      <c r="F535" s="45" t="s">
        <v>2207</v>
      </c>
    </row>
    <row r="536" spans="1:6" hidden="1" x14ac:dyDescent="0.2">
      <c r="A536" s="46">
        <v>45755</v>
      </c>
      <c r="B536" s="33" t="s">
        <v>1796</v>
      </c>
      <c r="C536" s="33">
        <v>7.52</v>
      </c>
      <c r="D536" s="33" t="s">
        <v>165</v>
      </c>
      <c r="E536" s="52" t="s">
        <v>45</v>
      </c>
      <c r="F536" s="47" t="s">
        <v>2207</v>
      </c>
    </row>
    <row r="537" spans="1:6" hidden="1" x14ac:dyDescent="0.2">
      <c r="A537" s="44">
        <v>45753</v>
      </c>
      <c r="B537" s="42" t="s">
        <v>1619</v>
      </c>
      <c r="C537" s="42">
        <v>12.03</v>
      </c>
      <c r="D537" s="42" t="s">
        <v>165</v>
      </c>
      <c r="E537" s="51" t="s">
        <v>45</v>
      </c>
      <c r="F537" s="45" t="s">
        <v>2207</v>
      </c>
    </row>
    <row r="538" spans="1:6" hidden="1" x14ac:dyDescent="0.2">
      <c r="A538" s="46">
        <v>45752</v>
      </c>
      <c r="B538" s="33" t="s">
        <v>1587</v>
      </c>
      <c r="C538" s="33">
        <v>27.42</v>
      </c>
      <c r="D538" s="33" t="s">
        <v>165</v>
      </c>
      <c r="E538" s="52" t="s">
        <v>45</v>
      </c>
      <c r="F538" s="47" t="s">
        <v>2207</v>
      </c>
    </row>
    <row r="539" spans="1:6" hidden="1" x14ac:dyDescent="0.2">
      <c r="A539" s="44">
        <v>45751</v>
      </c>
      <c r="B539" s="42" t="s">
        <v>1796</v>
      </c>
      <c r="C539" s="42">
        <v>20.94</v>
      </c>
      <c r="D539" s="42" t="s">
        <v>165</v>
      </c>
      <c r="E539" s="51" t="s">
        <v>45</v>
      </c>
      <c r="F539" s="45" t="s">
        <v>2207</v>
      </c>
    </row>
    <row r="540" spans="1:6" hidden="1" x14ac:dyDescent="0.2">
      <c r="A540" s="46">
        <v>45750</v>
      </c>
      <c r="B540" s="33" t="s">
        <v>1534</v>
      </c>
      <c r="C540" s="33">
        <v>27.91</v>
      </c>
      <c r="D540" s="33" t="s">
        <v>165</v>
      </c>
      <c r="E540" s="52" t="s">
        <v>45</v>
      </c>
      <c r="F540" s="47" t="s">
        <v>2207</v>
      </c>
    </row>
    <row r="541" spans="1:6" hidden="1" x14ac:dyDescent="0.2">
      <c r="A541" s="44">
        <v>45749</v>
      </c>
      <c r="B541" s="42" t="s">
        <v>1534</v>
      </c>
      <c r="C541" s="42">
        <v>12.37</v>
      </c>
      <c r="D541" s="42" t="s">
        <v>165</v>
      </c>
      <c r="E541" s="51" t="s">
        <v>45</v>
      </c>
      <c r="F541" s="45" t="s">
        <v>2207</v>
      </c>
    </row>
    <row r="542" spans="1:6" hidden="1" x14ac:dyDescent="0.2">
      <c r="A542" s="46">
        <v>45748</v>
      </c>
      <c r="B542" s="33" t="s">
        <v>1562</v>
      </c>
      <c r="C542" s="33">
        <v>36.74</v>
      </c>
      <c r="D542" s="33" t="s">
        <v>165</v>
      </c>
      <c r="E542" s="52" t="s">
        <v>45</v>
      </c>
      <c r="F542" s="47" t="s">
        <v>2207</v>
      </c>
    </row>
    <row r="543" spans="1:6" hidden="1" x14ac:dyDescent="0.2">
      <c r="A543" s="44">
        <v>45748</v>
      </c>
      <c r="B543" s="42" t="s">
        <v>1796</v>
      </c>
      <c r="C543" s="42">
        <v>16.809999999999999</v>
      </c>
      <c r="D543" s="42" t="s">
        <v>165</v>
      </c>
      <c r="E543" s="51" t="s">
        <v>45</v>
      </c>
      <c r="F543" s="45" t="s">
        <v>2207</v>
      </c>
    </row>
    <row r="544" spans="1:6" hidden="1" x14ac:dyDescent="0.2">
      <c r="A544" s="46">
        <v>45748</v>
      </c>
      <c r="B544" s="33" t="s">
        <v>1965</v>
      </c>
      <c r="C544" s="33">
        <v>47.44</v>
      </c>
      <c r="D544" s="33" t="s">
        <v>165</v>
      </c>
      <c r="E544" s="52" t="s">
        <v>45</v>
      </c>
      <c r="F544" s="47" t="s">
        <v>2207</v>
      </c>
    </row>
    <row r="545" spans="1:6" hidden="1" x14ac:dyDescent="0.2">
      <c r="A545" s="44">
        <v>45746</v>
      </c>
      <c r="B545" s="42" t="s">
        <v>1585</v>
      </c>
      <c r="C545" s="42">
        <v>19.84</v>
      </c>
      <c r="D545" s="42" t="s">
        <v>165</v>
      </c>
      <c r="E545" s="51" t="s">
        <v>45</v>
      </c>
      <c r="F545" s="45" t="s">
        <v>2207</v>
      </c>
    </row>
    <row r="546" spans="1:6" hidden="1" x14ac:dyDescent="0.2">
      <c r="A546" s="46">
        <v>45745</v>
      </c>
      <c r="B546" s="33" t="s">
        <v>1587</v>
      </c>
      <c r="C546" s="33">
        <v>11.45</v>
      </c>
      <c r="D546" s="33" t="s">
        <v>165</v>
      </c>
      <c r="E546" s="52" t="s">
        <v>45</v>
      </c>
      <c r="F546" s="47" t="s">
        <v>2207</v>
      </c>
    </row>
    <row r="547" spans="1:6" hidden="1" x14ac:dyDescent="0.2">
      <c r="A547" s="44">
        <v>45744</v>
      </c>
      <c r="B547" s="42" t="s">
        <v>1534</v>
      </c>
      <c r="C547" s="42">
        <v>27.91</v>
      </c>
      <c r="D547" s="42" t="s">
        <v>165</v>
      </c>
      <c r="E547" s="51" t="s">
        <v>45</v>
      </c>
      <c r="F547" s="45" t="s">
        <v>2207</v>
      </c>
    </row>
    <row r="548" spans="1:6" hidden="1" x14ac:dyDescent="0.2">
      <c r="A548" s="46">
        <v>45744</v>
      </c>
      <c r="B548" s="33" t="s">
        <v>1965</v>
      </c>
      <c r="C548" s="33">
        <v>15.01</v>
      </c>
      <c r="D548" s="33" t="s">
        <v>165</v>
      </c>
      <c r="E548" s="52" t="s">
        <v>45</v>
      </c>
      <c r="F548" s="47" t="s">
        <v>2207</v>
      </c>
    </row>
    <row r="549" spans="1:6" hidden="1" x14ac:dyDescent="0.2">
      <c r="A549" s="44">
        <v>45743</v>
      </c>
      <c r="B549" s="42" t="s">
        <v>2000</v>
      </c>
      <c r="C549" s="42">
        <v>11.41</v>
      </c>
      <c r="D549" s="42" t="s">
        <v>165</v>
      </c>
      <c r="E549" s="51" t="s">
        <v>45</v>
      </c>
      <c r="F549" s="45" t="s">
        <v>2207</v>
      </c>
    </row>
    <row r="550" spans="1:6" hidden="1" x14ac:dyDescent="0.2">
      <c r="A550" s="46">
        <v>45743</v>
      </c>
      <c r="B550" s="33" t="s">
        <v>1534</v>
      </c>
      <c r="C550" s="33">
        <v>12.37</v>
      </c>
      <c r="D550" s="33" t="s">
        <v>165</v>
      </c>
      <c r="E550" s="52" t="s">
        <v>45</v>
      </c>
      <c r="F550" s="47" t="s">
        <v>2207</v>
      </c>
    </row>
    <row r="551" spans="1:6" hidden="1" x14ac:dyDescent="0.2">
      <c r="A551" s="44">
        <v>45742</v>
      </c>
      <c r="B551" s="42" t="s">
        <v>1529</v>
      </c>
      <c r="C551" s="42">
        <v>26.07</v>
      </c>
      <c r="D551" s="42" t="s">
        <v>165</v>
      </c>
      <c r="E551" s="51" t="s">
        <v>45</v>
      </c>
      <c r="F551" s="45" t="s">
        <v>2207</v>
      </c>
    </row>
    <row r="552" spans="1:6" hidden="1" x14ac:dyDescent="0.2">
      <c r="A552" s="46">
        <v>45742</v>
      </c>
      <c r="B552" s="33" t="s">
        <v>1796</v>
      </c>
      <c r="C552" s="33">
        <v>6.97</v>
      </c>
      <c r="D552" s="33" t="s">
        <v>165</v>
      </c>
      <c r="E552" s="52" t="s">
        <v>45</v>
      </c>
      <c r="F552" s="47" t="s">
        <v>2207</v>
      </c>
    </row>
    <row r="553" spans="1:6" hidden="1" x14ac:dyDescent="0.2">
      <c r="A553" s="44">
        <v>45742</v>
      </c>
      <c r="B553" s="42" t="s">
        <v>1534</v>
      </c>
      <c r="C553" s="42">
        <v>12.37</v>
      </c>
      <c r="D553" s="42" t="s">
        <v>165</v>
      </c>
      <c r="E553" s="51" t="s">
        <v>45</v>
      </c>
      <c r="F553" s="45" t="s">
        <v>2207</v>
      </c>
    </row>
    <row r="554" spans="1:6" hidden="1" x14ac:dyDescent="0.2">
      <c r="A554" s="46">
        <v>45741</v>
      </c>
      <c r="B554" s="33" t="s">
        <v>2064</v>
      </c>
      <c r="C554" s="33">
        <v>79.540000000000006</v>
      </c>
      <c r="D554" s="33" t="s">
        <v>165</v>
      </c>
      <c r="E554" s="52" t="s">
        <v>45</v>
      </c>
      <c r="F554" s="47" t="s">
        <v>2207</v>
      </c>
    </row>
    <row r="555" spans="1:6" hidden="1" x14ac:dyDescent="0.2">
      <c r="A555" s="44">
        <v>45741</v>
      </c>
      <c r="B555" s="42" t="s">
        <v>1796</v>
      </c>
      <c r="C555" s="42">
        <v>18.399999999999999</v>
      </c>
      <c r="D555" s="42" t="s">
        <v>165</v>
      </c>
      <c r="E555" s="51" t="s">
        <v>45</v>
      </c>
      <c r="F555" s="45" t="s">
        <v>2207</v>
      </c>
    </row>
    <row r="556" spans="1:6" hidden="1" x14ac:dyDescent="0.2">
      <c r="A556" s="46">
        <v>45740</v>
      </c>
      <c r="B556" s="33" t="s">
        <v>1534</v>
      </c>
      <c r="C556" s="33">
        <v>27.91</v>
      </c>
      <c r="D556" s="33" t="s">
        <v>165</v>
      </c>
      <c r="E556" s="52" t="s">
        <v>45</v>
      </c>
      <c r="F556" s="47" t="s">
        <v>2207</v>
      </c>
    </row>
    <row r="557" spans="1:6" hidden="1" x14ac:dyDescent="0.2">
      <c r="A557" s="44">
        <v>45739</v>
      </c>
      <c r="B557" s="42" t="s">
        <v>2069</v>
      </c>
      <c r="C557" s="42">
        <v>15.47</v>
      </c>
      <c r="D557" s="42" t="s">
        <v>165</v>
      </c>
      <c r="E557" s="51" t="s">
        <v>45</v>
      </c>
      <c r="F557" s="45" t="s">
        <v>2207</v>
      </c>
    </row>
    <row r="558" spans="1:6" hidden="1" x14ac:dyDescent="0.2">
      <c r="A558" s="46">
        <v>45739</v>
      </c>
      <c r="B558" s="33" t="s">
        <v>2070</v>
      </c>
      <c r="C558" s="33">
        <v>12</v>
      </c>
      <c r="D558" s="33" t="s">
        <v>165</v>
      </c>
      <c r="E558" s="52" t="s">
        <v>45</v>
      </c>
      <c r="F558" s="47" t="s">
        <v>2207</v>
      </c>
    </row>
    <row r="559" spans="1:6" hidden="1" x14ac:dyDescent="0.2">
      <c r="A559" s="44">
        <v>45739</v>
      </c>
      <c r="B559" s="42" t="s">
        <v>1587</v>
      </c>
      <c r="C559" s="42">
        <v>19.399999999999999</v>
      </c>
      <c r="D559" s="42" t="s">
        <v>165</v>
      </c>
      <c r="E559" s="51" t="s">
        <v>45</v>
      </c>
      <c r="F559" s="45" t="s">
        <v>2207</v>
      </c>
    </row>
    <row r="560" spans="1:6" hidden="1" x14ac:dyDescent="0.2">
      <c r="A560" s="46">
        <v>45739</v>
      </c>
      <c r="B560" s="33" t="s">
        <v>2074</v>
      </c>
      <c r="C560" s="33">
        <v>29.27</v>
      </c>
      <c r="D560" s="33" t="s">
        <v>165</v>
      </c>
      <c r="E560" s="52" t="s">
        <v>45</v>
      </c>
      <c r="F560" s="47" t="s">
        <v>2207</v>
      </c>
    </row>
    <row r="561" spans="1:6" hidden="1" x14ac:dyDescent="0.2">
      <c r="A561" s="44">
        <v>45739</v>
      </c>
      <c r="B561" s="42" t="s">
        <v>2075</v>
      </c>
      <c r="C561" s="42">
        <v>4.88</v>
      </c>
      <c r="D561" s="42" t="s">
        <v>165</v>
      </c>
      <c r="E561" s="51" t="s">
        <v>45</v>
      </c>
      <c r="F561" s="45" t="s">
        <v>2207</v>
      </c>
    </row>
    <row r="562" spans="1:6" hidden="1" x14ac:dyDescent="0.2">
      <c r="A562" s="46">
        <v>45739</v>
      </c>
      <c r="B562" s="33" t="s">
        <v>2070</v>
      </c>
      <c r="C562" s="33">
        <v>25</v>
      </c>
      <c r="D562" s="33" t="s">
        <v>165</v>
      </c>
      <c r="E562" s="52" t="s">
        <v>45</v>
      </c>
      <c r="F562" s="47" t="s">
        <v>2207</v>
      </c>
    </row>
    <row r="563" spans="1:6" hidden="1" x14ac:dyDescent="0.2">
      <c r="A563" s="44">
        <v>45739</v>
      </c>
      <c r="B563" s="42" t="s">
        <v>2077</v>
      </c>
      <c r="C563" s="42">
        <v>11.91</v>
      </c>
      <c r="D563" s="42" t="s">
        <v>165</v>
      </c>
      <c r="E563" s="51" t="s">
        <v>45</v>
      </c>
      <c r="F563" s="45" t="s">
        <v>2207</v>
      </c>
    </row>
    <row r="564" spans="1:6" hidden="1" x14ac:dyDescent="0.2">
      <c r="A564" s="46">
        <v>45738</v>
      </c>
      <c r="B564" s="33" t="s">
        <v>1605</v>
      </c>
      <c r="C564" s="33">
        <v>12.05</v>
      </c>
      <c r="D564" s="33" t="s">
        <v>165</v>
      </c>
      <c r="E564" s="52" t="s">
        <v>45</v>
      </c>
      <c r="F564" s="47" t="s">
        <v>2207</v>
      </c>
    </row>
    <row r="565" spans="1:6" hidden="1" x14ac:dyDescent="0.2">
      <c r="A565" s="44">
        <v>45738</v>
      </c>
      <c r="B565" s="42" t="s">
        <v>1965</v>
      </c>
      <c r="C565" s="42">
        <v>46.85</v>
      </c>
      <c r="D565" s="42" t="s">
        <v>165</v>
      </c>
      <c r="E565" s="51" t="s">
        <v>45</v>
      </c>
      <c r="F565" s="45" t="s">
        <v>2207</v>
      </c>
    </row>
    <row r="566" spans="1:6" hidden="1" x14ac:dyDescent="0.2">
      <c r="A566" s="46">
        <v>45737</v>
      </c>
      <c r="B566" s="33" t="s">
        <v>1534</v>
      </c>
      <c r="C566" s="33">
        <v>13.99</v>
      </c>
      <c r="D566" s="33" t="s">
        <v>165</v>
      </c>
      <c r="E566" s="52" t="s">
        <v>45</v>
      </c>
      <c r="F566" s="47" t="s">
        <v>2207</v>
      </c>
    </row>
    <row r="567" spans="1:6" hidden="1" x14ac:dyDescent="0.2">
      <c r="A567" s="44">
        <v>45737</v>
      </c>
      <c r="B567" s="42" t="s">
        <v>1554</v>
      </c>
      <c r="C567" s="42">
        <v>18.809999999999999</v>
      </c>
      <c r="D567" s="42" t="s">
        <v>165</v>
      </c>
      <c r="E567" s="51" t="s">
        <v>45</v>
      </c>
      <c r="F567" s="45" t="s">
        <v>2207</v>
      </c>
    </row>
    <row r="568" spans="1:6" hidden="1" x14ac:dyDescent="0.2">
      <c r="A568" s="46">
        <v>45736</v>
      </c>
      <c r="B568" s="33" t="s">
        <v>1796</v>
      </c>
      <c r="C568" s="33">
        <v>20.94</v>
      </c>
      <c r="D568" s="33" t="s">
        <v>165</v>
      </c>
      <c r="E568" s="52" t="s">
        <v>45</v>
      </c>
      <c r="F568" s="47" t="s">
        <v>2207</v>
      </c>
    </row>
    <row r="569" spans="1:6" hidden="1" x14ac:dyDescent="0.2">
      <c r="A569" s="44">
        <v>45735</v>
      </c>
      <c r="B569" s="42" t="s">
        <v>1796</v>
      </c>
      <c r="C569" s="42">
        <v>20.94</v>
      </c>
      <c r="D569" s="42" t="s">
        <v>165</v>
      </c>
      <c r="E569" s="51" t="s">
        <v>45</v>
      </c>
      <c r="F569" s="45" t="s">
        <v>2207</v>
      </c>
    </row>
    <row r="570" spans="1:6" hidden="1" x14ac:dyDescent="0.2">
      <c r="A570" s="46">
        <v>45734</v>
      </c>
      <c r="B570" s="33" t="s">
        <v>1534</v>
      </c>
      <c r="C570" s="33">
        <v>31.41</v>
      </c>
      <c r="D570" s="33" t="s">
        <v>165</v>
      </c>
      <c r="E570" s="52" t="s">
        <v>45</v>
      </c>
      <c r="F570" s="47" t="s">
        <v>2207</v>
      </c>
    </row>
    <row r="571" spans="1:6" hidden="1" x14ac:dyDescent="0.2">
      <c r="A571" s="44">
        <v>45733</v>
      </c>
      <c r="B571" s="42" t="s">
        <v>1534</v>
      </c>
      <c r="C571" s="42">
        <v>12.37</v>
      </c>
      <c r="D571" s="42" t="s">
        <v>165</v>
      </c>
      <c r="E571" s="51" t="s">
        <v>45</v>
      </c>
      <c r="F571" s="45" t="s">
        <v>2207</v>
      </c>
    </row>
    <row r="572" spans="1:6" hidden="1" x14ac:dyDescent="0.2">
      <c r="A572" s="46">
        <v>45733</v>
      </c>
      <c r="B572" s="33" t="s">
        <v>1619</v>
      </c>
      <c r="C572" s="33">
        <v>12.03</v>
      </c>
      <c r="D572" s="33" t="s">
        <v>165</v>
      </c>
      <c r="E572" s="52" t="s">
        <v>45</v>
      </c>
      <c r="F572" s="47" t="s">
        <v>2207</v>
      </c>
    </row>
    <row r="573" spans="1:6" hidden="1" x14ac:dyDescent="0.2">
      <c r="A573" s="44">
        <v>45732</v>
      </c>
      <c r="B573" s="42" t="s">
        <v>1587</v>
      </c>
      <c r="C573" s="42">
        <v>12.04</v>
      </c>
      <c r="D573" s="42" t="s">
        <v>165</v>
      </c>
      <c r="E573" s="51" t="s">
        <v>45</v>
      </c>
      <c r="F573" s="45" t="s">
        <v>2207</v>
      </c>
    </row>
    <row r="574" spans="1:6" hidden="1" x14ac:dyDescent="0.2">
      <c r="A574" s="46">
        <v>45732</v>
      </c>
      <c r="B574" s="33" t="s">
        <v>1715</v>
      </c>
      <c r="C574" s="33">
        <v>20.190000000000001</v>
      </c>
      <c r="D574" s="33" t="s">
        <v>165</v>
      </c>
      <c r="E574" s="52" t="s">
        <v>45</v>
      </c>
      <c r="F574" s="47" t="s">
        <v>2207</v>
      </c>
    </row>
    <row r="575" spans="1:6" hidden="1" x14ac:dyDescent="0.2">
      <c r="A575" s="44">
        <v>45732</v>
      </c>
      <c r="B575" s="42" t="s">
        <v>1580</v>
      </c>
      <c r="C575" s="42">
        <v>39.72</v>
      </c>
      <c r="D575" s="42" t="s">
        <v>165</v>
      </c>
      <c r="E575" s="51" t="s">
        <v>45</v>
      </c>
      <c r="F575" s="45" t="s">
        <v>2207</v>
      </c>
    </row>
    <row r="576" spans="1:6" hidden="1" x14ac:dyDescent="0.2">
      <c r="A576" s="46">
        <v>45730</v>
      </c>
      <c r="B576" s="33" t="s">
        <v>1575</v>
      </c>
      <c r="C576" s="33">
        <v>12.03</v>
      </c>
      <c r="D576" s="33" t="s">
        <v>165</v>
      </c>
      <c r="E576" s="52" t="s">
        <v>45</v>
      </c>
      <c r="F576" s="47" t="s">
        <v>2207</v>
      </c>
    </row>
    <row r="577" spans="1:6" hidden="1" x14ac:dyDescent="0.2">
      <c r="A577" s="44">
        <v>45730</v>
      </c>
      <c r="B577" s="42" t="s">
        <v>2083</v>
      </c>
      <c r="C577" s="42">
        <v>20.94</v>
      </c>
      <c r="D577" s="42" t="s">
        <v>165</v>
      </c>
      <c r="E577" s="51" t="s">
        <v>45</v>
      </c>
      <c r="F577" s="45" t="s">
        <v>2207</v>
      </c>
    </row>
    <row r="578" spans="1:6" hidden="1" x14ac:dyDescent="0.2">
      <c r="A578" s="46">
        <v>45729</v>
      </c>
      <c r="B578" s="33" t="s">
        <v>2083</v>
      </c>
      <c r="C578" s="33">
        <v>20.94</v>
      </c>
      <c r="D578" s="33" t="s">
        <v>165</v>
      </c>
      <c r="E578" s="52" t="s">
        <v>45</v>
      </c>
      <c r="F578" s="47" t="s">
        <v>2207</v>
      </c>
    </row>
    <row r="579" spans="1:6" hidden="1" x14ac:dyDescent="0.2">
      <c r="A579" s="44">
        <v>45728</v>
      </c>
      <c r="B579" s="42" t="s">
        <v>1534</v>
      </c>
      <c r="C579" s="42">
        <v>15.86</v>
      </c>
      <c r="D579" s="42" t="s">
        <v>165</v>
      </c>
      <c r="E579" s="51" t="s">
        <v>45</v>
      </c>
      <c r="F579" s="45" t="s">
        <v>2207</v>
      </c>
    </row>
    <row r="580" spans="1:6" hidden="1" x14ac:dyDescent="0.2">
      <c r="A580" s="46">
        <v>45728</v>
      </c>
      <c r="B580" s="33" t="s">
        <v>1578</v>
      </c>
      <c r="C580" s="33">
        <v>12.94</v>
      </c>
      <c r="D580" s="33" t="s">
        <v>165</v>
      </c>
      <c r="E580" s="52" t="s">
        <v>45</v>
      </c>
      <c r="F580" s="47" t="s">
        <v>2207</v>
      </c>
    </row>
    <row r="581" spans="1:6" hidden="1" x14ac:dyDescent="0.2">
      <c r="A581" s="44">
        <v>45726</v>
      </c>
      <c r="B581" s="42" t="s">
        <v>1534</v>
      </c>
      <c r="C581" s="42">
        <v>10</v>
      </c>
      <c r="D581" s="42" t="s">
        <v>165</v>
      </c>
      <c r="E581" s="51" t="s">
        <v>45</v>
      </c>
      <c r="F581" s="45" t="s">
        <v>2207</v>
      </c>
    </row>
    <row r="582" spans="1:6" hidden="1" x14ac:dyDescent="0.2">
      <c r="A582" s="46">
        <v>45726</v>
      </c>
      <c r="B582" s="33" t="s">
        <v>2090</v>
      </c>
      <c r="C582" s="33">
        <v>6.36</v>
      </c>
      <c r="D582" s="33" t="s">
        <v>165</v>
      </c>
      <c r="E582" s="52" t="s">
        <v>45</v>
      </c>
      <c r="F582" s="47" t="s">
        <v>2207</v>
      </c>
    </row>
    <row r="583" spans="1:6" hidden="1" x14ac:dyDescent="0.2">
      <c r="A583" s="44">
        <v>45726</v>
      </c>
      <c r="B583" s="42" t="s">
        <v>1534</v>
      </c>
      <c r="C583" s="42">
        <v>11.11</v>
      </c>
      <c r="D583" s="42" t="s">
        <v>165</v>
      </c>
      <c r="E583" s="51" t="s">
        <v>45</v>
      </c>
      <c r="F583" s="45" t="s">
        <v>2207</v>
      </c>
    </row>
    <row r="584" spans="1:6" hidden="1" x14ac:dyDescent="0.2">
      <c r="A584" s="46">
        <v>45726</v>
      </c>
      <c r="B584" s="33" t="s">
        <v>2092</v>
      </c>
      <c r="C584" s="33">
        <v>5.72</v>
      </c>
      <c r="D584" s="33" t="s">
        <v>165</v>
      </c>
      <c r="E584" s="52" t="s">
        <v>45</v>
      </c>
      <c r="F584" s="47" t="s">
        <v>2207</v>
      </c>
    </row>
    <row r="585" spans="1:6" hidden="1" x14ac:dyDescent="0.2">
      <c r="A585" s="44">
        <v>45725</v>
      </c>
      <c r="B585" s="42" t="s">
        <v>1665</v>
      </c>
      <c r="C585" s="42">
        <v>27.95</v>
      </c>
      <c r="D585" s="42" t="s">
        <v>165</v>
      </c>
      <c r="E585" s="51" t="s">
        <v>45</v>
      </c>
      <c r="F585" s="45" t="s">
        <v>2207</v>
      </c>
    </row>
    <row r="586" spans="1:6" hidden="1" x14ac:dyDescent="0.2">
      <c r="A586" s="46">
        <v>45724</v>
      </c>
      <c r="B586" s="33" t="s">
        <v>205</v>
      </c>
      <c r="C586" s="33">
        <v>2.6</v>
      </c>
      <c r="D586" s="33" t="s">
        <v>165</v>
      </c>
      <c r="E586" s="52" t="s">
        <v>45</v>
      </c>
      <c r="F586" s="47" t="s">
        <v>2207</v>
      </c>
    </row>
    <row r="587" spans="1:6" hidden="1" x14ac:dyDescent="0.2">
      <c r="A587" s="44">
        <v>45724</v>
      </c>
      <c r="B587" s="42" t="s">
        <v>205</v>
      </c>
      <c r="C587" s="42">
        <v>2.6</v>
      </c>
      <c r="D587" s="42" t="s">
        <v>165</v>
      </c>
      <c r="E587" s="51" t="s">
        <v>45</v>
      </c>
      <c r="F587" s="45" t="s">
        <v>2207</v>
      </c>
    </row>
    <row r="588" spans="1:6" hidden="1" x14ac:dyDescent="0.2">
      <c r="A588" s="46">
        <v>45724</v>
      </c>
      <c r="B588" s="33" t="s">
        <v>1533</v>
      </c>
      <c r="C588" s="33">
        <v>28.24</v>
      </c>
      <c r="D588" s="33" t="s">
        <v>165</v>
      </c>
      <c r="E588" s="52" t="s">
        <v>45</v>
      </c>
      <c r="F588" s="47" t="s">
        <v>2207</v>
      </c>
    </row>
    <row r="589" spans="1:6" hidden="1" x14ac:dyDescent="0.2">
      <c r="A589" s="44">
        <v>45724</v>
      </c>
      <c r="B589" s="42" t="s">
        <v>1587</v>
      </c>
      <c r="C589" s="42">
        <v>13</v>
      </c>
      <c r="D589" s="42" t="s">
        <v>165</v>
      </c>
      <c r="E589" s="51" t="s">
        <v>45</v>
      </c>
      <c r="F589" s="45" t="s">
        <v>2207</v>
      </c>
    </row>
    <row r="590" spans="1:6" hidden="1" x14ac:dyDescent="0.2">
      <c r="A590" s="46">
        <v>45724</v>
      </c>
      <c r="B590" s="33" t="s">
        <v>1575</v>
      </c>
      <c r="C590" s="33">
        <v>15.45</v>
      </c>
      <c r="D590" s="33" t="s">
        <v>165</v>
      </c>
      <c r="E590" s="52" t="s">
        <v>45</v>
      </c>
      <c r="F590" s="47" t="s">
        <v>2207</v>
      </c>
    </row>
    <row r="591" spans="1:6" hidden="1" x14ac:dyDescent="0.2">
      <c r="A591" s="44">
        <v>45721</v>
      </c>
      <c r="B591" s="42" t="s">
        <v>1534</v>
      </c>
      <c r="C591" s="42">
        <v>18.23</v>
      </c>
      <c r="D591" s="42" t="s">
        <v>165</v>
      </c>
      <c r="E591" s="51" t="s">
        <v>45</v>
      </c>
      <c r="F591" s="45" t="s">
        <v>2207</v>
      </c>
    </row>
    <row r="592" spans="1:6" hidden="1" x14ac:dyDescent="0.2">
      <c r="A592" s="46">
        <v>45721</v>
      </c>
      <c r="B592" s="33" t="s">
        <v>1666</v>
      </c>
      <c r="C592" s="33">
        <v>6.36</v>
      </c>
      <c r="D592" s="33" t="s">
        <v>165</v>
      </c>
      <c r="E592" s="52" t="s">
        <v>45</v>
      </c>
      <c r="F592" s="47" t="s">
        <v>2207</v>
      </c>
    </row>
    <row r="593" spans="1:6" hidden="1" x14ac:dyDescent="0.2">
      <c r="A593" s="44">
        <v>45721</v>
      </c>
      <c r="B593" s="42" t="s">
        <v>2092</v>
      </c>
      <c r="C593" s="42">
        <v>11.42</v>
      </c>
      <c r="D593" s="42" t="s">
        <v>165</v>
      </c>
      <c r="E593" s="51" t="s">
        <v>45</v>
      </c>
      <c r="F593" s="45" t="s">
        <v>2207</v>
      </c>
    </row>
    <row r="594" spans="1:6" hidden="1" x14ac:dyDescent="0.2">
      <c r="A594" s="46">
        <v>45720</v>
      </c>
      <c r="B594" s="33" t="s">
        <v>2102</v>
      </c>
      <c r="C594" s="33">
        <v>29.69</v>
      </c>
      <c r="D594" s="33" t="s">
        <v>165</v>
      </c>
      <c r="E594" s="52" t="s">
        <v>45</v>
      </c>
      <c r="F594" s="47" t="s">
        <v>2207</v>
      </c>
    </row>
    <row r="595" spans="1:6" hidden="1" x14ac:dyDescent="0.2">
      <c r="A595" s="44">
        <v>45719</v>
      </c>
      <c r="B595" s="42" t="s">
        <v>2103</v>
      </c>
      <c r="C595" s="42">
        <v>3.85</v>
      </c>
      <c r="D595" s="42" t="s">
        <v>165</v>
      </c>
      <c r="E595" s="51" t="s">
        <v>45</v>
      </c>
      <c r="F595" s="45" t="s">
        <v>2207</v>
      </c>
    </row>
    <row r="596" spans="1:6" hidden="1" x14ac:dyDescent="0.2">
      <c r="A596" s="46">
        <v>45719</v>
      </c>
      <c r="B596" s="33" t="s">
        <v>2092</v>
      </c>
      <c r="C596" s="33">
        <v>7.3</v>
      </c>
      <c r="D596" s="33" t="s">
        <v>165</v>
      </c>
      <c r="E596" s="52" t="s">
        <v>45</v>
      </c>
      <c r="F596" s="47" t="s">
        <v>2207</v>
      </c>
    </row>
    <row r="597" spans="1:6" hidden="1" x14ac:dyDescent="0.2">
      <c r="A597" s="44">
        <v>45717</v>
      </c>
      <c r="B597" s="42" t="s">
        <v>1587</v>
      </c>
      <c r="C597" s="42">
        <v>21.92</v>
      </c>
      <c r="D597" s="42" t="s">
        <v>165</v>
      </c>
      <c r="E597" s="51" t="s">
        <v>45</v>
      </c>
      <c r="F597" s="45" t="s">
        <v>2207</v>
      </c>
    </row>
    <row r="598" spans="1:6" hidden="1" x14ac:dyDescent="0.2">
      <c r="A598" s="46">
        <v>45717</v>
      </c>
      <c r="B598" s="33" t="s">
        <v>2106</v>
      </c>
      <c r="C598" s="33">
        <v>120</v>
      </c>
      <c r="D598" s="33" t="s">
        <v>165</v>
      </c>
      <c r="E598" s="52" t="s">
        <v>45</v>
      </c>
      <c r="F598" s="47" t="s">
        <v>2207</v>
      </c>
    </row>
    <row r="599" spans="1:6" hidden="1" x14ac:dyDescent="0.2">
      <c r="A599" s="44">
        <v>45716</v>
      </c>
      <c r="B599" s="42" t="s">
        <v>1534</v>
      </c>
      <c r="C599" s="42">
        <v>7.9</v>
      </c>
      <c r="D599" s="42" t="s">
        <v>165</v>
      </c>
      <c r="E599" s="51" t="s">
        <v>45</v>
      </c>
      <c r="F599" s="45" t="s">
        <v>2207</v>
      </c>
    </row>
    <row r="600" spans="1:6" hidden="1" x14ac:dyDescent="0.2">
      <c r="A600" s="46">
        <v>45716</v>
      </c>
      <c r="B600" s="33" t="s">
        <v>2107</v>
      </c>
      <c r="C600" s="33">
        <v>40.869999999999997</v>
      </c>
      <c r="D600" s="33" t="s">
        <v>165</v>
      </c>
      <c r="E600" s="52" t="s">
        <v>45</v>
      </c>
      <c r="F600" s="47" t="s">
        <v>2207</v>
      </c>
    </row>
    <row r="601" spans="1:6" hidden="1" x14ac:dyDescent="0.2">
      <c r="A601" s="44">
        <v>45715</v>
      </c>
      <c r="B601" s="62" t="s">
        <v>2108</v>
      </c>
      <c r="C601" s="42">
        <v>22.21</v>
      </c>
      <c r="D601" s="42" t="s">
        <v>165</v>
      </c>
      <c r="E601" s="51" t="s">
        <v>45</v>
      </c>
      <c r="F601" s="45" t="s">
        <v>2207</v>
      </c>
    </row>
    <row r="602" spans="1:6" hidden="1" x14ac:dyDescent="0.2">
      <c r="A602" s="46">
        <v>45715</v>
      </c>
      <c r="B602" s="48" t="s">
        <v>2108</v>
      </c>
      <c r="C602" s="33">
        <v>47.7</v>
      </c>
      <c r="D602" s="33" t="s">
        <v>165</v>
      </c>
      <c r="E602" s="52" t="s">
        <v>45</v>
      </c>
      <c r="F602" s="47" t="s">
        <v>2207</v>
      </c>
    </row>
    <row r="603" spans="1:6" hidden="1" x14ac:dyDescent="0.2">
      <c r="A603" s="44">
        <v>45714</v>
      </c>
      <c r="B603" s="42" t="s">
        <v>2092</v>
      </c>
      <c r="C603" s="42">
        <v>20.94</v>
      </c>
      <c r="D603" s="42" t="s">
        <v>165</v>
      </c>
      <c r="E603" s="51" t="s">
        <v>45</v>
      </c>
      <c r="F603" s="45" t="s">
        <v>2207</v>
      </c>
    </row>
    <row r="604" spans="1:6" hidden="1" x14ac:dyDescent="0.2">
      <c r="A604" s="46">
        <v>45713</v>
      </c>
      <c r="B604" s="33" t="s">
        <v>1529</v>
      </c>
      <c r="C604" s="33">
        <v>23.75</v>
      </c>
      <c r="D604" s="33" t="s">
        <v>165</v>
      </c>
      <c r="E604" s="52" t="s">
        <v>45</v>
      </c>
      <c r="F604" s="47" t="s">
        <v>2207</v>
      </c>
    </row>
    <row r="605" spans="1:6" hidden="1" x14ac:dyDescent="0.2">
      <c r="A605" s="44">
        <v>45713</v>
      </c>
      <c r="B605" s="42" t="s">
        <v>2092</v>
      </c>
      <c r="C605" s="42">
        <v>11.92</v>
      </c>
      <c r="D605" s="42" t="s">
        <v>165</v>
      </c>
      <c r="E605" s="51" t="s">
        <v>45</v>
      </c>
      <c r="F605" s="45" t="s">
        <v>2207</v>
      </c>
    </row>
    <row r="606" spans="1:6" hidden="1" x14ac:dyDescent="0.2">
      <c r="A606" s="46">
        <v>45713</v>
      </c>
      <c r="B606" s="33" t="s">
        <v>1534</v>
      </c>
      <c r="C606" s="33">
        <v>25.7</v>
      </c>
      <c r="D606" s="33" t="s">
        <v>165</v>
      </c>
      <c r="E606" s="52" t="s">
        <v>45</v>
      </c>
      <c r="F606" s="47" t="s">
        <v>2207</v>
      </c>
    </row>
    <row r="607" spans="1:6" hidden="1" x14ac:dyDescent="0.2">
      <c r="A607" s="44">
        <v>45712</v>
      </c>
      <c r="B607" s="42" t="s">
        <v>1534</v>
      </c>
      <c r="C607" s="42">
        <v>12.37</v>
      </c>
      <c r="D607" s="42" t="s">
        <v>165</v>
      </c>
      <c r="E607" s="51" t="s">
        <v>45</v>
      </c>
      <c r="F607" s="45" t="s">
        <v>2207</v>
      </c>
    </row>
    <row r="608" spans="1:6" hidden="1" x14ac:dyDescent="0.2">
      <c r="A608" s="46">
        <v>45711</v>
      </c>
      <c r="B608" s="33" t="s">
        <v>1587</v>
      </c>
      <c r="C608" s="33">
        <v>17.3</v>
      </c>
      <c r="D608" s="33" t="s">
        <v>165</v>
      </c>
      <c r="E608" s="52" t="s">
        <v>45</v>
      </c>
      <c r="F608" s="47" t="s">
        <v>2207</v>
      </c>
    </row>
    <row r="609" spans="1:6" hidden="1" x14ac:dyDescent="0.2">
      <c r="A609" s="44">
        <v>45711</v>
      </c>
      <c r="B609" s="42" t="s">
        <v>1619</v>
      </c>
      <c r="C609" s="42">
        <v>15.06</v>
      </c>
      <c r="D609" s="42" t="s">
        <v>165</v>
      </c>
      <c r="E609" s="51" t="s">
        <v>45</v>
      </c>
      <c r="F609" s="45" t="s">
        <v>2207</v>
      </c>
    </row>
    <row r="610" spans="1:6" hidden="1" x14ac:dyDescent="0.2">
      <c r="A610" s="46">
        <v>45706</v>
      </c>
      <c r="B610" s="33" t="s">
        <v>1587</v>
      </c>
      <c r="C610" s="33">
        <v>19.399999999999999</v>
      </c>
      <c r="D610" s="33" t="s">
        <v>165</v>
      </c>
      <c r="E610" s="52" t="s">
        <v>45</v>
      </c>
      <c r="F610" s="47" t="s">
        <v>2207</v>
      </c>
    </row>
    <row r="611" spans="1:6" hidden="1" x14ac:dyDescent="0.2">
      <c r="A611" s="44">
        <v>45705</v>
      </c>
      <c r="B611" s="42" t="s">
        <v>2116</v>
      </c>
      <c r="C611" s="42">
        <v>3.69</v>
      </c>
      <c r="D611" s="42" t="s">
        <v>165</v>
      </c>
      <c r="E611" s="51" t="s">
        <v>45</v>
      </c>
      <c r="F611" s="45" t="s">
        <v>2207</v>
      </c>
    </row>
    <row r="612" spans="1:6" hidden="1" x14ac:dyDescent="0.2">
      <c r="A612" s="46">
        <v>45704</v>
      </c>
      <c r="B612" s="33" t="s">
        <v>2118</v>
      </c>
      <c r="C612" s="33">
        <v>36.46</v>
      </c>
      <c r="D612" s="33" t="s">
        <v>165</v>
      </c>
      <c r="E612" s="52" t="s">
        <v>45</v>
      </c>
      <c r="F612" s="47" t="s">
        <v>2207</v>
      </c>
    </row>
    <row r="613" spans="1:6" hidden="1" x14ac:dyDescent="0.2">
      <c r="A613" s="44">
        <v>45704</v>
      </c>
      <c r="B613" s="62" t="s">
        <v>1573</v>
      </c>
      <c r="C613" s="42">
        <v>98.76</v>
      </c>
      <c r="D613" s="42" t="s">
        <v>165</v>
      </c>
      <c r="E613" s="51" t="s">
        <v>45</v>
      </c>
      <c r="F613" s="45" t="s">
        <v>2207</v>
      </c>
    </row>
    <row r="614" spans="1:6" hidden="1" x14ac:dyDescent="0.2">
      <c r="A614" s="46">
        <v>45703</v>
      </c>
      <c r="B614" s="33" t="s">
        <v>2120</v>
      </c>
      <c r="C614" s="33">
        <v>81.78</v>
      </c>
      <c r="D614" s="33" t="s">
        <v>165</v>
      </c>
      <c r="E614" s="52" t="s">
        <v>45</v>
      </c>
      <c r="F614" s="47" t="s">
        <v>2207</v>
      </c>
    </row>
    <row r="615" spans="1:6" hidden="1" x14ac:dyDescent="0.2">
      <c r="A615" s="44">
        <v>45703</v>
      </c>
      <c r="B615" s="42" t="s">
        <v>1587</v>
      </c>
      <c r="C615" s="42">
        <v>13</v>
      </c>
      <c r="D615" s="42" t="s">
        <v>165</v>
      </c>
      <c r="E615" s="51" t="s">
        <v>45</v>
      </c>
      <c r="F615" s="45" t="s">
        <v>2207</v>
      </c>
    </row>
    <row r="616" spans="1:6" hidden="1" x14ac:dyDescent="0.2">
      <c r="A616" s="46">
        <v>45702</v>
      </c>
      <c r="B616" s="33" t="s">
        <v>2000</v>
      </c>
      <c r="C616" s="33">
        <v>9.1</v>
      </c>
      <c r="D616" s="33" t="s">
        <v>165</v>
      </c>
      <c r="E616" s="52" t="s">
        <v>45</v>
      </c>
      <c r="F616" s="47" t="s">
        <v>2207</v>
      </c>
    </row>
    <row r="617" spans="1:6" hidden="1" x14ac:dyDescent="0.2">
      <c r="A617" s="44">
        <v>45701</v>
      </c>
      <c r="B617" s="42" t="s">
        <v>2092</v>
      </c>
      <c r="C617" s="42">
        <v>21.85</v>
      </c>
      <c r="D617" s="42" t="s">
        <v>165</v>
      </c>
      <c r="E617" s="51" t="s">
        <v>45</v>
      </c>
      <c r="F617" s="45" t="s">
        <v>2207</v>
      </c>
    </row>
    <row r="618" spans="1:6" hidden="1" x14ac:dyDescent="0.2">
      <c r="A618" s="46">
        <v>45701</v>
      </c>
      <c r="B618" s="33" t="s">
        <v>1534</v>
      </c>
      <c r="C618" s="33">
        <v>17.14</v>
      </c>
      <c r="D618" s="33" t="s">
        <v>165</v>
      </c>
      <c r="E618" s="52" t="s">
        <v>45</v>
      </c>
      <c r="F618" s="47" t="s">
        <v>2207</v>
      </c>
    </row>
    <row r="619" spans="1:6" hidden="1" x14ac:dyDescent="0.2">
      <c r="A619" s="44">
        <v>45699</v>
      </c>
      <c r="B619" s="42" t="s">
        <v>1562</v>
      </c>
      <c r="C619" s="42">
        <v>21.12</v>
      </c>
      <c r="D619" s="42" t="s">
        <v>165</v>
      </c>
      <c r="E619" s="51" t="s">
        <v>45</v>
      </c>
      <c r="F619" s="45" t="s">
        <v>2207</v>
      </c>
    </row>
    <row r="620" spans="1:6" hidden="1" x14ac:dyDescent="0.2">
      <c r="A620" s="46">
        <v>45698</v>
      </c>
      <c r="B620" s="33" t="s">
        <v>2102</v>
      </c>
      <c r="C620" s="33">
        <v>20.66</v>
      </c>
      <c r="D620" s="33" t="s">
        <v>165</v>
      </c>
      <c r="E620" s="52" t="s">
        <v>45</v>
      </c>
      <c r="F620" s="47" t="s">
        <v>2207</v>
      </c>
    </row>
    <row r="621" spans="1:6" hidden="1" x14ac:dyDescent="0.2">
      <c r="A621" s="44">
        <v>45698</v>
      </c>
      <c r="B621" s="42" t="s">
        <v>2028</v>
      </c>
      <c r="C621" s="42">
        <v>3.81</v>
      </c>
      <c r="D621" s="42" t="s">
        <v>165</v>
      </c>
      <c r="E621" s="51" t="s">
        <v>45</v>
      </c>
      <c r="F621" s="45" t="s">
        <v>2207</v>
      </c>
    </row>
    <row r="622" spans="1:6" hidden="1" x14ac:dyDescent="0.2">
      <c r="A622" s="46">
        <v>45698</v>
      </c>
      <c r="B622" s="33" t="s">
        <v>1575</v>
      </c>
      <c r="C622" s="33">
        <v>12.58</v>
      </c>
      <c r="D622" s="33" t="s">
        <v>165</v>
      </c>
      <c r="E622" s="52" t="s">
        <v>45</v>
      </c>
      <c r="F622" s="47" t="s">
        <v>2207</v>
      </c>
    </row>
    <row r="623" spans="1:6" hidden="1" x14ac:dyDescent="0.2">
      <c r="A623" s="44">
        <v>45695</v>
      </c>
      <c r="B623" s="42" t="s">
        <v>2092</v>
      </c>
      <c r="C623" s="42">
        <v>15.23</v>
      </c>
      <c r="D623" s="42" t="s">
        <v>165</v>
      </c>
      <c r="E623" s="51" t="s">
        <v>45</v>
      </c>
      <c r="F623" s="45" t="s">
        <v>2207</v>
      </c>
    </row>
    <row r="624" spans="1:6" hidden="1" x14ac:dyDescent="0.2">
      <c r="A624" s="46">
        <v>45695</v>
      </c>
      <c r="B624" s="33" t="s">
        <v>2092</v>
      </c>
      <c r="C624" s="33">
        <v>4.97</v>
      </c>
      <c r="D624" s="33" t="s">
        <v>165</v>
      </c>
      <c r="E624" s="52" t="s">
        <v>45</v>
      </c>
      <c r="F624" s="47" t="s">
        <v>2207</v>
      </c>
    </row>
    <row r="625" spans="1:6" hidden="1" x14ac:dyDescent="0.2">
      <c r="A625" s="44">
        <v>45695</v>
      </c>
      <c r="B625" s="42" t="s">
        <v>2006</v>
      </c>
      <c r="C625" s="42">
        <v>192.74</v>
      </c>
      <c r="D625" s="42" t="s">
        <v>165</v>
      </c>
      <c r="E625" s="51" t="s">
        <v>45</v>
      </c>
      <c r="F625" s="45" t="s">
        <v>2207</v>
      </c>
    </row>
    <row r="626" spans="1:6" hidden="1" x14ac:dyDescent="0.2">
      <c r="A626" s="46">
        <v>45694</v>
      </c>
      <c r="B626" s="33" t="s">
        <v>2102</v>
      </c>
      <c r="C626" s="33">
        <v>12.25</v>
      </c>
      <c r="D626" s="33" t="s">
        <v>165</v>
      </c>
      <c r="E626" s="52" t="s">
        <v>45</v>
      </c>
      <c r="F626" s="47" t="s">
        <v>2207</v>
      </c>
    </row>
    <row r="627" spans="1:6" hidden="1" x14ac:dyDescent="0.2">
      <c r="A627" s="44">
        <v>45694</v>
      </c>
      <c r="B627" s="42" t="s">
        <v>2132</v>
      </c>
      <c r="C627" s="42">
        <v>44.81</v>
      </c>
      <c r="D627" s="42" t="s">
        <v>165</v>
      </c>
      <c r="E627" s="51" t="s">
        <v>45</v>
      </c>
      <c r="F627" s="45" t="s">
        <v>2207</v>
      </c>
    </row>
    <row r="628" spans="1:6" hidden="1" x14ac:dyDescent="0.2">
      <c r="A628" s="46">
        <v>45694</v>
      </c>
      <c r="B628" s="33" t="s">
        <v>2133</v>
      </c>
      <c r="C628" s="33">
        <v>21.56</v>
      </c>
      <c r="D628" s="33" t="s">
        <v>165</v>
      </c>
      <c r="E628" s="52" t="s">
        <v>45</v>
      </c>
      <c r="F628" s="47" t="s">
        <v>2207</v>
      </c>
    </row>
    <row r="629" spans="1:6" hidden="1" x14ac:dyDescent="0.2">
      <c r="A629" s="44">
        <v>45691</v>
      </c>
      <c r="B629" s="42" t="s">
        <v>2132</v>
      </c>
      <c r="C629" s="42">
        <v>22.81</v>
      </c>
      <c r="D629" s="42" t="s">
        <v>165</v>
      </c>
      <c r="E629" s="51" t="s">
        <v>45</v>
      </c>
      <c r="F629" s="45" t="s">
        <v>2207</v>
      </c>
    </row>
    <row r="630" spans="1:6" hidden="1" x14ac:dyDescent="0.2">
      <c r="A630" s="46">
        <v>45690</v>
      </c>
      <c r="B630" s="33" t="s">
        <v>2138</v>
      </c>
      <c r="C630" s="33">
        <v>12.67</v>
      </c>
      <c r="D630" s="33" t="s">
        <v>165</v>
      </c>
      <c r="E630" s="52" t="s">
        <v>45</v>
      </c>
      <c r="F630" s="47" t="s">
        <v>2207</v>
      </c>
    </row>
    <row r="631" spans="1:6" hidden="1" x14ac:dyDescent="0.2">
      <c r="A631" s="44">
        <v>45690</v>
      </c>
      <c r="B631" s="42" t="s">
        <v>1592</v>
      </c>
      <c r="C631" s="42">
        <v>34.869999999999997</v>
      </c>
      <c r="D631" s="42" t="s">
        <v>165</v>
      </c>
      <c r="E631" s="51" t="s">
        <v>45</v>
      </c>
      <c r="F631" s="45" t="s">
        <v>2207</v>
      </c>
    </row>
    <row r="632" spans="1:6" hidden="1" x14ac:dyDescent="0.2">
      <c r="A632" s="46">
        <v>45689</v>
      </c>
      <c r="B632" s="33" t="s">
        <v>2140</v>
      </c>
      <c r="C632" s="33">
        <v>18.809999999999999</v>
      </c>
      <c r="D632" s="33" t="s">
        <v>165</v>
      </c>
      <c r="E632" s="52" t="s">
        <v>45</v>
      </c>
      <c r="F632" s="47" t="s">
        <v>2207</v>
      </c>
    </row>
    <row r="633" spans="1:6" hidden="1" x14ac:dyDescent="0.2">
      <c r="A633" s="44">
        <v>45688</v>
      </c>
      <c r="B633" s="42" t="s">
        <v>2092</v>
      </c>
      <c r="C633" s="42">
        <v>20.94</v>
      </c>
      <c r="D633" s="42" t="s">
        <v>165</v>
      </c>
      <c r="E633" s="51" t="s">
        <v>45</v>
      </c>
      <c r="F633" s="45" t="s">
        <v>2207</v>
      </c>
    </row>
    <row r="634" spans="1:6" hidden="1" x14ac:dyDescent="0.2">
      <c r="A634" s="46">
        <v>45688</v>
      </c>
      <c r="B634" s="33" t="s">
        <v>2143</v>
      </c>
      <c r="C634" s="33">
        <v>4.2</v>
      </c>
      <c r="D634" s="33" t="s">
        <v>165</v>
      </c>
      <c r="E634" s="52" t="s">
        <v>45</v>
      </c>
      <c r="F634" s="47" t="s">
        <v>2207</v>
      </c>
    </row>
    <row r="635" spans="1:6" hidden="1" x14ac:dyDescent="0.2">
      <c r="A635" s="44">
        <v>45688</v>
      </c>
      <c r="B635" s="42" t="s">
        <v>2144</v>
      </c>
      <c r="C635" s="42">
        <v>12.25</v>
      </c>
      <c r="D635" s="42" t="s">
        <v>165</v>
      </c>
      <c r="E635" s="51" t="s">
        <v>45</v>
      </c>
      <c r="F635" s="45" t="s">
        <v>2207</v>
      </c>
    </row>
    <row r="636" spans="1:6" hidden="1" x14ac:dyDescent="0.2">
      <c r="A636" s="46">
        <v>45686</v>
      </c>
      <c r="B636" s="33" t="s">
        <v>2102</v>
      </c>
      <c r="C636" s="33">
        <v>27.18</v>
      </c>
      <c r="D636" s="33" t="s">
        <v>165</v>
      </c>
      <c r="E636" s="52" t="s">
        <v>45</v>
      </c>
      <c r="F636" s="47" t="s">
        <v>2207</v>
      </c>
    </row>
    <row r="637" spans="1:6" hidden="1" x14ac:dyDescent="0.2">
      <c r="A637" s="44">
        <v>45685</v>
      </c>
      <c r="B637" s="42" t="s">
        <v>1620</v>
      </c>
      <c r="C637" s="42">
        <v>8.82</v>
      </c>
      <c r="D637" s="42" t="s">
        <v>165</v>
      </c>
      <c r="E637" s="51" t="s">
        <v>45</v>
      </c>
      <c r="F637" s="45" t="s">
        <v>2207</v>
      </c>
    </row>
    <row r="638" spans="1:6" hidden="1" x14ac:dyDescent="0.2">
      <c r="A638" s="46">
        <v>45683</v>
      </c>
      <c r="B638" s="33" t="s">
        <v>2149</v>
      </c>
      <c r="C638" s="33">
        <v>71.45</v>
      </c>
      <c r="D638" s="33" t="s">
        <v>165</v>
      </c>
      <c r="E638" s="52" t="s">
        <v>45</v>
      </c>
      <c r="F638" s="47" t="s">
        <v>2207</v>
      </c>
    </row>
    <row r="639" spans="1:6" hidden="1" x14ac:dyDescent="0.2">
      <c r="A639" s="44">
        <v>45683</v>
      </c>
      <c r="B639" s="42" t="s">
        <v>1667</v>
      </c>
      <c r="C639" s="42">
        <v>15.89</v>
      </c>
      <c r="D639" s="42" t="s">
        <v>165</v>
      </c>
      <c r="E639" s="51" t="s">
        <v>45</v>
      </c>
      <c r="F639" s="45" t="s">
        <v>2207</v>
      </c>
    </row>
    <row r="640" spans="1:6" hidden="1" x14ac:dyDescent="0.2">
      <c r="A640" s="46">
        <v>45682</v>
      </c>
      <c r="B640" s="33" t="s">
        <v>2152</v>
      </c>
      <c r="C640" s="33">
        <v>5.89</v>
      </c>
      <c r="D640" s="33" t="s">
        <v>165</v>
      </c>
      <c r="E640" s="52" t="s">
        <v>45</v>
      </c>
      <c r="F640" s="47" t="s">
        <v>2207</v>
      </c>
    </row>
    <row r="641" spans="1:6" hidden="1" x14ac:dyDescent="0.2">
      <c r="A641" s="44">
        <v>45682</v>
      </c>
      <c r="B641" s="62" t="s">
        <v>2153</v>
      </c>
      <c r="C641" s="42">
        <v>57.42</v>
      </c>
      <c r="D641" s="42" t="s">
        <v>165</v>
      </c>
      <c r="E641" s="51" t="s">
        <v>45</v>
      </c>
      <c r="F641" s="45" t="s">
        <v>2207</v>
      </c>
    </row>
    <row r="642" spans="1:6" hidden="1" x14ac:dyDescent="0.2">
      <c r="A642" s="46">
        <v>45681</v>
      </c>
      <c r="B642" s="33" t="s">
        <v>2083</v>
      </c>
      <c r="C642" s="33">
        <v>24.12</v>
      </c>
      <c r="D642" s="33" t="s">
        <v>165</v>
      </c>
      <c r="E642" s="52" t="s">
        <v>45</v>
      </c>
      <c r="F642" s="47" t="s">
        <v>2207</v>
      </c>
    </row>
    <row r="643" spans="1:6" hidden="1" x14ac:dyDescent="0.2">
      <c r="A643" s="44">
        <v>45680</v>
      </c>
      <c r="B643" s="42" t="s">
        <v>2102</v>
      </c>
      <c r="C643" s="42">
        <v>15.75</v>
      </c>
      <c r="D643" s="42" t="s">
        <v>165</v>
      </c>
      <c r="E643" s="51" t="s">
        <v>45</v>
      </c>
      <c r="F643" s="45" t="s">
        <v>2207</v>
      </c>
    </row>
    <row r="644" spans="1:6" hidden="1" x14ac:dyDescent="0.2">
      <c r="A644" s="46">
        <v>45680</v>
      </c>
      <c r="B644" s="33" t="s">
        <v>1619</v>
      </c>
      <c r="C644" s="33">
        <v>12.58</v>
      </c>
      <c r="D644" s="33" t="s">
        <v>165</v>
      </c>
      <c r="E644" s="52" t="s">
        <v>45</v>
      </c>
      <c r="F644" s="47" t="s">
        <v>2207</v>
      </c>
    </row>
    <row r="645" spans="1:6" hidden="1" x14ac:dyDescent="0.2">
      <c r="A645" s="44">
        <v>45678</v>
      </c>
      <c r="B645" s="42" t="s">
        <v>2083</v>
      </c>
      <c r="C645" s="42">
        <v>28.14</v>
      </c>
      <c r="D645" s="42" t="s">
        <v>165</v>
      </c>
      <c r="E645" s="51" t="s">
        <v>45</v>
      </c>
      <c r="F645" s="45" t="s">
        <v>2207</v>
      </c>
    </row>
    <row r="646" spans="1:6" hidden="1" x14ac:dyDescent="0.2">
      <c r="A646" s="46">
        <v>45678</v>
      </c>
      <c r="B646" s="33" t="s">
        <v>2159</v>
      </c>
      <c r="C646" s="33">
        <v>16.989999999999998</v>
      </c>
      <c r="D646" s="33" t="s">
        <v>165</v>
      </c>
      <c r="E646" s="52" t="s">
        <v>45</v>
      </c>
      <c r="F646" s="47" t="s">
        <v>2207</v>
      </c>
    </row>
    <row r="647" spans="1:6" hidden="1" x14ac:dyDescent="0.2">
      <c r="A647" s="44">
        <v>45676</v>
      </c>
      <c r="B647" s="42" t="s">
        <v>2160</v>
      </c>
      <c r="C647" s="42">
        <v>8</v>
      </c>
      <c r="D647" s="42" t="s">
        <v>165</v>
      </c>
      <c r="E647" s="51" t="s">
        <v>45</v>
      </c>
      <c r="F647" s="45" t="s">
        <v>2207</v>
      </c>
    </row>
    <row r="648" spans="1:6" hidden="1" x14ac:dyDescent="0.2">
      <c r="A648" s="46">
        <v>45676</v>
      </c>
      <c r="B648" s="33" t="s">
        <v>2133</v>
      </c>
      <c r="C648" s="33">
        <v>28</v>
      </c>
      <c r="D648" s="33" t="s">
        <v>165</v>
      </c>
      <c r="E648" s="52" t="s">
        <v>45</v>
      </c>
      <c r="F648" s="47" t="s">
        <v>2207</v>
      </c>
    </row>
    <row r="649" spans="1:6" hidden="1" x14ac:dyDescent="0.2">
      <c r="A649" s="44">
        <v>45676</v>
      </c>
      <c r="B649" s="62" t="s">
        <v>2161</v>
      </c>
      <c r="C649" s="42">
        <v>156.97</v>
      </c>
      <c r="D649" s="42" t="s">
        <v>165</v>
      </c>
      <c r="E649" s="51" t="s">
        <v>45</v>
      </c>
      <c r="F649" s="45" t="s">
        <v>2207</v>
      </c>
    </row>
    <row r="650" spans="1:6" hidden="1" x14ac:dyDescent="0.2">
      <c r="A650" s="46">
        <v>45676</v>
      </c>
      <c r="B650" s="48" t="s">
        <v>2161</v>
      </c>
      <c r="C650" s="33">
        <v>27.34</v>
      </c>
      <c r="D650" s="33" t="s">
        <v>165</v>
      </c>
      <c r="E650" s="52" t="s">
        <v>45</v>
      </c>
      <c r="F650" s="47" t="s">
        <v>2207</v>
      </c>
    </row>
    <row r="651" spans="1:6" hidden="1" x14ac:dyDescent="0.2">
      <c r="A651" s="44">
        <v>45675</v>
      </c>
      <c r="B651" s="42" t="s">
        <v>1730</v>
      </c>
      <c r="C651" s="42">
        <v>68.92</v>
      </c>
      <c r="D651" s="42" t="s">
        <v>165</v>
      </c>
      <c r="E651" s="51" t="s">
        <v>45</v>
      </c>
      <c r="F651" s="45" t="s">
        <v>2207</v>
      </c>
    </row>
    <row r="652" spans="1:6" hidden="1" x14ac:dyDescent="0.2">
      <c r="A652" s="46">
        <v>45675</v>
      </c>
      <c r="B652" s="33" t="s">
        <v>1587</v>
      </c>
      <c r="C652" s="33">
        <v>19.37</v>
      </c>
      <c r="D652" s="33" t="s">
        <v>165</v>
      </c>
      <c r="E652" s="52" t="s">
        <v>45</v>
      </c>
      <c r="F652" s="47" t="s">
        <v>2207</v>
      </c>
    </row>
    <row r="653" spans="1:6" hidden="1" x14ac:dyDescent="0.2">
      <c r="A653" s="44">
        <v>45674</v>
      </c>
      <c r="B653" s="42" t="s">
        <v>1965</v>
      </c>
      <c r="C653" s="42">
        <v>15</v>
      </c>
      <c r="D653" s="42" t="s">
        <v>165</v>
      </c>
      <c r="E653" s="51" t="s">
        <v>45</v>
      </c>
      <c r="F653" s="45" t="s">
        <v>2207</v>
      </c>
    </row>
    <row r="654" spans="1:6" hidden="1" x14ac:dyDescent="0.2">
      <c r="A654" s="46">
        <v>45673</v>
      </c>
      <c r="B654" s="33" t="s">
        <v>2102</v>
      </c>
      <c r="C654" s="33">
        <v>14.68</v>
      </c>
      <c r="D654" s="33" t="s">
        <v>165</v>
      </c>
      <c r="E654" s="52" t="s">
        <v>45</v>
      </c>
      <c r="F654" s="47" t="s">
        <v>2207</v>
      </c>
    </row>
    <row r="655" spans="1:6" hidden="1" x14ac:dyDescent="0.2">
      <c r="A655" s="44">
        <v>45673</v>
      </c>
      <c r="B655" s="42" t="s">
        <v>2140</v>
      </c>
      <c r="C655" s="42">
        <v>19.559999999999999</v>
      </c>
      <c r="D655" s="42" t="s">
        <v>165</v>
      </c>
      <c r="E655" s="51" t="s">
        <v>45</v>
      </c>
      <c r="F655" s="45" t="s">
        <v>2207</v>
      </c>
    </row>
    <row r="656" spans="1:6" hidden="1" x14ac:dyDescent="0.2">
      <c r="A656" s="46">
        <v>45673</v>
      </c>
      <c r="B656" s="33" t="s">
        <v>1702</v>
      </c>
      <c r="C656" s="33">
        <v>12.92</v>
      </c>
      <c r="D656" s="33" t="s">
        <v>165</v>
      </c>
      <c r="E656" s="52" t="s">
        <v>45</v>
      </c>
      <c r="F656" s="47" t="s">
        <v>2207</v>
      </c>
    </row>
    <row r="657" spans="1:6" hidden="1" x14ac:dyDescent="0.2">
      <c r="A657" s="44">
        <v>45673</v>
      </c>
      <c r="B657" s="42" t="s">
        <v>2102</v>
      </c>
      <c r="C657" s="42">
        <v>12.5</v>
      </c>
      <c r="D657" s="42" t="s">
        <v>165</v>
      </c>
      <c r="E657" s="51" t="s">
        <v>45</v>
      </c>
      <c r="F657" s="45" t="s">
        <v>2207</v>
      </c>
    </row>
    <row r="658" spans="1:6" hidden="1" x14ac:dyDescent="0.2">
      <c r="A658" s="46">
        <v>45672</v>
      </c>
      <c r="B658" s="33" t="s">
        <v>2165</v>
      </c>
      <c r="C658" s="33">
        <v>4.6500000000000004</v>
      </c>
      <c r="D658" s="33" t="s">
        <v>165</v>
      </c>
      <c r="E658" s="52" t="s">
        <v>45</v>
      </c>
      <c r="F658" s="47" t="s">
        <v>2207</v>
      </c>
    </row>
    <row r="659" spans="1:6" hidden="1" x14ac:dyDescent="0.2">
      <c r="A659" s="44">
        <v>45671</v>
      </c>
      <c r="B659" s="42" t="s">
        <v>2083</v>
      </c>
      <c r="C659" s="42">
        <v>11.86</v>
      </c>
      <c r="D659" s="42" t="s">
        <v>165</v>
      </c>
      <c r="E659" s="51" t="s">
        <v>45</v>
      </c>
      <c r="F659" s="45" t="s">
        <v>2207</v>
      </c>
    </row>
    <row r="660" spans="1:6" hidden="1" x14ac:dyDescent="0.2">
      <c r="A660" s="46">
        <v>45671</v>
      </c>
      <c r="B660" s="33" t="s">
        <v>2140</v>
      </c>
      <c r="C660" s="33">
        <v>32.590000000000003</v>
      </c>
      <c r="D660" s="33" t="s">
        <v>165</v>
      </c>
      <c r="E660" s="52" t="s">
        <v>45</v>
      </c>
      <c r="F660" s="47" t="s">
        <v>2207</v>
      </c>
    </row>
    <row r="661" spans="1:6" hidden="1" x14ac:dyDescent="0.2">
      <c r="A661" s="44">
        <v>45669</v>
      </c>
      <c r="B661" s="42" t="s">
        <v>2171</v>
      </c>
      <c r="C661" s="42">
        <v>70.27</v>
      </c>
      <c r="D661" s="42" t="s">
        <v>165</v>
      </c>
      <c r="E661" s="51" t="s">
        <v>45</v>
      </c>
      <c r="F661" s="45" t="s">
        <v>2207</v>
      </c>
    </row>
    <row r="662" spans="1:6" hidden="1" x14ac:dyDescent="0.2">
      <c r="A662" s="46">
        <v>45667</v>
      </c>
      <c r="B662" s="33" t="s">
        <v>2173</v>
      </c>
      <c r="C662" s="33">
        <v>21.84</v>
      </c>
      <c r="D662" s="33" t="s">
        <v>165</v>
      </c>
      <c r="E662" s="52" t="s">
        <v>45</v>
      </c>
      <c r="F662" s="47" t="s">
        <v>2207</v>
      </c>
    </row>
    <row r="663" spans="1:6" hidden="1" x14ac:dyDescent="0.2">
      <c r="A663" s="44">
        <v>45666</v>
      </c>
      <c r="B663" s="42" t="s">
        <v>2175</v>
      </c>
      <c r="C663" s="42">
        <v>3.82</v>
      </c>
      <c r="D663" s="42" t="s">
        <v>165</v>
      </c>
      <c r="E663" s="51" t="s">
        <v>45</v>
      </c>
      <c r="F663" s="45" t="s">
        <v>2207</v>
      </c>
    </row>
    <row r="664" spans="1:6" hidden="1" x14ac:dyDescent="0.2">
      <c r="A664" s="46">
        <v>45666</v>
      </c>
      <c r="B664" s="33" t="s">
        <v>2175</v>
      </c>
      <c r="C664" s="33">
        <v>11.73</v>
      </c>
      <c r="D664" s="33" t="s">
        <v>165</v>
      </c>
      <c r="E664" s="52" t="s">
        <v>45</v>
      </c>
      <c r="F664" s="47" t="s">
        <v>2207</v>
      </c>
    </row>
    <row r="665" spans="1:6" hidden="1" x14ac:dyDescent="0.2">
      <c r="A665" s="44">
        <v>45664</v>
      </c>
      <c r="B665" s="42" t="s">
        <v>2178</v>
      </c>
      <c r="C665" s="42">
        <v>65.099999999999994</v>
      </c>
      <c r="D665" s="42" t="s">
        <v>165</v>
      </c>
      <c r="E665" s="51" t="s">
        <v>45</v>
      </c>
      <c r="F665" s="45" t="s">
        <v>2207</v>
      </c>
    </row>
    <row r="666" spans="1:6" hidden="1" x14ac:dyDescent="0.2">
      <c r="A666" s="46">
        <v>45663</v>
      </c>
      <c r="B666" s="33" t="s">
        <v>1965</v>
      </c>
      <c r="C666" s="33">
        <v>18.77</v>
      </c>
      <c r="D666" s="33" t="s">
        <v>165</v>
      </c>
      <c r="E666" s="52" t="s">
        <v>45</v>
      </c>
      <c r="F666" s="47" t="s">
        <v>2207</v>
      </c>
    </row>
    <row r="667" spans="1:6" hidden="1" x14ac:dyDescent="0.2">
      <c r="A667" s="44">
        <v>45663</v>
      </c>
      <c r="B667" s="62" t="s">
        <v>2180</v>
      </c>
      <c r="C667" s="42">
        <v>95.94</v>
      </c>
      <c r="D667" s="42" t="s">
        <v>165</v>
      </c>
      <c r="E667" s="51" t="s">
        <v>45</v>
      </c>
      <c r="F667" s="45" t="s">
        <v>2207</v>
      </c>
    </row>
    <row r="668" spans="1:6" hidden="1" x14ac:dyDescent="0.2">
      <c r="A668" s="46">
        <v>45662</v>
      </c>
      <c r="B668" s="33" t="s">
        <v>2182</v>
      </c>
      <c r="C668" s="33">
        <v>20</v>
      </c>
      <c r="D668" s="33" t="s">
        <v>165</v>
      </c>
      <c r="E668" s="52" t="s">
        <v>45</v>
      </c>
      <c r="F668" s="47" t="s">
        <v>2207</v>
      </c>
    </row>
    <row r="669" spans="1:6" hidden="1" x14ac:dyDescent="0.2">
      <c r="A669" s="44">
        <v>45662</v>
      </c>
      <c r="B669" s="42" t="s">
        <v>2183</v>
      </c>
      <c r="C669" s="42">
        <v>39.450000000000003</v>
      </c>
      <c r="D669" s="42" t="s">
        <v>165</v>
      </c>
      <c r="E669" s="51" t="s">
        <v>45</v>
      </c>
      <c r="F669" s="45" t="s">
        <v>2207</v>
      </c>
    </row>
    <row r="670" spans="1:6" hidden="1" x14ac:dyDescent="0.2">
      <c r="A670" s="46">
        <v>45662</v>
      </c>
      <c r="B670" s="33" t="s">
        <v>2185</v>
      </c>
      <c r="C670" s="33">
        <v>13.69</v>
      </c>
      <c r="D670" s="33" t="s">
        <v>165</v>
      </c>
      <c r="E670" s="52" t="s">
        <v>45</v>
      </c>
      <c r="F670" s="47" t="s">
        <v>2207</v>
      </c>
    </row>
    <row r="671" spans="1:6" hidden="1" x14ac:dyDescent="0.2">
      <c r="A671" s="44">
        <v>45662</v>
      </c>
      <c r="B671" s="42" t="s">
        <v>2186</v>
      </c>
      <c r="C671" s="42">
        <v>-52.25</v>
      </c>
      <c r="D671" s="42" t="s">
        <v>165</v>
      </c>
      <c r="E671" s="51" t="s">
        <v>45</v>
      </c>
      <c r="F671" s="45" t="s">
        <v>2207</v>
      </c>
    </row>
    <row r="672" spans="1:6" hidden="1" x14ac:dyDescent="0.2">
      <c r="A672" s="46">
        <v>45662</v>
      </c>
      <c r="B672" s="33" t="s">
        <v>2187</v>
      </c>
      <c r="C672" s="33">
        <v>13.16</v>
      </c>
      <c r="D672" s="33" t="s">
        <v>165</v>
      </c>
      <c r="E672" s="52" t="s">
        <v>45</v>
      </c>
      <c r="F672" s="47" t="s">
        <v>2207</v>
      </c>
    </row>
    <row r="673" spans="1:6" hidden="1" x14ac:dyDescent="0.2">
      <c r="A673" s="44">
        <v>45661</v>
      </c>
      <c r="B673" s="42" t="s">
        <v>1619</v>
      </c>
      <c r="C673" s="42">
        <v>37.79</v>
      </c>
      <c r="D673" s="42" t="s">
        <v>165</v>
      </c>
      <c r="E673" s="51" t="s">
        <v>45</v>
      </c>
      <c r="F673" s="45" t="s">
        <v>2207</v>
      </c>
    </row>
    <row r="674" spans="1:6" hidden="1" x14ac:dyDescent="0.2">
      <c r="A674" s="46">
        <v>45660</v>
      </c>
      <c r="B674" s="33" t="s">
        <v>2191</v>
      </c>
      <c r="C674" s="33">
        <v>45.17</v>
      </c>
      <c r="D674" s="33" t="s">
        <v>165</v>
      </c>
      <c r="E674" s="52" t="s">
        <v>45</v>
      </c>
      <c r="F674" s="47" t="s">
        <v>2207</v>
      </c>
    </row>
    <row r="675" spans="1:6" hidden="1" x14ac:dyDescent="0.2">
      <c r="A675" s="44">
        <v>45660</v>
      </c>
      <c r="B675" s="42" t="s">
        <v>2195</v>
      </c>
      <c r="C675" s="42">
        <v>9.6300000000000008</v>
      </c>
      <c r="D675" s="42" t="s">
        <v>165</v>
      </c>
      <c r="E675" s="51" t="s">
        <v>45</v>
      </c>
      <c r="F675" s="45" t="s">
        <v>2207</v>
      </c>
    </row>
    <row r="676" spans="1:6" hidden="1" x14ac:dyDescent="0.2">
      <c r="A676" s="46">
        <v>45660</v>
      </c>
      <c r="B676" s="33" t="s">
        <v>2195</v>
      </c>
      <c r="C676" s="33">
        <v>15.4</v>
      </c>
      <c r="D676" s="33" t="s">
        <v>165</v>
      </c>
      <c r="E676" s="52" t="s">
        <v>45</v>
      </c>
      <c r="F676" s="47" t="s">
        <v>2207</v>
      </c>
    </row>
    <row r="677" spans="1:6" hidden="1" x14ac:dyDescent="0.2">
      <c r="A677" s="44">
        <v>45659</v>
      </c>
      <c r="B677" s="42" t="s">
        <v>2197</v>
      </c>
      <c r="C677" s="42">
        <v>12.2</v>
      </c>
      <c r="D677" s="42" t="s">
        <v>165</v>
      </c>
      <c r="E677" s="51" t="s">
        <v>45</v>
      </c>
      <c r="F677" s="45" t="s">
        <v>2207</v>
      </c>
    </row>
    <row r="678" spans="1:6" hidden="1" x14ac:dyDescent="0.2">
      <c r="A678" s="46">
        <v>45659</v>
      </c>
      <c r="B678" s="33" t="s">
        <v>2199</v>
      </c>
      <c r="C678" s="33">
        <v>3.08</v>
      </c>
      <c r="D678" s="33" t="s">
        <v>165</v>
      </c>
      <c r="E678" s="52" t="s">
        <v>45</v>
      </c>
      <c r="F678" s="47" t="s">
        <v>2207</v>
      </c>
    </row>
    <row r="679" spans="1:6" hidden="1" x14ac:dyDescent="0.2">
      <c r="A679" s="44">
        <v>45658</v>
      </c>
      <c r="B679" s="42" t="s">
        <v>2201</v>
      </c>
      <c r="C679" s="42">
        <v>35.450000000000003</v>
      </c>
      <c r="D679" s="42" t="s">
        <v>165</v>
      </c>
      <c r="E679" s="51" t="s">
        <v>45</v>
      </c>
      <c r="F679" s="45" t="s">
        <v>2207</v>
      </c>
    </row>
    <row r="680" spans="1:6" hidden="1" x14ac:dyDescent="0.2">
      <c r="A680" s="46">
        <v>45986</v>
      </c>
      <c r="B680" s="33" t="s">
        <v>168</v>
      </c>
      <c r="C680" s="33">
        <v>13.99</v>
      </c>
      <c r="D680" s="33" t="s">
        <v>165</v>
      </c>
      <c r="E680" s="52" t="s">
        <v>45</v>
      </c>
      <c r="F680" s="47" t="s">
        <v>2207</v>
      </c>
    </row>
    <row r="681" spans="1:6" hidden="1" x14ac:dyDescent="0.2">
      <c r="A681" s="44">
        <v>45985</v>
      </c>
      <c r="B681" s="42" t="s">
        <v>168</v>
      </c>
      <c r="C681" s="42">
        <v>17.25</v>
      </c>
      <c r="D681" s="42" t="s">
        <v>165</v>
      </c>
      <c r="E681" s="51" t="s">
        <v>45</v>
      </c>
      <c r="F681" s="45" t="s">
        <v>2207</v>
      </c>
    </row>
    <row r="682" spans="1:6" hidden="1" x14ac:dyDescent="0.2">
      <c r="A682" s="46">
        <v>45985</v>
      </c>
      <c r="B682" s="33" t="s">
        <v>168</v>
      </c>
      <c r="C682" s="33">
        <v>10.210000000000001</v>
      </c>
      <c r="D682" s="33" t="s">
        <v>165</v>
      </c>
      <c r="E682" s="52" t="s">
        <v>45</v>
      </c>
      <c r="F682" s="47" t="s">
        <v>2207</v>
      </c>
    </row>
    <row r="683" spans="1:6" hidden="1" x14ac:dyDescent="0.2">
      <c r="A683" s="44">
        <v>45979</v>
      </c>
      <c r="B683" s="42" t="s">
        <v>168</v>
      </c>
      <c r="C683" s="42">
        <v>24.08</v>
      </c>
      <c r="D683" s="42" t="s">
        <v>165</v>
      </c>
      <c r="E683" s="51" t="s">
        <v>45</v>
      </c>
      <c r="F683" s="45" t="s">
        <v>2207</v>
      </c>
    </row>
    <row r="684" spans="1:6" hidden="1" x14ac:dyDescent="0.2">
      <c r="A684" s="46">
        <v>45975</v>
      </c>
      <c r="B684" s="33" t="s">
        <v>168</v>
      </c>
      <c r="C684" s="33">
        <v>12.37</v>
      </c>
      <c r="D684" s="33" t="s">
        <v>165</v>
      </c>
      <c r="E684" s="52" t="s">
        <v>45</v>
      </c>
      <c r="F684" s="47" t="s">
        <v>2207</v>
      </c>
    </row>
    <row r="685" spans="1:6" hidden="1" x14ac:dyDescent="0.2">
      <c r="A685" s="44">
        <v>45973</v>
      </c>
      <c r="B685" s="42" t="s">
        <v>168</v>
      </c>
      <c r="C685" s="42">
        <v>16.309999999999999</v>
      </c>
      <c r="D685" s="42" t="s">
        <v>165</v>
      </c>
      <c r="E685" s="51" t="s">
        <v>45</v>
      </c>
      <c r="F685" s="45" t="s">
        <v>2207</v>
      </c>
    </row>
    <row r="686" spans="1:6" hidden="1" x14ac:dyDescent="0.2">
      <c r="A686" s="46">
        <v>45971</v>
      </c>
      <c r="B686" s="33" t="s">
        <v>168</v>
      </c>
      <c r="C686" s="33">
        <v>9.1199999999999992</v>
      </c>
      <c r="D686" s="33" t="s">
        <v>165</v>
      </c>
      <c r="E686" s="52" t="s">
        <v>45</v>
      </c>
      <c r="F686" s="47" t="s">
        <v>2207</v>
      </c>
    </row>
    <row r="687" spans="1:6" hidden="1" x14ac:dyDescent="0.2">
      <c r="A687" s="44">
        <v>45964</v>
      </c>
      <c r="B687" s="42" t="s">
        <v>168</v>
      </c>
      <c r="C687" s="42">
        <v>25.06</v>
      </c>
      <c r="D687" s="42" t="s">
        <v>165</v>
      </c>
      <c r="E687" s="51" t="s">
        <v>45</v>
      </c>
      <c r="F687" s="45" t="s">
        <v>2207</v>
      </c>
    </row>
    <row r="688" spans="1:6" hidden="1" x14ac:dyDescent="0.2">
      <c r="A688" s="46">
        <v>45959</v>
      </c>
      <c r="B688" s="33" t="s">
        <v>168</v>
      </c>
      <c r="C688" s="33">
        <v>17.54</v>
      </c>
      <c r="D688" s="33" t="s">
        <v>165</v>
      </c>
      <c r="E688" s="52" t="s">
        <v>45</v>
      </c>
      <c r="F688" s="47" t="s">
        <v>2207</v>
      </c>
    </row>
    <row r="689" spans="1:6" hidden="1" x14ac:dyDescent="0.2">
      <c r="A689" s="44">
        <v>45958</v>
      </c>
      <c r="B689" s="42" t="s">
        <v>168</v>
      </c>
      <c r="C689" s="42">
        <v>25.06</v>
      </c>
      <c r="D689" s="42" t="s">
        <v>165</v>
      </c>
      <c r="E689" s="51" t="s">
        <v>45</v>
      </c>
      <c r="F689" s="45" t="s">
        <v>2207</v>
      </c>
    </row>
    <row r="690" spans="1:6" hidden="1" x14ac:dyDescent="0.2">
      <c r="A690" s="46">
        <v>45957</v>
      </c>
      <c r="B690" s="33" t="s">
        <v>168</v>
      </c>
      <c r="C690" s="33">
        <v>24.08</v>
      </c>
      <c r="D690" s="33" t="s">
        <v>165</v>
      </c>
      <c r="E690" s="52" t="s">
        <v>45</v>
      </c>
      <c r="F690" s="47" t="s">
        <v>2207</v>
      </c>
    </row>
    <row r="691" spans="1:6" hidden="1" x14ac:dyDescent="0.2">
      <c r="A691" s="44">
        <v>45955</v>
      </c>
      <c r="B691" s="42" t="s">
        <v>390</v>
      </c>
      <c r="C691" s="42">
        <v>5</v>
      </c>
      <c r="D691" s="42" t="s">
        <v>165</v>
      </c>
      <c r="E691" s="51" t="s">
        <v>45</v>
      </c>
      <c r="F691" s="45" t="s">
        <v>2207</v>
      </c>
    </row>
    <row r="692" spans="1:6" hidden="1" x14ac:dyDescent="0.2">
      <c r="A692" s="46">
        <v>45954</v>
      </c>
      <c r="B692" s="33" t="s">
        <v>168</v>
      </c>
      <c r="C692" s="33">
        <v>24.08</v>
      </c>
      <c r="D692" s="33" t="s">
        <v>165</v>
      </c>
      <c r="E692" s="52" t="s">
        <v>45</v>
      </c>
      <c r="F692" s="47" t="s">
        <v>2207</v>
      </c>
    </row>
    <row r="693" spans="1:6" hidden="1" x14ac:dyDescent="0.2">
      <c r="A693" s="44">
        <v>45952</v>
      </c>
      <c r="B693" s="42" t="s">
        <v>168</v>
      </c>
      <c r="C693" s="42">
        <v>40.61</v>
      </c>
      <c r="D693" s="42" t="s">
        <v>165</v>
      </c>
      <c r="E693" s="51" t="s">
        <v>45</v>
      </c>
      <c r="F693" s="45" t="s">
        <v>2207</v>
      </c>
    </row>
    <row r="694" spans="1:6" hidden="1" x14ac:dyDescent="0.2">
      <c r="A694" s="46">
        <v>45950</v>
      </c>
      <c r="B694" s="33" t="s">
        <v>168</v>
      </c>
      <c r="C694" s="33">
        <v>24.74</v>
      </c>
      <c r="D694" s="33" t="s">
        <v>165</v>
      </c>
      <c r="E694" s="52" t="s">
        <v>45</v>
      </c>
      <c r="F694" s="47" t="s">
        <v>2207</v>
      </c>
    </row>
    <row r="695" spans="1:6" hidden="1" x14ac:dyDescent="0.2">
      <c r="A695" s="44">
        <v>45947</v>
      </c>
      <c r="B695" s="42" t="s">
        <v>168</v>
      </c>
      <c r="C695" s="42">
        <v>17.38</v>
      </c>
      <c r="D695" s="42" t="s">
        <v>165</v>
      </c>
      <c r="E695" s="51" t="s">
        <v>45</v>
      </c>
      <c r="F695" s="45" t="s">
        <v>2207</v>
      </c>
    </row>
    <row r="696" spans="1:6" hidden="1" x14ac:dyDescent="0.2">
      <c r="A696" s="46">
        <v>45947</v>
      </c>
      <c r="B696" s="33" t="s">
        <v>168</v>
      </c>
      <c r="C696" s="33">
        <v>20.51</v>
      </c>
      <c r="D696" s="33" t="s">
        <v>165</v>
      </c>
      <c r="E696" s="52" t="s">
        <v>45</v>
      </c>
      <c r="F696" s="47" t="s">
        <v>2207</v>
      </c>
    </row>
    <row r="697" spans="1:6" hidden="1" x14ac:dyDescent="0.2">
      <c r="A697" s="44">
        <v>45946</v>
      </c>
      <c r="B697" s="42" t="s">
        <v>168</v>
      </c>
      <c r="C697" s="42">
        <v>24.08</v>
      </c>
      <c r="D697" s="42" t="s">
        <v>165</v>
      </c>
      <c r="E697" s="51" t="s">
        <v>45</v>
      </c>
      <c r="F697" s="45" t="s">
        <v>2207</v>
      </c>
    </row>
    <row r="698" spans="1:6" hidden="1" x14ac:dyDescent="0.2">
      <c r="A698" s="46">
        <v>45945</v>
      </c>
      <c r="B698" s="33" t="s">
        <v>168</v>
      </c>
      <c r="C698" s="33">
        <v>23.77</v>
      </c>
      <c r="D698" s="33" t="s">
        <v>165</v>
      </c>
      <c r="E698" s="52" t="s">
        <v>45</v>
      </c>
      <c r="F698" s="47" t="s">
        <v>2207</v>
      </c>
    </row>
    <row r="699" spans="1:6" hidden="1" x14ac:dyDescent="0.2">
      <c r="A699" s="44">
        <v>45944</v>
      </c>
      <c r="B699" s="42" t="s">
        <v>168</v>
      </c>
      <c r="C699" s="42">
        <v>25.06</v>
      </c>
      <c r="D699" s="42" t="s">
        <v>165</v>
      </c>
      <c r="E699" s="51" t="s">
        <v>45</v>
      </c>
      <c r="F699" s="45" t="s">
        <v>2207</v>
      </c>
    </row>
    <row r="700" spans="1:6" hidden="1" x14ac:dyDescent="0.2">
      <c r="A700" s="46">
        <v>45939</v>
      </c>
      <c r="B700" s="33" t="s">
        <v>168</v>
      </c>
      <c r="C700" s="33">
        <v>30.77</v>
      </c>
      <c r="D700" s="33" t="s">
        <v>165</v>
      </c>
      <c r="E700" s="52" t="s">
        <v>45</v>
      </c>
      <c r="F700" s="47" t="s">
        <v>2207</v>
      </c>
    </row>
    <row r="701" spans="1:6" hidden="1" x14ac:dyDescent="0.2">
      <c r="A701" s="44">
        <v>45939</v>
      </c>
      <c r="B701" s="42" t="s">
        <v>168</v>
      </c>
      <c r="C701" s="42">
        <v>24.08</v>
      </c>
      <c r="D701" s="42" t="s">
        <v>165</v>
      </c>
      <c r="E701" s="51" t="s">
        <v>45</v>
      </c>
      <c r="F701" s="45" t="s">
        <v>2207</v>
      </c>
    </row>
    <row r="702" spans="1:6" hidden="1" x14ac:dyDescent="0.2">
      <c r="A702" s="46">
        <v>45939</v>
      </c>
      <c r="B702" s="33" t="s">
        <v>168</v>
      </c>
      <c r="C702" s="33">
        <v>25.06</v>
      </c>
      <c r="D702" s="33" t="s">
        <v>165</v>
      </c>
      <c r="E702" s="52" t="s">
        <v>45</v>
      </c>
      <c r="F702" s="47" t="s">
        <v>2207</v>
      </c>
    </row>
    <row r="703" spans="1:6" hidden="1" x14ac:dyDescent="0.2">
      <c r="A703" s="44">
        <v>45936</v>
      </c>
      <c r="B703" s="42" t="s">
        <v>168</v>
      </c>
      <c r="C703" s="42">
        <v>24.08</v>
      </c>
      <c r="D703" s="42" t="s">
        <v>165</v>
      </c>
      <c r="E703" s="51" t="s">
        <v>45</v>
      </c>
      <c r="F703" s="45" t="s">
        <v>2207</v>
      </c>
    </row>
    <row r="704" spans="1:6" hidden="1" x14ac:dyDescent="0.2">
      <c r="A704" s="46">
        <v>45933</v>
      </c>
      <c r="B704" s="33" t="s">
        <v>168</v>
      </c>
      <c r="C704" s="33">
        <v>20.18</v>
      </c>
      <c r="D704" s="33" t="s">
        <v>165</v>
      </c>
      <c r="E704" s="52" t="s">
        <v>45</v>
      </c>
      <c r="F704" s="47" t="s">
        <v>2207</v>
      </c>
    </row>
    <row r="705" spans="1:6" hidden="1" x14ac:dyDescent="0.2">
      <c r="A705" s="44">
        <v>45976</v>
      </c>
      <c r="B705" s="42" t="s">
        <v>352</v>
      </c>
      <c r="C705" s="42">
        <v>47.97</v>
      </c>
      <c r="D705" s="42" t="s">
        <v>165</v>
      </c>
      <c r="E705" s="51" t="s">
        <v>45</v>
      </c>
      <c r="F705" s="45" t="s">
        <v>2207</v>
      </c>
    </row>
    <row r="706" spans="1:6" hidden="1" x14ac:dyDescent="0.2">
      <c r="A706" s="46">
        <v>45975</v>
      </c>
      <c r="B706" s="33" t="s">
        <v>218</v>
      </c>
      <c r="C706" s="33">
        <v>4.46</v>
      </c>
      <c r="D706" s="33" t="s">
        <v>165</v>
      </c>
      <c r="E706" s="52" t="s">
        <v>45</v>
      </c>
      <c r="F706" s="47" t="s">
        <v>2207</v>
      </c>
    </row>
    <row r="707" spans="1:6" hidden="1" x14ac:dyDescent="0.2">
      <c r="A707" s="44">
        <v>45969</v>
      </c>
      <c r="B707" s="42" t="s">
        <v>218</v>
      </c>
      <c r="C707" s="42">
        <v>4.46</v>
      </c>
      <c r="D707" s="42" t="s">
        <v>165</v>
      </c>
      <c r="E707" s="51" t="s">
        <v>45</v>
      </c>
      <c r="F707" s="45" t="s">
        <v>2207</v>
      </c>
    </row>
    <row r="708" spans="1:6" hidden="1" x14ac:dyDescent="0.2">
      <c r="A708" s="46">
        <v>45969</v>
      </c>
      <c r="B708" s="33" t="s">
        <v>190</v>
      </c>
      <c r="C708" s="33">
        <v>27.09</v>
      </c>
      <c r="D708" s="33" t="s">
        <v>165</v>
      </c>
      <c r="E708" s="52" t="s">
        <v>45</v>
      </c>
      <c r="F708" s="47" t="s">
        <v>2207</v>
      </c>
    </row>
    <row r="709" spans="1:6" hidden="1" x14ac:dyDescent="0.2">
      <c r="A709" s="44">
        <v>45969</v>
      </c>
      <c r="B709" s="42" t="s">
        <v>207</v>
      </c>
      <c r="C709" s="42">
        <v>15.2</v>
      </c>
      <c r="D709" s="42" t="s">
        <v>165</v>
      </c>
      <c r="E709" s="51" t="s">
        <v>45</v>
      </c>
      <c r="F709" s="45" t="s">
        <v>2207</v>
      </c>
    </row>
    <row r="710" spans="1:6" hidden="1" x14ac:dyDescent="0.2">
      <c r="A710" s="46">
        <v>45961</v>
      </c>
      <c r="B710" s="33" t="s">
        <v>190</v>
      </c>
      <c r="C710" s="33">
        <v>25.02</v>
      </c>
      <c r="D710" s="33" t="s">
        <v>165</v>
      </c>
      <c r="E710" s="52" t="s">
        <v>45</v>
      </c>
      <c r="F710" s="47" t="s">
        <v>2207</v>
      </c>
    </row>
    <row r="711" spans="1:6" hidden="1" x14ac:dyDescent="0.2">
      <c r="A711" s="44">
        <v>45960</v>
      </c>
      <c r="B711" s="42" t="s">
        <v>226</v>
      </c>
      <c r="C711" s="42">
        <v>7.73</v>
      </c>
      <c r="D711" s="42" t="s">
        <v>165</v>
      </c>
      <c r="E711" s="51" t="s">
        <v>45</v>
      </c>
      <c r="F711" s="45" t="s">
        <v>2207</v>
      </c>
    </row>
    <row r="712" spans="1:6" hidden="1" x14ac:dyDescent="0.2">
      <c r="A712" s="46">
        <v>45945</v>
      </c>
      <c r="B712" s="33" t="s">
        <v>400</v>
      </c>
      <c r="C712" s="33">
        <v>20.61</v>
      </c>
      <c r="D712" s="33" t="s">
        <v>165</v>
      </c>
      <c r="E712" s="52" t="s">
        <v>45</v>
      </c>
      <c r="F712" s="47" t="s">
        <v>2207</v>
      </c>
    </row>
    <row r="713" spans="1:6" hidden="1" x14ac:dyDescent="0.2">
      <c r="A713" s="44">
        <v>45942</v>
      </c>
      <c r="B713" s="42" t="s">
        <v>352</v>
      </c>
      <c r="C713" s="42">
        <v>29.45</v>
      </c>
      <c r="D713" s="42" t="s">
        <v>165</v>
      </c>
      <c r="E713" s="51" t="s">
        <v>45</v>
      </c>
      <c r="F713" s="45" t="s">
        <v>2207</v>
      </c>
    </row>
    <row r="714" spans="1:6" hidden="1" x14ac:dyDescent="0.2">
      <c r="A714" s="46">
        <v>45939</v>
      </c>
      <c r="B714" s="33" t="s">
        <v>190</v>
      </c>
      <c r="C714" s="33">
        <v>27.86</v>
      </c>
      <c r="D714" s="33" t="s">
        <v>165</v>
      </c>
      <c r="E714" s="52" t="s">
        <v>45</v>
      </c>
      <c r="F714" s="47" t="s">
        <v>2207</v>
      </c>
    </row>
    <row r="715" spans="1:6" hidden="1" x14ac:dyDescent="0.2">
      <c r="A715" s="44">
        <v>45985</v>
      </c>
      <c r="B715" s="42" t="s">
        <v>221</v>
      </c>
      <c r="C715" s="42">
        <v>23.29</v>
      </c>
      <c r="D715" s="42" t="s">
        <v>165</v>
      </c>
      <c r="E715" s="51" t="s">
        <v>45</v>
      </c>
      <c r="F715" s="45" t="s">
        <v>2207</v>
      </c>
    </row>
    <row r="716" spans="1:6" hidden="1" x14ac:dyDescent="0.2">
      <c r="A716" s="46">
        <v>45985</v>
      </c>
      <c r="B716" s="33" t="s">
        <v>221</v>
      </c>
      <c r="C716" s="33">
        <v>154.52000000000001</v>
      </c>
      <c r="D716" s="33" t="s">
        <v>165</v>
      </c>
      <c r="E716" s="52" t="s">
        <v>45</v>
      </c>
      <c r="F716" s="47" t="s">
        <v>2207</v>
      </c>
    </row>
    <row r="717" spans="1:6" hidden="1" x14ac:dyDescent="0.2">
      <c r="A717" s="44">
        <v>45973</v>
      </c>
      <c r="B717" s="42" t="s">
        <v>221</v>
      </c>
      <c r="C717" s="42">
        <v>132.24</v>
      </c>
      <c r="D717" s="42" t="s">
        <v>165</v>
      </c>
      <c r="E717" s="51" t="s">
        <v>45</v>
      </c>
      <c r="F717" s="45" t="s">
        <v>2207</v>
      </c>
    </row>
    <row r="718" spans="1:6" hidden="1" x14ac:dyDescent="0.2">
      <c r="A718" s="46">
        <v>45966</v>
      </c>
      <c r="B718" s="33" t="s">
        <v>455</v>
      </c>
      <c r="C718" s="33">
        <v>19.03</v>
      </c>
      <c r="D718" s="33" t="s">
        <v>165</v>
      </c>
      <c r="E718" s="52" t="s">
        <v>45</v>
      </c>
      <c r="F718" s="47" t="s">
        <v>2207</v>
      </c>
    </row>
    <row r="719" spans="1:6" hidden="1" x14ac:dyDescent="0.2">
      <c r="A719" s="44">
        <v>45965</v>
      </c>
      <c r="B719" s="42" t="s">
        <v>262</v>
      </c>
      <c r="C719" s="42">
        <v>10.06</v>
      </c>
      <c r="D719" s="42" t="s">
        <v>165</v>
      </c>
      <c r="E719" s="51" t="s">
        <v>45</v>
      </c>
      <c r="F719" s="45" t="s">
        <v>2207</v>
      </c>
    </row>
    <row r="720" spans="1:6" hidden="1" x14ac:dyDescent="0.2">
      <c r="A720" s="46">
        <v>45962</v>
      </c>
      <c r="B720" s="33" t="s">
        <v>221</v>
      </c>
      <c r="C720" s="33">
        <v>111.99</v>
      </c>
      <c r="D720" s="33" t="s">
        <v>165</v>
      </c>
      <c r="E720" s="52" t="s">
        <v>45</v>
      </c>
      <c r="F720" s="47" t="s">
        <v>2207</v>
      </c>
    </row>
    <row r="721" spans="1:6" hidden="1" x14ac:dyDescent="0.2">
      <c r="A721" s="44">
        <v>45956</v>
      </c>
      <c r="B721" s="42" t="s">
        <v>179</v>
      </c>
      <c r="C721" s="42">
        <v>5.01</v>
      </c>
      <c r="D721" s="42" t="s">
        <v>165</v>
      </c>
      <c r="E721" s="51" t="s">
        <v>45</v>
      </c>
      <c r="F721" s="45" t="s">
        <v>2207</v>
      </c>
    </row>
    <row r="722" spans="1:6" hidden="1" x14ac:dyDescent="0.2">
      <c r="A722" s="46">
        <v>45950</v>
      </c>
      <c r="B722" s="33" t="s">
        <v>221</v>
      </c>
      <c r="C722" s="33">
        <v>87.24</v>
      </c>
      <c r="D722" s="33" t="s">
        <v>165</v>
      </c>
      <c r="E722" s="52" t="s">
        <v>45</v>
      </c>
      <c r="F722" s="47" t="s">
        <v>2207</v>
      </c>
    </row>
    <row r="723" spans="1:6" hidden="1" x14ac:dyDescent="0.2">
      <c r="A723" s="44">
        <v>45961</v>
      </c>
      <c r="B723" s="42" t="s">
        <v>336</v>
      </c>
      <c r="C723" s="42">
        <v>13.67</v>
      </c>
      <c r="D723" s="42" t="s">
        <v>165</v>
      </c>
      <c r="E723" s="51" t="s">
        <v>45</v>
      </c>
      <c r="F723" s="45" t="s">
        <v>2207</v>
      </c>
    </row>
    <row r="724" spans="1:6" hidden="1" x14ac:dyDescent="0.2">
      <c r="A724" s="46">
        <v>45969</v>
      </c>
      <c r="B724" s="33" t="s">
        <v>1225</v>
      </c>
      <c r="C724" s="33">
        <v>52</v>
      </c>
      <c r="D724" s="33" t="s">
        <v>165</v>
      </c>
      <c r="E724" s="52" t="s">
        <v>45</v>
      </c>
      <c r="F724" s="47" t="s">
        <v>2207</v>
      </c>
    </row>
    <row r="725" spans="1:6" hidden="1" x14ac:dyDescent="0.2">
      <c r="A725" s="44">
        <v>45949</v>
      </c>
      <c r="B725" s="42" t="s">
        <v>402</v>
      </c>
      <c r="C725" s="42">
        <v>6.32</v>
      </c>
      <c r="D725" s="42" t="s">
        <v>165</v>
      </c>
      <c r="E725" s="51" t="s">
        <v>45</v>
      </c>
      <c r="F725" s="45" t="s">
        <v>2207</v>
      </c>
    </row>
    <row r="726" spans="1:6" hidden="1" x14ac:dyDescent="0.2">
      <c r="A726" s="46">
        <v>45943</v>
      </c>
      <c r="B726" s="33" t="s">
        <v>237</v>
      </c>
      <c r="C726" s="33">
        <v>32.450000000000003</v>
      </c>
      <c r="D726" s="33" t="s">
        <v>165</v>
      </c>
      <c r="E726" s="52" t="s">
        <v>45</v>
      </c>
      <c r="F726" s="47" t="s">
        <v>2207</v>
      </c>
    </row>
    <row r="727" spans="1:6" hidden="1" x14ac:dyDescent="0.2">
      <c r="A727" s="44">
        <v>45935</v>
      </c>
      <c r="B727" s="42" t="s">
        <v>454</v>
      </c>
      <c r="C727" s="42">
        <v>13.44</v>
      </c>
      <c r="D727" s="42" t="s">
        <v>165</v>
      </c>
      <c r="E727" s="51" t="s">
        <v>45</v>
      </c>
      <c r="F727" s="45" t="s">
        <v>2207</v>
      </c>
    </row>
    <row r="728" spans="1:6" hidden="1" x14ac:dyDescent="0.2">
      <c r="A728" s="46">
        <v>45942</v>
      </c>
      <c r="B728" s="33" t="s">
        <v>334</v>
      </c>
      <c r="C728" s="33">
        <v>18</v>
      </c>
      <c r="D728" s="33" t="s">
        <v>165</v>
      </c>
      <c r="E728" s="52" t="s">
        <v>45</v>
      </c>
      <c r="F728" s="47" t="s">
        <v>2207</v>
      </c>
    </row>
    <row r="729" spans="1:6" hidden="1" x14ac:dyDescent="0.2">
      <c r="A729" s="44">
        <v>45987</v>
      </c>
      <c r="B729" s="42" t="s">
        <v>227</v>
      </c>
      <c r="C729" s="42">
        <v>42</v>
      </c>
      <c r="D729" s="42" t="s">
        <v>165</v>
      </c>
      <c r="E729" s="51" t="s">
        <v>45</v>
      </c>
      <c r="F729" s="45" t="s">
        <v>2207</v>
      </c>
    </row>
    <row r="730" spans="1:6" hidden="1" x14ac:dyDescent="0.2">
      <c r="A730" s="46">
        <v>45984</v>
      </c>
      <c r="B730" s="33" t="s">
        <v>227</v>
      </c>
      <c r="C730" s="33">
        <v>42.01</v>
      </c>
      <c r="D730" s="33" t="s">
        <v>165</v>
      </c>
      <c r="E730" s="52" t="s">
        <v>45</v>
      </c>
      <c r="F730" s="47" t="s">
        <v>2207</v>
      </c>
    </row>
    <row r="731" spans="1:6" hidden="1" x14ac:dyDescent="0.2">
      <c r="A731" s="44">
        <v>45982</v>
      </c>
      <c r="B731" s="42" t="s">
        <v>406</v>
      </c>
      <c r="C731" s="42">
        <v>29.98</v>
      </c>
      <c r="D731" s="42" t="s">
        <v>165</v>
      </c>
      <c r="E731" s="51" t="s">
        <v>45</v>
      </c>
      <c r="F731" s="45" t="s">
        <v>2207</v>
      </c>
    </row>
    <row r="732" spans="1:6" hidden="1" x14ac:dyDescent="0.2">
      <c r="A732" s="46">
        <v>45976</v>
      </c>
      <c r="B732" s="33" t="s">
        <v>457</v>
      </c>
      <c r="C732" s="33">
        <v>230.51</v>
      </c>
      <c r="D732" s="33" t="s">
        <v>165</v>
      </c>
      <c r="E732" s="52" t="s">
        <v>45</v>
      </c>
      <c r="F732" s="47" t="s">
        <v>2207</v>
      </c>
    </row>
    <row r="733" spans="1:6" hidden="1" x14ac:dyDescent="0.2">
      <c r="A733" s="44">
        <v>45972</v>
      </c>
      <c r="B733" s="42" t="s">
        <v>227</v>
      </c>
      <c r="C733" s="42">
        <v>22.81</v>
      </c>
      <c r="D733" s="42" t="s">
        <v>165</v>
      </c>
      <c r="E733" s="51" t="s">
        <v>45</v>
      </c>
      <c r="F733" s="45" t="s">
        <v>2207</v>
      </c>
    </row>
    <row r="734" spans="1:6" hidden="1" x14ac:dyDescent="0.2">
      <c r="A734" s="46">
        <v>45969</v>
      </c>
      <c r="B734" s="33" t="s">
        <v>406</v>
      </c>
      <c r="C734" s="33">
        <v>30.31</v>
      </c>
      <c r="D734" s="33" t="s">
        <v>165</v>
      </c>
      <c r="E734" s="52" t="s">
        <v>45</v>
      </c>
      <c r="F734" s="47" t="s">
        <v>2207</v>
      </c>
    </row>
    <row r="735" spans="1:6" hidden="1" x14ac:dyDescent="0.2">
      <c r="A735" s="44">
        <v>45965</v>
      </c>
      <c r="B735" s="42" t="s">
        <v>227</v>
      </c>
      <c r="C735" s="42">
        <v>49.22</v>
      </c>
      <c r="D735" s="42" t="s">
        <v>165</v>
      </c>
      <c r="E735" s="51" t="s">
        <v>45</v>
      </c>
      <c r="F735" s="45" t="s">
        <v>2207</v>
      </c>
    </row>
    <row r="736" spans="1:6" hidden="1" x14ac:dyDescent="0.2">
      <c r="A736" s="46">
        <v>45965</v>
      </c>
      <c r="B736" s="33" t="s">
        <v>1197</v>
      </c>
      <c r="C736" s="33">
        <v>101.52</v>
      </c>
      <c r="D736" s="33" t="s">
        <v>165</v>
      </c>
      <c r="E736" s="52" t="s">
        <v>45</v>
      </c>
      <c r="F736" s="47" t="s">
        <v>2207</v>
      </c>
    </row>
    <row r="737" spans="1:6" hidden="1" x14ac:dyDescent="0.2">
      <c r="A737" s="44">
        <v>45960</v>
      </c>
      <c r="B737" s="42" t="s">
        <v>227</v>
      </c>
      <c r="C737" s="42">
        <v>22.81</v>
      </c>
      <c r="D737" s="42" t="s">
        <v>165</v>
      </c>
      <c r="E737" s="51" t="s">
        <v>45</v>
      </c>
      <c r="F737" s="45" t="s">
        <v>2207</v>
      </c>
    </row>
    <row r="738" spans="1:6" hidden="1" x14ac:dyDescent="0.2">
      <c r="A738" s="46">
        <v>45954</v>
      </c>
      <c r="B738" s="33" t="s">
        <v>406</v>
      </c>
      <c r="C738" s="33">
        <v>30.63</v>
      </c>
      <c r="D738" s="33" t="s">
        <v>165</v>
      </c>
      <c r="E738" s="52" t="s">
        <v>45</v>
      </c>
      <c r="F738" s="47" t="s">
        <v>2207</v>
      </c>
    </row>
    <row r="739" spans="1:6" hidden="1" x14ac:dyDescent="0.2">
      <c r="A739" s="44">
        <v>45948</v>
      </c>
      <c r="B739" s="42" t="s">
        <v>227</v>
      </c>
      <c r="C739" s="42">
        <v>42.01</v>
      </c>
      <c r="D739" s="42" t="s">
        <v>165</v>
      </c>
      <c r="E739" s="51" t="s">
        <v>45</v>
      </c>
      <c r="F739" s="45" t="s">
        <v>2207</v>
      </c>
    </row>
    <row r="740" spans="1:6" hidden="1" x14ac:dyDescent="0.2">
      <c r="A740" s="46">
        <v>45947</v>
      </c>
      <c r="B740" s="33" t="s">
        <v>266</v>
      </c>
      <c r="C740" s="33">
        <v>105.31</v>
      </c>
      <c r="D740" s="33" t="s">
        <v>165</v>
      </c>
      <c r="E740" s="52" t="s">
        <v>45</v>
      </c>
      <c r="F740" s="47" t="s">
        <v>2207</v>
      </c>
    </row>
    <row r="741" spans="1:6" hidden="1" x14ac:dyDescent="0.2">
      <c r="A741" s="44">
        <v>45940</v>
      </c>
      <c r="B741" s="42" t="s">
        <v>227</v>
      </c>
      <c r="C741" s="42">
        <v>28.69</v>
      </c>
      <c r="D741" s="42" t="s">
        <v>165</v>
      </c>
      <c r="E741" s="51" t="s">
        <v>45</v>
      </c>
      <c r="F741" s="45" t="s">
        <v>2207</v>
      </c>
    </row>
    <row r="742" spans="1:6" hidden="1" x14ac:dyDescent="0.2">
      <c r="A742" s="46">
        <v>45940</v>
      </c>
      <c r="B742" s="33" t="s">
        <v>406</v>
      </c>
      <c r="C742" s="33">
        <v>40.08</v>
      </c>
      <c r="D742" s="33" t="s">
        <v>165</v>
      </c>
      <c r="E742" s="52" t="s">
        <v>45</v>
      </c>
      <c r="F742" s="47" t="s">
        <v>2207</v>
      </c>
    </row>
    <row r="743" spans="1:6" hidden="1" x14ac:dyDescent="0.2">
      <c r="A743" s="44">
        <v>45940</v>
      </c>
      <c r="B743" s="42" t="s">
        <v>406</v>
      </c>
      <c r="C743" s="42">
        <v>6.69</v>
      </c>
      <c r="D743" s="42" t="s">
        <v>165</v>
      </c>
      <c r="E743" s="51" t="s">
        <v>45</v>
      </c>
      <c r="F743" s="45" t="s">
        <v>2207</v>
      </c>
    </row>
    <row r="744" spans="1:6" hidden="1" x14ac:dyDescent="0.2">
      <c r="A744" s="46">
        <v>45940</v>
      </c>
      <c r="B744" s="33" t="s">
        <v>324</v>
      </c>
      <c r="C744" s="33">
        <v>26.04</v>
      </c>
      <c r="D744" s="33" t="s">
        <v>165</v>
      </c>
      <c r="E744" s="52" t="s">
        <v>45</v>
      </c>
      <c r="F744" s="47" t="s">
        <v>2207</v>
      </c>
    </row>
    <row r="745" spans="1:6" hidden="1" x14ac:dyDescent="0.2">
      <c r="A745" s="44">
        <v>45935</v>
      </c>
      <c r="B745" s="42" t="s">
        <v>227</v>
      </c>
      <c r="C745" s="42">
        <v>40.97</v>
      </c>
      <c r="D745" s="42" t="s">
        <v>165</v>
      </c>
      <c r="E745" s="51" t="s">
        <v>45</v>
      </c>
      <c r="F745" s="45" t="s">
        <v>2207</v>
      </c>
    </row>
    <row r="746" spans="1:6" hidden="1" x14ac:dyDescent="0.2">
      <c r="A746" s="46">
        <v>45934</v>
      </c>
      <c r="B746" s="33" t="s">
        <v>227</v>
      </c>
      <c r="C746" s="33">
        <v>42.01</v>
      </c>
      <c r="D746" s="33" t="s">
        <v>165</v>
      </c>
      <c r="E746" s="52" t="s">
        <v>45</v>
      </c>
      <c r="F746" s="47" t="s">
        <v>2207</v>
      </c>
    </row>
    <row r="747" spans="1:6" hidden="1" x14ac:dyDescent="0.2">
      <c r="A747" s="44">
        <v>45954</v>
      </c>
      <c r="B747" s="42" t="s">
        <v>230</v>
      </c>
      <c r="C747" s="42">
        <v>11.98</v>
      </c>
      <c r="D747" s="42" t="s">
        <v>165</v>
      </c>
      <c r="E747" s="51" t="s">
        <v>45</v>
      </c>
      <c r="F747" s="45" t="s">
        <v>2207</v>
      </c>
    </row>
    <row r="748" spans="1:6" hidden="1" x14ac:dyDescent="0.2">
      <c r="A748" s="46">
        <v>45782</v>
      </c>
      <c r="B748" s="33" t="s">
        <v>1555</v>
      </c>
      <c r="C748" s="33">
        <v>7.72</v>
      </c>
      <c r="D748" s="33" t="s">
        <v>464</v>
      </c>
      <c r="E748" s="52" t="s">
        <v>6</v>
      </c>
      <c r="F748" s="47" t="s">
        <v>2207</v>
      </c>
    </row>
    <row r="749" spans="1:6" hidden="1" x14ac:dyDescent="0.2">
      <c r="A749" s="44">
        <v>45748</v>
      </c>
      <c r="B749" s="42" t="s">
        <v>1555</v>
      </c>
      <c r="C749" s="42">
        <v>7.09</v>
      </c>
      <c r="D749" s="42" t="s">
        <v>464</v>
      </c>
      <c r="E749" s="51" t="s">
        <v>6</v>
      </c>
      <c r="F749" s="45" t="s">
        <v>2207</v>
      </c>
    </row>
    <row r="750" spans="1:6" hidden="1" x14ac:dyDescent="0.2">
      <c r="A750" s="46">
        <v>45736</v>
      </c>
      <c r="B750" s="33" t="s">
        <v>2080</v>
      </c>
      <c r="C750" s="33">
        <v>12.21</v>
      </c>
      <c r="D750" s="33" t="s">
        <v>464</v>
      </c>
      <c r="E750" s="52" t="s">
        <v>6</v>
      </c>
      <c r="F750" s="47" t="s">
        <v>2207</v>
      </c>
    </row>
    <row r="751" spans="1:6" hidden="1" x14ac:dyDescent="0.2">
      <c r="A751" s="44">
        <v>45726</v>
      </c>
      <c r="B751" s="42" t="s">
        <v>2080</v>
      </c>
      <c r="C751" s="42">
        <v>8</v>
      </c>
      <c r="D751" s="42" t="s">
        <v>464</v>
      </c>
      <c r="E751" s="51" t="s">
        <v>6</v>
      </c>
      <c r="F751" s="45" t="s">
        <v>2207</v>
      </c>
    </row>
    <row r="752" spans="1:6" hidden="1" x14ac:dyDescent="0.2">
      <c r="A752" s="46">
        <v>45726</v>
      </c>
      <c r="B752" s="48" t="s">
        <v>2093</v>
      </c>
      <c r="C752" s="33">
        <v>10</v>
      </c>
      <c r="D752" s="33" t="s">
        <v>464</v>
      </c>
      <c r="E752" s="52" t="s">
        <v>6</v>
      </c>
      <c r="F752" s="47" t="s">
        <v>2207</v>
      </c>
    </row>
    <row r="753" spans="1:6" hidden="1" x14ac:dyDescent="0.2">
      <c r="A753" s="44">
        <v>45934</v>
      </c>
      <c r="B753" s="42" t="s">
        <v>472</v>
      </c>
      <c r="C753" s="42">
        <v>20.63</v>
      </c>
      <c r="D753" s="42" t="s">
        <v>469</v>
      </c>
      <c r="E753" s="51" t="s">
        <v>45</v>
      </c>
      <c r="F753" s="45" t="s">
        <v>2207</v>
      </c>
    </row>
    <row r="754" spans="1:6" hidden="1" x14ac:dyDescent="0.2">
      <c r="A754" s="46">
        <v>45841</v>
      </c>
      <c r="B754" s="33" t="s">
        <v>1863</v>
      </c>
      <c r="C754" s="33">
        <v>41.3</v>
      </c>
      <c r="D754" s="33" t="s">
        <v>469</v>
      </c>
      <c r="E754" s="52" t="s">
        <v>45</v>
      </c>
      <c r="F754" s="47" t="s">
        <v>2207</v>
      </c>
    </row>
    <row r="755" spans="1:6" hidden="1" x14ac:dyDescent="0.2">
      <c r="A755" s="44">
        <v>45839</v>
      </c>
      <c r="B755" s="42" t="s">
        <v>489</v>
      </c>
      <c r="C755" s="42">
        <v>61.8</v>
      </c>
      <c r="D755" s="42" t="s">
        <v>469</v>
      </c>
      <c r="E755" s="51" t="s">
        <v>45</v>
      </c>
      <c r="F755" s="45" t="s">
        <v>2207</v>
      </c>
    </row>
    <row r="756" spans="1:6" hidden="1" x14ac:dyDescent="0.2">
      <c r="A756" s="46">
        <v>45839</v>
      </c>
      <c r="B756" s="33" t="s">
        <v>1870</v>
      </c>
      <c r="C756" s="33">
        <v>14.07</v>
      </c>
      <c r="D756" s="33" t="s">
        <v>469</v>
      </c>
      <c r="E756" s="52" t="s">
        <v>6</v>
      </c>
      <c r="F756" s="47" t="s">
        <v>2207</v>
      </c>
    </row>
    <row r="757" spans="1:6" hidden="1" x14ac:dyDescent="0.2">
      <c r="A757" s="44">
        <v>45964</v>
      </c>
      <c r="B757" s="42" t="s">
        <v>481</v>
      </c>
      <c r="C757" s="42">
        <v>24</v>
      </c>
      <c r="D757" s="42" t="s">
        <v>469</v>
      </c>
      <c r="E757" s="51" t="s">
        <v>6</v>
      </c>
      <c r="F757" s="45" t="s">
        <v>2207</v>
      </c>
    </row>
    <row r="758" spans="1:6" hidden="1" x14ac:dyDescent="0.2">
      <c r="A758" s="46">
        <v>45975</v>
      </c>
      <c r="B758" s="48" t="s">
        <v>471</v>
      </c>
      <c r="C758" s="33">
        <v>58.96</v>
      </c>
      <c r="D758" s="33" t="s">
        <v>469</v>
      </c>
      <c r="E758" s="52" t="s">
        <v>45</v>
      </c>
      <c r="F758" s="47" t="s">
        <v>2207</v>
      </c>
    </row>
    <row r="759" spans="1:6" hidden="1" x14ac:dyDescent="0.2">
      <c r="A759" s="44">
        <v>45934</v>
      </c>
      <c r="B759" s="42" t="s">
        <v>473</v>
      </c>
      <c r="C759" s="42">
        <v>55.18</v>
      </c>
      <c r="D759" s="42" t="s">
        <v>469</v>
      </c>
      <c r="E759" s="51" t="s">
        <v>45</v>
      </c>
      <c r="F759" s="45" t="s">
        <v>2207</v>
      </c>
    </row>
    <row r="760" spans="1:6" hidden="1" x14ac:dyDescent="0.2">
      <c r="A760" s="46">
        <v>45962</v>
      </c>
      <c r="B760" s="33" t="s">
        <v>1214</v>
      </c>
      <c r="C760" s="33">
        <v>15</v>
      </c>
      <c r="D760" s="33" t="s">
        <v>469</v>
      </c>
      <c r="E760" s="52" t="s">
        <v>6</v>
      </c>
      <c r="F760" s="47" t="s">
        <v>2207</v>
      </c>
    </row>
    <row r="761" spans="1:6" hidden="1" x14ac:dyDescent="0.2">
      <c r="A761" s="44">
        <v>45959</v>
      </c>
      <c r="B761" s="42" t="s">
        <v>1222</v>
      </c>
      <c r="C761" s="42">
        <v>40</v>
      </c>
      <c r="D761" s="42" t="s">
        <v>469</v>
      </c>
      <c r="E761" s="51" t="s">
        <v>45</v>
      </c>
      <c r="F761" s="45" t="s">
        <v>2207</v>
      </c>
    </row>
    <row r="762" spans="1:6" hidden="1" x14ac:dyDescent="0.2">
      <c r="A762" s="46">
        <v>45947</v>
      </c>
      <c r="B762" s="33" t="s">
        <v>491</v>
      </c>
      <c r="C762" s="33">
        <v>79</v>
      </c>
      <c r="D762" s="33" t="s">
        <v>469</v>
      </c>
      <c r="E762" s="52" t="s">
        <v>45</v>
      </c>
      <c r="F762" s="47" t="s">
        <v>2207</v>
      </c>
    </row>
    <row r="763" spans="1:6" hidden="1" x14ac:dyDescent="0.2">
      <c r="A763" s="44">
        <v>45952</v>
      </c>
      <c r="B763" s="42" t="s">
        <v>484</v>
      </c>
      <c r="C763" s="42">
        <v>243.19</v>
      </c>
      <c r="D763" s="42" t="s">
        <v>469</v>
      </c>
      <c r="E763" s="51" t="s">
        <v>45</v>
      </c>
      <c r="F763" s="45" t="s">
        <v>2207</v>
      </c>
    </row>
    <row r="764" spans="1:6" hidden="1" x14ac:dyDescent="0.2">
      <c r="A764" s="46">
        <v>45962</v>
      </c>
      <c r="B764" s="33" t="s">
        <v>476</v>
      </c>
      <c r="C764" s="33">
        <v>143.44</v>
      </c>
      <c r="D764" s="33" t="s">
        <v>469</v>
      </c>
      <c r="E764" s="52" t="s">
        <v>45</v>
      </c>
      <c r="F764" s="47" t="s">
        <v>2207</v>
      </c>
    </row>
    <row r="765" spans="1:6" hidden="1" x14ac:dyDescent="0.2">
      <c r="A765" s="44">
        <v>45855</v>
      </c>
      <c r="B765" s="42" t="s">
        <v>1828</v>
      </c>
      <c r="C765" s="42">
        <v>33.049999999999997</v>
      </c>
      <c r="D765" s="42" t="s">
        <v>498</v>
      </c>
      <c r="E765" s="51" t="s">
        <v>6</v>
      </c>
      <c r="F765" s="45" t="s">
        <v>2207</v>
      </c>
    </row>
    <row r="766" spans="1:6" hidden="1" x14ac:dyDescent="0.2">
      <c r="A766" s="46">
        <v>45795</v>
      </c>
      <c r="B766" s="33" t="s">
        <v>1828</v>
      </c>
      <c r="C766" s="33">
        <v>1595.61</v>
      </c>
      <c r="D766" s="33" t="s">
        <v>498</v>
      </c>
      <c r="E766" s="52" t="s">
        <v>6</v>
      </c>
      <c r="F766" s="47" t="s">
        <v>2207</v>
      </c>
    </row>
    <row r="767" spans="1:6" hidden="1" x14ac:dyDescent="0.2">
      <c r="A767" s="44">
        <v>45763</v>
      </c>
      <c r="B767" s="42" t="s">
        <v>2036</v>
      </c>
      <c r="C767" s="42">
        <v>-41.93</v>
      </c>
      <c r="D767" s="42" t="s">
        <v>498</v>
      </c>
      <c r="E767" s="51" t="s">
        <v>6</v>
      </c>
      <c r="F767" s="45" t="s">
        <v>2207</v>
      </c>
    </row>
    <row r="768" spans="1:6" hidden="1" x14ac:dyDescent="0.2">
      <c r="A768" s="46">
        <v>45762</v>
      </c>
      <c r="B768" s="33" t="s">
        <v>2036</v>
      </c>
      <c r="C768" s="33">
        <v>19.86</v>
      </c>
      <c r="D768" s="33" t="s">
        <v>498</v>
      </c>
      <c r="E768" s="52" t="s">
        <v>6</v>
      </c>
      <c r="F768" s="47" t="s">
        <v>2207</v>
      </c>
    </row>
    <row r="769" spans="1:6" hidden="1" x14ac:dyDescent="0.2">
      <c r="A769" s="44">
        <v>45762</v>
      </c>
      <c r="B769" s="42" t="s">
        <v>1828</v>
      </c>
      <c r="C769" s="42">
        <v>77.13</v>
      </c>
      <c r="D769" s="42" t="s">
        <v>498</v>
      </c>
      <c r="E769" s="51" t="s">
        <v>6</v>
      </c>
      <c r="F769" s="45" t="s">
        <v>2207</v>
      </c>
    </row>
    <row r="770" spans="1:6" hidden="1" x14ac:dyDescent="0.2">
      <c r="A770" s="46">
        <v>45762</v>
      </c>
      <c r="B770" s="33" t="s">
        <v>2036</v>
      </c>
      <c r="C770" s="33">
        <v>41.93</v>
      </c>
      <c r="D770" s="33" t="s">
        <v>498</v>
      </c>
      <c r="E770" s="52" t="s">
        <v>6</v>
      </c>
      <c r="F770" s="47" t="s">
        <v>2207</v>
      </c>
    </row>
    <row r="771" spans="1:6" hidden="1" x14ac:dyDescent="0.2">
      <c r="A771" s="44">
        <v>45931</v>
      </c>
      <c r="B771" s="42" t="s">
        <v>1588</v>
      </c>
      <c r="C771" s="42">
        <v>25.9</v>
      </c>
      <c r="D771" s="42" t="s">
        <v>514</v>
      </c>
      <c r="E771" s="51" t="s">
        <v>6</v>
      </c>
      <c r="F771" s="45" t="s">
        <v>2207</v>
      </c>
    </row>
    <row r="772" spans="1:6" hidden="1" x14ac:dyDescent="0.2">
      <c r="A772" s="46">
        <v>45930</v>
      </c>
      <c r="B772" s="33" t="s">
        <v>1539</v>
      </c>
      <c r="C772" s="33">
        <v>37.520000000000003</v>
      </c>
      <c r="D772" s="33" t="s">
        <v>514</v>
      </c>
      <c r="E772" s="52" t="s">
        <v>6</v>
      </c>
      <c r="F772" s="47" t="s">
        <v>2207</v>
      </c>
    </row>
    <row r="773" spans="1:6" hidden="1" x14ac:dyDescent="0.2">
      <c r="A773" s="44">
        <v>45926</v>
      </c>
      <c r="B773" s="42" t="s">
        <v>1551</v>
      </c>
      <c r="C773" s="42">
        <v>122.91</v>
      </c>
      <c r="D773" s="42" t="s">
        <v>514</v>
      </c>
      <c r="E773" s="51" t="s">
        <v>6</v>
      </c>
      <c r="F773" s="45" t="s">
        <v>2207</v>
      </c>
    </row>
    <row r="774" spans="1:6" hidden="1" x14ac:dyDescent="0.2">
      <c r="A774" s="46">
        <v>45926</v>
      </c>
      <c r="B774" s="33" t="s">
        <v>1571</v>
      </c>
      <c r="C774" s="33">
        <v>308.26</v>
      </c>
      <c r="D774" s="33" t="s">
        <v>514</v>
      </c>
      <c r="E774" s="52" t="s">
        <v>6</v>
      </c>
      <c r="F774" s="47" t="s">
        <v>2207</v>
      </c>
    </row>
    <row r="775" spans="1:6" hidden="1" x14ac:dyDescent="0.2">
      <c r="A775" s="44">
        <v>45923</v>
      </c>
      <c r="B775" s="42" t="s">
        <v>1539</v>
      </c>
      <c r="C775" s="42">
        <v>17.45</v>
      </c>
      <c r="D775" s="42" t="s">
        <v>514</v>
      </c>
      <c r="E775" s="51" t="s">
        <v>6</v>
      </c>
      <c r="F775" s="45" t="s">
        <v>2207</v>
      </c>
    </row>
    <row r="776" spans="1:6" hidden="1" x14ac:dyDescent="0.2">
      <c r="A776" s="46">
        <v>45921</v>
      </c>
      <c r="B776" s="33" t="s">
        <v>1574</v>
      </c>
      <c r="C776" s="33">
        <v>89.7</v>
      </c>
      <c r="D776" s="33" t="s">
        <v>514</v>
      </c>
      <c r="E776" s="52" t="s">
        <v>6</v>
      </c>
      <c r="F776" s="47" t="s">
        <v>2207</v>
      </c>
    </row>
    <row r="777" spans="1:6" hidden="1" x14ac:dyDescent="0.2">
      <c r="A777" s="44">
        <v>45920</v>
      </c>
      <c r="B777" s="42" t="s">
        <v>1588</v>
      </c>
      <c r="C777" s="42">
        <v>44.14</v>
      </c>
      <c r="D777" s="42" t="s">
        <v>514</v>
      </c>
      <c r="E777" s="51" t="s">
        <v>6</v>
      </c>
      <c r="F777" s="45" t="s">
        <v>2207</v>
      </c>
    </row>
    <row r="778" spans="1:6" hidden="1" x14ac:dyDescent="0.2">
      <c r="A778" s="46">
        <v>45920</v>
      </c>
      <c r="B778" s="33" t="s">
        <v>1536</v>
      </c>
      <c r="C778" s="33">
        <v>25.9</v>
      </c>
      <c r="D778" s="33" t="s">
        <v>514</v>
      </c>
      <c r="E778" s="52" t="s">
        <v>6</v>
      </c>
      <c r="F778" s="47" t="s">
        <v>2207</v>
      </c>
    </row>
    <row r="779" spans="1:6" hidden="1" x14ac:dyDescent="0.2">
      <c r="A779" s="44">
        <v>45916</v>
      </c>
      <c r="B779" s="42" t="s">
        <v>1539</v>
      </c>
      <c r="C779" s="42">
        <v>37.520000000000003</v>
      </c>
      <c r="D779" s="42" t="s">
        <v>514</v>
      </c>
      <c r="E779" s="51" t="s">
        <v>6</v>
      </c>
      <c r="F779" s="45" t="s">
        <v>2207</v>
      </c>
    </row>
    <row r="780" spans="1:6" hidden="1" x14ac:dyDescent="0.2">
      <c r="A780" s="46">
        <v>45913</v>
      </c>
      <c r="B780" s="33" t="s">
        <v>1588</v>
      </c>
      <c r="C780" s="33">
        <v>23.75</v>
      </c>
      <c r="D780" s="33" t="s">
        <v>514</v>
      </c>
      <c r="E780" s="52" t="s">
        <v>6</v>
      </c>
      <c r="F780" s="47" t="s">
        <v>2207</v>
      </c>
    </row>
    <row r="781" spans="1:6" hidden="1" x14ac:dyDescent="0.2">
      <c r="A781" s="44">
        <v>45913</v>
      </c>
      <c r="B781" s="42" t="s">
        <v>1649</v>
      </c>
      <c r="C781" s="42">
        <v>47.82</v>
      </c>
      <c r="D781" s="42" t="s">
        <v>514</v>
      </c>
      <c r="E781" s="51" t="s">
        <v>6</v>
      </c>
      <c r="F781" s="45" t="s">
        <v>2207</v>
      </c>
    </row>
    <row r="782" spans="1:6" hidden="1" x14ac:dyDescent="0.2">
      <c r="A782" s="46">
        <v>45910</v>
      </c>
      <c r="B782" s="33" t="s">
        <v>1551</v>
      </c>
      <c r="C782" s="33">
        <v>220.8</v>
      </c>
      <c r="D782" s="33" t="s">
        <v>514</v>
      </c>
      <c r="E782" s="52" t="s">
        <v>6</v>
      </c>
      <c r="F782" s="47" t="s">
        <v>2207</v>
      </c>
    </row>
    <row r="783" spans="1:6" hidden="1" x14ac:dyDescent="0.2">
      <c r="A783" s="44">
        <v>45909</v>
      </c>
      <c r="B783" s="42" t="s">
        <v>1536</v>
      </c>
      <c r="C783" s="42">
        <v>58.53</v>
      </c>
      <c r="D783" s="42" t="s">
        <v>514</v>
      </c>
      <c r="E783" s="51" t="s">
        <v>6</v>
      </c>
      <c r="F783" s="45" t="s">
        <v>2207</v>
      </c>
    </row>
    <row r="784" spans="1:6" hidden="1" x14ac:dyDescent="0.2">
      <c r="A784" s="46">
        <v>45909</v>
      </c>
      <c r="B784" s="33" t="s">
        <v>1536</v>
      </c>
      <c r="C784" s="33">
        <v>85</v>
      </c>
      <c r="D784" s="33" t="s">
        <v>514</v>
      </c>
      <c r="E784" s="52" t="s">
        <v>6</v>
      </c>
      <c r="F784" s="47" t="s">
        <v>2207</v>
      </c>
    </row>
    <row r="785" spans="1:6" hidden="1" x14ac:dyDescent="0.2">
      <c r="A785" s="44">
        <v>45909</v>
      </c>
      <c r="B785" s="42" t="s">
        <v>1539</v>
      </c>
      <c r="C785" s="42">
        <v>17.45</v>
      </c>
      <c r="D785" s="42" t="s">
        <v>514</v>
      </c>
      <c r="E785" s="51" t="s">
        <v>6</v>
      </c>
      <c r="F785" s="45" t="s">
        <v>2207</v>
      </c>
    </row>
    <row r="786" spans="1:6" hidden="1" x14ac:dyDescent="0.2">
      <c r="A786" s="46">
        <v>45903</v>
      </c>
      <c r="B786" s="33" t="s">
        <v>1588</v>
      </c>
      <c r="C786" s="33">
        <v>12.85</v>
      </c>
      <c r="D786" s="33" t="s">
        <v>514</v>
      </c>
      <c r="E786" s="52" t="s">
        <v>6</v>
      </c>
      <c r="F786" s="47" t="s">
        <v>2207</v>
      </c>
    </row>
    <row r="787" spans="1:6" hidden="1" x14ac:dyDescent="0.2">
      <c r="A787" s="44">
        <v>45902</v>
      </c>
      <c r="B787" s="42" t="s">
        <v>1574</v>
      </c>
      <c r="C787" s="42">
        <v>46.48</v>
      </c>
      <c r="D787" s="42" t="s">
        <v>514</v>
      </c>
      <c r="E787" s="51" t="s">
        <v>6</v>
      </c>
      <c r="F787" s="45" t="s">
        <v>2207</v>
      </c>
    </row>
    <row r="788" spans="1:6" hidden="1" x14ac:dyDescent="0.2">
      <c r="A788" s="46">
        <v>45902</v>
      </c>
      <c r="B788" s="33" t="s">
        <v>1539</v>
      </c>
      <c r="C788" s="33">
        <v>37.520000000000003</v>
      </c>
      <c r="D788" s="33" t="s">
        <v>514</v>
      </c>
      <c r="E788" s="52" t="s">
        <v>6</v>
      </c>
      <c r="F788" s="47" t="s">
        <v>2207</v>
      </c>
    </row>
    <row r="789" spans="1:6" hidden="1" x14ac:dyDescent="0.2">
      <c r="A789" s="44">
        <v>45897</v>
      </c>
      <c r="B789" s="42" t="s">
        <v>1594</v>
      </c>
      <c r="C789" s="42">
        <v>54.08</v>
      </c>
      <c r="D789" s="42" t="s">
        <v>514</v>
      </c>
      <c r="E789" s="51" t="s">
        <v>6</v>
      </c>
      <c r="F789" s="45" t="s">
        <v>2207</v>
      </c>
    </row>
    <row r="790" spans="1:6" hidden="1" x14ac:dyDescent="0.2">
      <c r="A790" s="46">
        <v>45897</v>
      </c>
      <c r="B790" s="33" t="s">
        <v>1688</v>
      </c>
      <c r="C790" s="33">
        <v>126.29</v>
      </c>
      <c r="D790" s="33" t="s">
        <v>514</v>
      </c>
      <c r="E790" s="52" t="s">
        <v>6</v>
      </c>
      <c r="F790" s="47" t="s">
        <v>2207</v>
      </c>
    </row>
    <row r="791" spans="1:6" hidden="1" x14ac:dyDescent="0.2">
      <c r="A791" s="44">
        <v>45895</v>
      </c>
      <c r="B791" s="42" t="s">
        <v>1539</v>
      </c>
      <c r="C791" s="42">
        <v>17.95</v>
      </c>
      <c r="D791" s="42" t="s">
        <v>514</v>
      </c>
      <c r="E791" s="51" t="s">
        <v>6</v>
      </c>
      <c r="F791" s="45" t="s">
        <v>2207</v>
      </c>
    </row>
    <row r="792" spans="1:6" hidden="1" x14ac:dyDescent="0.2">
      <c r="A792" s="46">
        <v>45894</v>
      </c>
      <c r="B792" s="33" t="s">
        <v>1574</v>
      </c>
      <c r="C792" s="33">
        <v>131</v>
      </c>
      <c r="D792" s="33" t="s">
        <v>514</v>
      </c>
      <c r="E792" s="52" t="s">
        <v>6</v>
      </c>
      <c r="F792" s="47" t="s">
        <v>2207</v>
      </c>
    </row>
    <row r="793" spans="1:6" hidden="1" x14ac:dyDescent="0.2">
      <c r="A793" s="44">
        <v>45894</v>
      </c>
      <c r="B793" s="42" t="s">
        <v>1536</v>
      </c>
      <c r="C793" s="42">
        <v>51.91</v>
      </c>
      <c r="D793" s="42" t="s">
        <v>514</v>
      </c>
      <c r="E793" s="51" t="s">
        <v>6</v>
      </c>
      <c r="F793" s="45" t="s">
        <v>2207</v>
      </c>
    </row>
    <row r="794" spans="1:6" hidden="1" x14ac:dyDescent="0.2">
      <c r="A794" s="46">
        <v>45892</v>
      </c>
      <c r="B794" s="33" t="s">
        <v>1588</v>
      </c>
      <c r="C794" s="33">
        <v>76.72</v>
      </c>
      <c r="D794" s="33" t="s">
        <v>514</v>
      </c>
      <c r="E794" s="52" t="s">
        <v>6</v>
      </c>
      <c r="F794" s="47" t="s">
        <v>2207</v>
      </c>
    </row>
    <row r="795" spans="1:6" hidden="1" x14ac:dyDescent="0.2">
      <c r="A795" s="44">
        <v>45892</v>
      </c>
      <c r="B795" s="42" t="s">
        <v>1536</v>
      </c>
      <c r="C795" s="42">
        <v>16.98</v>
      </c>
      <c r="D795" s="42" t="s">
        <v>514</v>
      </c>
      <c r="E795" s="51" t="s">
        <v>6</v>
      </c>
      <c r="F795" s="45" t="s">
        <v>2207</v>
      </c>
    </row>
    <row r="796" spans="1:6" hidden="1" x14ac:dyDescent="0.2">
      <c r="A796" s="46">
        <v>45892</v>
      </c>
      <c r="B796" s="33" t="s">
        <v>1536</v>
      </c>
      <c r="C796" s="33">
        <v>116.95</v>
      </c>
      <c r="D796" s="33" t="s">
        <v>514</v>
      </c>
      <c r="E796" s="52" t="s">
        <v>6</v>
      </c>
      <c r="F796" s="47" t="s">
        <v>2207</v>
      </c>
    </row>
    <row r="797" spans="1:6" hidden="1" x14ac:dyDescent="0.2">
      <c r="A797" s="44">
        <v>45891</v>
      </c>
      <c r="B797" s="42" t="s">
        <v>1536</v>
      </c>
      <c r="C797" s="42">
        <v>107.77</v>
      </c>
      <c r="D797" s="42" t="s">
        <v>514</v>
      </c>
      <c r="E797" s="51" t="s">
        <v>6</v>
      </c>
      <c r="F797" s="45" t="s">
        <v>2207</v>
      </c>
    </row>
    <row r="798" spans="1:6" hidden="1" x14ac:dyDescent="0.2">
      <c r="A798" s="46">
        <v>45890</v>
      </c>
      <c r="B798" s="33" t="s">
        <v>1588</v>
      </c>
      <c r="C798" s="33">
        <v>21.87</v>
      </c>
      <c r="D798" s="33" t="s">
        <v>514</v>
      </c>
      <c r="E798" s="52" t="s">
        <v>6</v>
      </c>
      <c r="F798" s="47" t="s">
        <v>2207</v>
      </c>
    </row>
    <row r="799" spans="1:6" hidden="1" x14ac:dyDescent="0.2">
      <c r="A799" s="44">
        <v>45888</v>
      </c>
      <c r="B799" s="42" t="s">
        <v>1539</v>
      </c>
      <c r="C799" s="42">
        <v>37.520000000000003</v>
      </c>
      <c r="D799" s="42" t="s">
        <v>514</v>
      </c>
      <c r="E799" s="51" t="s">
        <v>6</v>
      </c>
      <c r="F799" s="45" t="s">
        <v>2207</v>
      </c>
    </row>
    <row r="800" spans="1:6" hidden="1" x14ac:dyDescent="0.2">
      <c r="A800" s="46">
        <v>45886</v>
      </c>
      <c r="B800" s="33" t="s">
        <v>1571</v>
      </c>
      <c r="C800" s="33">
        <v>197.85</v>
      </c>
      <c r="D800" s="33" t="s">
        <v>514</v>
      </c>
      <c r="E800" s="52" t="s">
        <v>6</v>
      </c>
      <c r="F800" s="47" t="s">
        <v>2207</v>
      </c>
    </row>
    <row r="801" spans="1:6" hidden="1" x14ac:dyDescent="0.2">
      <c r="A801" s="44">
        <v>45884</v>
      </c>
      <c r="B801" s="42" t="s">
        <v>1536</v>
      </c>
      <c r="C801" s="42">
        <v>117.35</v>
      </c>
      <c r="D801" s="42" t="s">
        <v>514</v>
      </c>
      <c r="E801" s="51" t="s">
        <v>6</v>
      </c>
      <c r="F801" s="45" t="s">
        <v>2207</v>
      </c>
    </row>
    <row r="802" spans="1:6" hidden="1" x14ac:dyDescent="0.2">
      <c r="A802" s="46">
        <v>45881</v>
      </c>
      <c r="B802" s="33" t="s">
        <v>1539</v>
      </c>
      <c r="C802" s="33">
        <v>16.95</v>
      </c>
      <c r="D802" s="33" t="s">
        <v>514</v>
      </c>
      <c r="E802" s="52" t="s">
        <v>6</v>
      </c>
      <c r="F802" s="47" t="s">
        <v>2207</v>
      </c>
    </row>
    <row r="803" spans="1:6" hidden="1" x14ac:dyDescent="0.2">
      <c r="A803" s="44">
        <v>45879</v>
      </c>
      <c r="B803" s="42" t="s">
        <v>1588</v>
      </c>
      <c r="C803" s="42">
        <v>102.57</v>
      </c>
      <c r="D803" s="42" t="s">
        <v>514</v>
      </c>
      <c r="E803" s="51" t="s">
        <v>6</v>
      </c>
      <c r="F803" s="45" t="s">
        <v>2207</v>
      </c>
    </row>
    <row r="804" spans="1:6" hidden="1" x14ac:dyDescent="0.2">
      <c r="A804" s="46">
        <v>45874</v>
      </c>
      <c r="B804" s="33" t="s">
        <v>1539</v>
      </c>
      <c r="C804" s="33">
        <v>30.53</v>
      </c>
      <c r="D804" s="33" t="s">
        <v>514</v>
      </c>
      <c r="E804" s="52" t="s">
        <v>6</v>
      </c>
      <c r="F804" s="47" t="s">
        <v>2207</v>
      </c>
    </row>
    <row r="805" spans="1:6" hidden="1" x14ac:dyDescent="0.2">
      <c r="A805" s="44">
        <v>45871</v>
      </c>
      <c r="B805" s="42" t="s">
        <v>1536</v>
      </c>
      <c r="C805" s="42">
        <v>115.66</v>
      </c>
      <c r="D805" s="42" t="s">
        <v>514</v>
      </c>
      <c r="E805" s="51" t="s">
        <v>6</v>
      </c>
      <c r="F805" s="45" t="s">
        <v>2207</v>
      </c>
    </row>
    <row r="806" spans="1:6" hidden="1" x14ac:dyDescent="0.2">
      <c r="A806" s="46">
        <v>45871</v>
      </c>
      <c r="B806" s="33" t="s">
        <v>1536</v>
      </c>
      <c r="C806" s="33">
        <v>65.47</v>
      </c>
      <c r="D806" s="33" t="s">
        <v>514</v>
      </c>
      <c r="E806" s="52" t="s">
        <v>6</v>
      </c>
      <c r="F806" s="47" t="s">
        <v>2207</v>
      </c>
    </row>
    <row r="807" spans="1:6" hidden="1" x14ac:dyDescent="0.2">
      <c r="A807" s="44">
        <v>45871</v>
      </c>
      <c r="B807" s="62" t="s">
        <v>1584</v>
      </c>
      <c r="C807" s="42">
        <v>494.5</v>
      </c>
      <c r="D807" s="42" t="s">
        <v>514</v>
      </c>
      <c r="E807" s="51" t="s">
        <v>6</v>
      </c>
      <c r="F807" s="45" t="s">
        <v>2207</v>
      </c>
    </row>
    <row r="808" spans="1:6" hidden="1" x14ac:dyDescent="0.2">
      <c r="A808" s="46">
        <v>45867</v>
      </c>
      <c r="B808" s="33" t="s">
        <v>1781</v>
      </c>
      <c r="C808" s="33">
        <v>49.96</v>
      </c>
      <c r="D808" s="33" t="s">
        <v>514</v>
      </c>
      <c r="E808" s="52" t="s">
        <v>6</v>
      </c>
      <c r="F808" s="47" t="s">
        <v>2207</v>
      </c>
    </row>
    <row r="809" spans="1:6" hidden="1" x14ac:dyDescent="0.2">
      <c r="A809" s="44">
        <v>45867</v>
      </c>
      <c r="B809" s="42" t="s">
        <v>1539</v>
      </c>
      <c r="C809" s="42">
        <v>14.95</v>
      </c>
      <c r="D809" s="42" t="s">
        <v>514</v>
      </c>
      <c r="E809" s="51" t="s">
        <v>6</v>
      </c>
      <c r="F809" s="45" t="s">
        <v>2207</v>
      </c>
    </row>
    <row r="810" spans="1:6" hidden="1" x14ac:dyDescent="0.2">
      <c r="A810" s="46">
        <v>45863</v>
      </c>
      <c r="B810" s="33" t="s">
        <v>1536</v>
      </c>
      <c r="C810" s="33">
        <v>19.46</v>
      </c>
      <c r="D810" s="33" t="s">
        <v>514</v>
      </c>
      <c r="E810" s="52" t="s">
        <v>6</v>
      </c>
      <c r="F810" s="47" t="s">
        <v>2207</v>
      </c>
    </row>
    <row r="811" spans="1:6" hidden="1" x14ac:dyDescent="0.2">
      <c r="A811" s="44">
        <v>45861</v>
      </c>
      <c r="B811" s="42" t="s">
        <v>1536</v>
      </c>
      <c r="C811" s="42">
        <v>32.49</v>
      </c>
      <c r="D811" s="42" t="s">
        <v>514</v>
      </c>
      <c r="E811" s="51" t="s">
        <v>6</v>
      </c>
      <c r="F811" s="45" t="s">
        <v>2207</v>
      </c>
    </row>
    <row r="812" spans="1:6" hidden="1" x14ac:dyDescent="0.2">
      <c r="A812" s="46">
        <v>45861</v>
      </c>
      <c r="B812" s="33" t="s">
        <v>1811</v>
      </c>
      <c r="C812" s="33">
        <v>29.78</v>
      </c>
      <c r="D812" s="33" t="s">
        <v>514</v>
      </c>
      <c r="E812" s="52" t="s">
        <v>6</v>
      </c>
      <c r="F812" s="47" t="s">
        <v>2207</v>
      </c>
    </row>
    <row r="813" spans="1:6" hidden="1" x14ac:dyDescent="0.2">
      <c r="A813" s="44">
        <v>45860</v>
      </c>
      <c r="B813" s="42" t="s">
        <v>1539</v>
      </c>
      <c r="C813" s="42">
        <v>37.520000000000003</v>
      </c>
      <c r="D813" s="42" t="s">
        <v>514</v>
      </c>
      <c r="E813" s="51" t="s">
        <v>6</v>
      </c>
      <c r="F813" s="45" t="s">
        <v>2207</v>
      </c>
    </row>
    <row r="814" spans="1:6" hidden="1" x14ac:dyDescent="0.2">
      <c r="A814" s="46">
        <v>45857</v>
      </c>
      <c r="B814" s="33" t="s">
        <v>1536</v>
      </c>
      <c r="C814" s="33">
        <v>60.07</v>
      </c>
      <c r="D814" s="33" t="s">
        <v>514</v>
      </c>
      <c r="E814" s="52" t="s">
        <v>6</v>
      </c>
      <c r="F814" s="47" t="s">
        <v>2207</v>
      </c>
    </row>
    <row r="815" spans="1:6" hidden="1" x14ac:dyDescent="0.2">
      <c r="A815" s="44">
        <v>45857</v>
      </c>
      <c r="B815" s="42" t="s">
        <v>1551</v>
      </c>
      <c r="C815" s="42">
        <v>43.73</v>
      </c>
      <c r="D815" s="42" t="s">
        <v>514</v>
      </c>
      <c r="E815" s="51" t="s">
        <v>6</v>
      </c>
      <c r="F815" s="45" t="s">
        <v>2207</v>
      </c>
    </row>
    <row r="816" spans="1:6" hidden="1" x14ac:dyDescent="0.2">
      <c r="A816" s="46">
        <v>45857</v>
      </c>
      <c r="B816" s="33" t="s">
        <v>1551</v>
      </c>
      <c r="C816" s="33">
        <v>100</v>
      </c>
      <c r="D816" s="33" t="s">
        <v>514</v>
      </c>
      <c r="E816" s="52" t="s">
        <v>6</v>
      </c>
      <c r="F816" s="47" t="s">
        <v>2207</v>
      </c>
    </row>
    <row r="817" spans="1:6" hidden="1" x14ac:dyDescent="0.2">
      <c r="A817" s="44">
        <v>45857</v>
      </c>
      <c r="B817" s="42" t="s">
        <v>1551</v>
      </c>
      <c r="C817" s="42">
        <v>100</v>
      </c>
      <c r="D817" s="42" t="s">
        <v>514</v>
      </c>
      <c r="E817" s="51" t="s">
        <v>6</v>
      </c>
      <c r="F817" s="45" t="s">
        <v>2207</v>
      </c>
    </row>
    <row r="818" spans="1:6" hidden="1" x14ac:dyDescent="0.2">
      <c r="A818" s="46">
        <v>45857</v>
      </c>
      <c r="B818" s="33" t="s">
        <v>1551</v>
      </c>
      <c r="C818" s="33">
        <v>100</v>
      </c>
      <c r="D818" s="33" t="s">
        <v>514</v>
      </c>
      <c r="E818" s="52" t="s">
        <v>6</v>
      </c>
      <c r="F818" s="47" t="s">
        <v>2207</v>
      </c>
    </row>
    <row r="819" spans="1:6" hidden="1" x14ac:dyDescent="0.2">
      <c r="A819" s="44">
        <v>45856</v>
      </c>
      <c r="B819" s="42" t="s">
        <v>1536</v>
      </c>
      <c r="C819" s="42">
        <v>51.98</v>
      </c>
      <c r="D819" s="42" t="s">
        <v>514</v>
      </c>
      <c r="E819" s="51" t="s">
        <v>6</v>
      </c>
      <c r="F819" s="45" t="s">
        <v>2207</v>
      </c>
    </row>
    <row r="820" spans="1:6" hidden="1" x14ac:dyDescent="0.2">
      <c r="A820" s="46">
        <v>45853</v>
      </c>
      <c r="B820" s="48" t="s">
        <v>1584</v>
      </c>
      <c r="C820" s="33">
        <v>463.69</v>
      </c>
      <c r="D820" s="33" t="s">
        <v>514</v>
      </c>
      <c r="E820" s="52" t="s">
        <v>6</v>
      </c>
      <c r="F820" s="47" t="s">
        <v>2207</v>
      </c>
    </row>
    <row r="821" spans="1:6" hidden="1" x14ac:dyDescent="0.2">
      <c r="A821" s="44">
        <v>45853</v>
      </c>
      <c r="B821" s="42" t="s">
        <v>1539</v>
      </c>
      <c r="C821" s="42">
        <v>17.95</v>
      </c>
      <c r="D821" s="42" t="s">
        <v>514</v>
      </c>
      <c r="E821" s="51" t="s">
        <v>6</v>
      </c>
      <c r="F821" s="45" t="s">
        <v>2207</v>
      </c>
    </row>
    <row r="822" spans="1:6" hidden="1" x14ac:dyDescent="0.2">
      <c r="A822" s="46">
        <v>45850</v>
      </c>
      <c r="B822" s="48" t="s">
        <v>1604</v>
      </c>
      <c r="C822" s="33">
        <v>34.03</v>
      </c>
      <c r="D822" s="33" t="s">
        <v>514</v>
      </c>
      <c r="E822" s="52" t="s">
        <v>6</v>
      </c>
      <c r="F822" s="47" t="s">
        <v>2207</v>
      </c>
    </row>
    <row r="823" spans="1:6" hidden="1" x14ac:dyDescent="0.2">
      <c r="A823" s="44">
        <v>45850</v>
      </c>
      <c r="B823" s="42" t="s">
        <v>1536</v>
      </c>
      <c r="C823" s="42">
        <v>52.63</v>
      </c>
      <c r="D823" s="42" t="s">
        <v>514</v>
      </c>
      <c r="E823" s="51" t="s">
        <v>6</v>
      </c>
      <c r="F823" s="45" t="s">
        <v>2207</v>
      </c>
    </row>
    <row r="824" spans="1:6" hidden="1" x14ac:dyDescent="0.2">
      <c r="A824" s="46">
        <v>45847</v>
      </c>
      <c r="B824" s="33" t="s">
        <v>1536</v>
      </c>
      <c r="C824" s="33">
        <v>14.32</v>
      </c>
      <c r="D824" s="33" t="s">
        <v>514</v>
      </c>
      <c r="E824" s="52" t="s">
        <v>6</v>
      </c>
      <c r="F824" s="47" t="s">
        <v>2207</v>
      </c>
    </row>
    <row r="825" spans="1:6" hidden="1" x14ac:dyDescent="0.2">
      <c r="A825" s="44">
        <v>45847</v>
      </c>
      <c r="B825" s="42" t="s">
        <v>1539</v>
      </c>
      <c r="C825" s="42">
        <v>32.729999999999997</v>
      </c>
      <c r="D825" s="42" t="s">
        <v>514</v>
      </c>
      <c r="E825" s="51" t="s">
        <v>6</v>
      </c>
      <c r="F825" s="45" t="s">
        <v>2207</v>
      </c>
    </row>
    <row r="826" spans="1:6" hidden="1" x14ac:dyDescent="0.2">
      <c r="A826" s="46">
        <v>45847</v>
      </c>
      <c r="B826" s="33" t="s">
        <v>1851</v>
      </c>
      <c r="C826" s="33">
        <v>21.76</v>
      </c>
      <c r="D826" s="33" t="s">
        <v>514</v>
      </c>
      <c r="E826" s="52" t="s">
        <v>6</v>
      </c>
      <c r="F826" s="47" t="s">
        <v>2207</v>
      </c>
    </row>
    <row r="827" spans="1:6" hidden="1" x14ac:dyDescent="0.2">
      <c r="A827" s="44">
        <v>45845</v>
      </c>
      <c r="B827" s="42" t="s">
        <v>1588</v>
      </c>
      <c r="C827" s="42">
        <v>6.99</v>
      </c>
      <c r="D827" s="42" t="s">
        <v>514</v>
      </c>
      <c r="E827" s="51" t="s">
        <v>6</v>
      </c>
      <c r="F827" s="45" t="s">
        <v>2207</v>
      </c>
    </row>
    <row r="828" spans="1:6" hidden="1" x14ac:dyDescent="0.2">
      <c r="A828" s="46">
        <v>45844</v>
      </c>
      <c r="B828" s="33" t="s">
        <v>1551</v>
      </c>
      <c r="C828" s="33">
        <v>9.9</v>
      </c>
      <c r="D828" s="33" t="s">
        <v>514</v>
      </c>
      <c r="E828" s="52" t="s">
        <v>6</v>
      </c>
      <c r="F828" s="47" t="s">
        <v>2207</v>
      </c>
    </row>
    <row r="829" spans="1:6" hidden="1" x14ac:dyDescent="0.2">
      <c r="A829" s="44">
        <v>45844</v>
      </c>
      <c r="B829" s="42" t="s">
        <v>1536</v>
      </c>
      <c r="C829" s="42">
        <v>293.88</v>
      </c>
      <c r="D829" s="42" t="s">
        <v>514</v>
      </c>
      <c r="E829" s="51" t="s">
        <v>6</v>
      </c>
      <c r="F829" s="45" t="s">
        <v>2207</v>
      </c>
    </row>
    <row r="830" spans="1:6" hidden="1" x14ac:dyDescent="0.2">
      <c r="A830" s="46">
        <v>45844</v>
      </c>
      <c r="B830" s="33" t="s">
        <v>1536</v>
      </c>
      <c r="C830" s="33">
        <v>33.65</v>
      </c>
      <c r="D830" s="33" t="s">
        <v>514</v>
      </c>
      <c r="E830" s="52" t="s">
        <v>6</v>
      </c>
      <c r="F830" s="47" t="s">
        <v>2207</v>
      </c>
    </row>
    <row r="831" spans="1:6" hidden="1" x14ac:dyDescent="0.2">
      <c r="A831" s="44">
        <v>45843</v>
      </c>
      <c r="B831" s="42" t="s">
        <v>1588</v>
      </c>
      <c r="C831" s="42">
        <v>46.47</v>
      </c>
      <c r="D831" s="42" t="s">
        <v>514</v>
      </c>
      <c r="E831" s="51" t="s">
        <v>6</v>
      </c>
      <c r="F831" s="45" t="s">
        <v>2207</v>
      </c>
    </row>
    <row r="832" spans="1:6" hidden="1" x14ac:dyDescent="0.2">
      <c r="A832" s="46">
        <v>45841</v>
      </c>
      <c r="B832" s="33" t="s">
        <v>1594</v>
      </c>
      <c r="C832" s="33">
        <v>54.08</v>
      </c>
      <c r="D832" s="33" t="s">
        <v>514</v>
      </c>
      <c r="E832" s="52" t="s">
        <v>6</v>
      </c>
      <c r="F832" s="47" t="s">
        <v>2207</v>
      </c>
    </row>
    <row r="833" spans="1:6" hidden="1" x14ac:dyDescent="0.2">
      <c r="A833" s="44">
        <v>45840</v>
      </c>
      <c r="B833" s="42" t="s">
        <v>1865</v>
      </c>
      <c r="C833" s="42">
        <v>3.63</v>
      </c>
      <c r="D833" s="42" t="s">
        <v>514</v>
      </c>
      <c r="E833" s="51" t="s">
        <v>6</v>
      </c>
      <c r="F833" s="45" t="s">
        <v>2207</v>
      </c>
    </row>
    <row r="834" spans="1:6" hidden="1" x14ac:dyDescent="0.2">
      <c r="A834" s="46">
        <v>45839</v>
      </c>
      <c r="B834" s="33" t="s">
        <v>1539</v>
      </c>
      <c r="C834" s="33">
        <v>16.95</v>
      </c>
      <c r="D834" s="33" t="s">
        <v>514</v>
      </c>
      <c r="E834" s="52" t="s">
        <v>6</v>
      </c>
      <c r="F834" s="47" t="s">
        <v>2207</v>
      </c>
    </row>
    <row r="835" spans="1:6" hidden="1" x14ac:dyDescent="0.2">
      <c r="A835" s="44">
        <v>45837</v>
      </c>
      <c r="B835" s="62" t="s">
        <v>1584</v>
      </c>
      <c r="C835" s="42">
        <v>545.21</v>
      </c>
      <c r="D835" s="42" t="s">
        <v>514</v>
      </c>
      <c r="E835" s="51" t="s">
        <v>6</v>
      </c>
      <c r="F835" s="45" t="s">
        <v>2207</v>
      </c>
    </row>
    <row r="836" spans="1:6" hidden="1" x14ac:dyDescent="0.2">
      <c r="A836" s="46">
        <v>45835</v>
      </c>
      <c r="B836" s="33" t="s">
        <v>1536</v>
      </c>
      <c r="C836" s="33">
        <v>39.94</v>
      </c>
      <c r="D836" s="33" t="s">
        <v>514</v>
      </c>
      <c r="E836" s="52" t="s">
        <v>6</v>
      </c>
      <c r="F836" s="47" t="s">
        <v>2207</v>
      </c>
    </row>
    <row r="837" spans="1:6" hidden="1" x14ac:dyDescent="0.2">
      <c r="A837" s="44">
        <v>45831</v>
      </c>
      <c r="B837" s="42" t="s">
        <v>1588</v>
      </c>
      <c r="C837" s="42">
        <v>149.68</v>
      </c>
      <c r="D837" s="42" t="s">
        <v>514</v>
      </c>
      <c r="E837" s="51" t="s">
        <v>6</v>
      </c>
      <c r="F837" s="45" t="s">
        <v>2207</v>
      </c>
    </row>
    <row r="838" spans="1:6" hidden="1" x14ac:dyDescent="0.2">
      <c r="A838" s="46">
        <v>45826</v>
      </c>
      <c r="B838" s="33" t="s">
        <v>1536</v>
      </c>
      <c r="C838" s="33">
        <v>74.41</v>
      </c>
      <c r="D838" s="33" t="s">
        <v>514</v>
      </c>
      <c r="E838" s="52" t="s">
        <v>6</v>
      </c>
      <c r="F838" s="47" t="s">
        <v>2207</v>
      </c>
    </row>
    <row r="839" spans="1:6" hidden="1" x14ac:dyDescent="0.2">
      <c r="A839" s="44">
        <v>45825</v>
      </c>
      <c r="B839" s="42" t="s">
        <v>1539</v>
      </c>
      <c r="C839" s="42">
        <v>17.95</v>
      </c>
      <c r="D839" s="42" t="s">
        <v>514</v>
      </c>
      <c r="E839" s="51" t="s">
        <v>6</v>
      </c>
      <c r="F839" s="45" t="s">
        <v>2207</v>
      </c>
    </row>
    <row r="840" spans="1:6" hidden="1" x14ac:dyDescent="0.2">
      <c r="A840" s="46">
        <v>45823</v>
      </c>
      <c r="B840" s="33" t="s">
        <v>1851</v>
      </c>
      <c r="C840" s="33">
        <v>6.93</v>
      </c>
      <c r="D840" s="33" t="s">
        <v>514</v>
      </c>
      <c r="E840" s="52" t="s">
        <v>6</v>
      </c>
      <c r="F840" s="47" t="s">
        <v>2207</v>
      </c>
    </row>
    <row r="841" spans="1:6" hidden="1" x14ac:dyDescent="0.2">
      <c r="A841" s="44">
        <v>45821</v>
      </c>
      <c r="B841" s="42" t="s">
        <v>1588</v>
      </c>
      <c r="C841" s="42">
        <v>13.23</v>
      </c>
      <c r="D841" s="42" t="s">
        <v>514</v>
      </c>
      <c r="E841" s="51" t="s">
        <v>6</v>
      </c>
      <c r="F841" s="45" t="s">
        <v>2207</v>
      </c>
    </row>
    <row r="842" spans="1:6" hidden="1" x14ac:dyDescent="0.2">
      <c r="A842" s="46">
        <v>45821</v>
      </c>
      <c r="B842" s="33" t="s">
        <v>1574</v>
      </c>
      <c r="C842" s="33">
        <v>3</v>
      </c>
      <c r="D842" s="33" t="s">
        <v>514</v>
      </c>
      <c r="E842" s="52" t="s">
        <v>6</v>
      </c>
      <c r="F842" s="47" t="s">
        <v>2207</v>
      </c>
    </row>
    <row r="843" spans="1:6" hidden="1" x14ac:dyDescent="0.2">
      <c r="A843" s="44">
        <v>45819</v>
      </c>
      <c r="B843" s="42" t="s">
        <v>1649</v>
      </c>
      <c r="C843" s="42">
        <v>34.950000000000003</v>
      </c>
      <c r="D843" s="42" t="s">
        <v>514</v>
      </c>
      <c r="E843" s="51" t="s">
        <v>6</v>
      </c>
      <c r="F843" s="45" t="s">
        <v>2207</v>
      </c>
    </row>
    <row r="844" spans="1:6" hidden="1" x14ac:dyDescent="0.2">
      <c r="A844" s="46">
        <v>45818</v>
      </c>
      <c r="B844" s="33" t="s">
        <v>1539</v>
      </c>
      <c r="C844" s="33">
        <v>37.520000000000003</v>
      </c>
      <c r="D844" s="33" t="s">
        <v>514</v>
      </c>
      <c r="E844" s="52" t="s">
        <v>6</v>
      </c>
      <c r="F844" s="47" t="s">
        <v>2207</v>
      </c>
    </row>
    <row r="845" spans="1:6" hidden="1" x14ac:dyDescent="0.2">
      <c r="A845" s="44">
        <v>45817</v>
      </c>
      <c r="B845" s="42" t="s">
        <v>1952</v>
      </c>
      <c r="C845" s="42">
        <v>10.45</v>
      </c>
      <c r="D845" s="42" t="s">
        <v>514</v>
      </c>
      <c r="E845" s="51" t="s">
        <v>6</v>
      </c>
      <c r="F845" s="45" t="s">
        <v>2207</v>
      </c>
    </row>
    <row r="846" spans="1:6" hidden="1" x14ac:dyDescent="0.2">
      <c r="A846" s="46">
        <v>45815</v>
      </c>
      <c r="B846" s="33" t="s">
        <v>1952</v>
      </c>
      <c r="C846" s="33">
        <v>10.78</v>
      </c>
      <c r="D846" s="33" t="s">
        <v>514</v>
      </c>
      <c r="E846" s="52" t="s">
        <v>6</v>
      </c>
      <c r="F846" s="47" t="s">
        <v>2207</v>
      </c>
    </row>
    <row r="847" spans="1:6" hidden="1" x14ac:dyDescent="0.2">
      <c r="A847" s="44">
        <v>45815</v>
      </c>
      <c r="B847" s="42" t="s">
        <v>1952</v>
      </c>
      <c r="C847" s="42">
        <v>9.61</v>
      </c>
      <c r="D847" s="42" t="s">
        <v>514</v>
      </c>
      <c r="E847" s="51" t="s">
        <v>6</v>
      </c>
      <c r="F847" s="45" t="s">
        <v>2207</v>
      </c>
    </row>
    <row r="848" spans="1:6" hidden="1" x14ac:dyDescent="0.2">
      <c r="A848" s="46">
        <v>45815</v>
      </c>
      <c r="B848" s="33" t="s">
        <v>1811</v>
      </c>
      <c r="C848" s="33">
        <v>109.66</v>
      </c>
      <c r="D848" s="33" t="s">
        <v>514</v>
      </c>
      <c r="E848" s="52" t="s">
        <v>6</v>
      </c>
      <c r="F848" s="47" t="s">
        <v>2207</v>
      </c>
    </row>
    <row r="849" spans="1:6" hidden="1" x14ac:dyDescent="0.2">
      <c r="A849" s="44">
        <v>45815</v>
      </c>
      <c r="B849" s="42" t="s">
        <v>1536</v>
      </c>
      <c r="C849" s="42">
        <v>42.5</v>
      </c>
      <c r="D849" s="42" t="s">
        <v>514</v>
      </c>
      <c r="E849" s="51" t="s">
        <v>6</v>
      </c>
      <c r="F849" s="45" t="s">
        <v>2207</v>
      </c>
    </row>
    <row r="850" spans="1:6" hidden="1" x14ac:dyDescent="0.2">
      <c r="A850" s="46">
        <v>45815</v>
      </c>
      <c r="B850" s="33" t="s">
        <v>1952</v>
      </c>
      <c r="C850" s="33">
        <v>17.3</v>
      </c>
      <c r="D850" s="33" t="s">
        <v>514</v>
      </c>
      <c r="E850" s="52" t="s">
        <v>6</v>
      </c>
      <c r="F850" s="47" t="s">
        <v>2207</v>
      </c>
    </row>
    <row r="851" spans="1:6" hidden="1" x14ac:dyDescent="0.2">
      <c r="A851" s="44">
        <v>45811</v>
      </c>
      <c r="B851" s="42" t="s">
        <v>1539</v>
      </c>
      <c r="C851" s="42">
        <v>17.95</v>
      </c>
      <c r="D851" s="42" t="s">
        <v>514</v>
      </c>
      <c r="E851" s="51" t="s">
        <v>6</v>
      </c>
      <c r="F851" s="45" t="s">
        <v>2207</v>
      </c>
    </row>
    <row r="852" spans="1:6" hidden="1" x14ac:dyDescent="0.2">
      <c r="A852" s="46">
        <v>45810</v>
      </c>
      <c r="B852" s="33" t="s">
        <v>1952</v>
      </c>
      <c r="C852" s="33">
        <v>17.190000000000001</v>
      </c>
      <c r="D852" s="33" t="s">
        <v>514</v>
      </c>
      <c r="E852" s="52" t="s">
        <v>6</v>
      </c>
      <c r="F852" s="47" t="s">
        <v>2207</v>
      </c>
    </row>
    <row r="853" spans="1:6" hidden="1" x14ac:dyDescent="0.2">
      <c r="A853" s="44">
        <v>45808</v>
      </c>
      <c r="B853" s="62" t="s">
        <v>1584</v>
      </c>
      <c r="C853" s="42">
        <v>381.72</v>
      </c>
      <c r="D853" s="42" t="s">
        <v>514</v>
      </c>
      <c r="E853" s="51" t="s">
        <v>6</v>
      </c>
      <c r="F853" s="45" t="s">
        <v>2207</v>
      </c>
    </row>
    <row r="854" spans="1:6" hidden="1" x14ac:dyDescent="0.2">
      <c r="A854" s="46">
        <v>45806</v>
      </c>
      <c r="B854" s="33" t="s">
        <v>1952</v>
      </c>
      <c r="C854" s="33">
        <v>11.02</v>
      </c>
      <c r="D854" s="33" t="s">
        <v>514</v>
      </c>
      <c r="E854" s="52" t="s">
        <v>6</v>
      </c>
      <c r="F854" s="47" t="s">
        <v>2207</v>
      </c>
    </row>
    <row r="855" spans="1:6" hidden="1" x14ac:dyDescent="0.2">
      <c r="A855" s="44">
        <v>45805</v>
      </c>
      <c r="B855" s="42" t="s">
        <v>1551</v>
      </c>
      <c r="C855" s="42">
        <v>182.78</v>
      </c>
      <c r="D855" s="42" t="s">
        <v>514</v>
      </c>
      <c r="E855" s="51" t="s">
        <v>6</v>
      </c>
      <c r="F855" s="45" t="s">
        <v>2207</v>
      </c>
    </row>
    <row r="856" spans="1:6" hidden="1" x14ac:dyDescent="0.2">
      <c r="A856" s="46">
        <v>45804</v>
      </c>
      <c r="B856" s="33" t="s">
        <v>1539</v>
      </c>
      <c r="C856" s="33">
        <v>37.520000000000003</v>
      </c>
      <c r="D856" s="33" t="s">
        <v>514</v>
      </c>
      <c r="E856" s="52" t="s">
        <v>6</v>
      </c>
      <c r="F856" s="47" t="s">
        <v>2207</v>
      </c>
    </row>
    <row r="857" spans="1:6" hidden="1" x14ac:dyDescent="0.2">
      <c r="A857" s="44">
        <v>45804</v>
      </c>
      <c r="B857" s="42" t="s">
        <v>1952</v>
      </c>
      <c r="C857" s="42">
        <v>16.989999999999998</v>
      </c>
      <c r="D857" s="42" t="s">
        <v>514</v>
      </c>
      <c r="E857" s="51" t="s">
        <v>6</v>
      </c>
      <c r="F857" s="45" t="s">
        <v>2207</v>
      </c>
    </row>
    <row r="858" spans="1:6" hidden="1" x14ac:dyDescent="0.2">
      <c r="A858" s="46">
        <v>45802</v>
      </c>
      <c r="B858" s="33" t="s">
        <v>1536</v>
      </c>
      <c r="C858" s="33">
        <v>46.56</v>
      </c>
      <c r="D858" s="33" t="s">
        <v>514</v>
      </c>
      <c r="E858" s="52" t="s">
        <v>6</v>
      </c>
      <c r="F858" s="47" t="s">
        <v>2207</v>
      </c>
    </row>
    <row r="859" spans="1:6" hidden="1" x14ac:dyDescent="0.2">
      <c r="A859" s="44">
        <v>45801</v>
      </c>
      <c r="B859" s="42" t="s">
        <v>1979</v>
      </c>
      <c r="C859" s="42">
        <v>13.97</v>
      </c>
      <c r="D859" s="42" t="s">
        <v>514</v>
      </c>
      <c r="E859" s="51" t="s">
        <v>6</v>
      </c>
      <c r="F859" s="45" t="s">
        <v>2207</v>
      </c>
    </row>
    <row r="860" spans="1:6" hidden="1" x14ac:dyDescent="0.2">
      <c r="A860" s="46">
        <v>45799</v>
      </c>
      <c r="B860" s="33" t="s">
        <v>1952</v>
      </c>
      <c r="C860" s="33">
        <v>16.53</v>
      </c>
      <c r="D860" s="33" t="s">
        <v>514</v>
      </c>
      <c r="E860" s="52" t="s">
        <v>6</v>
      </c>
      <c r="F860" s="47" t="s">
        <v>2207</v>
      </c>
    </row>
    <row r="861" spans="1:6" hidden="1" x14ac:dyDescent="0.2">
      <c r="A861" s="44">
        <v>45799</v>
      </c>
      <c r="B861" s="62" t="s">
        <v>1584</v>
      </c>
      <c r="C861" s="42">
        <v>292.14</v>
      </c>
      <c r="D861" s="42" t="s">
        <v>514</v>
      </c>
      <c r="E861" s="51" t="s">
        <v>6</v>
      </c>
      <c r="F861" s="45" t="s">
        <v>2207</v>
      </c>
    </row>
    <row r="862" spans="1:6" hidden="1" x14ac:dyDescent="0.2">
      <c r="A862" s="46">
        <v>45798</v>
      </c>
      <c r="B862" s="33" t="s">
        <v>1984</v>
      </c>
      <c r="C862" s="33">
        <v>11.04</v>
      </c>
      <c r="D862" s="33" t="s">
        <v>514</v>
      </c>
      <c r="E862" s="52" t="s">
        <v>6</v>
      </c>
      <c r="F862" s="47" t="s">
        <v>2207</v>
      </c>
    </row>
    <row r="863" spans="1:6" hidden="1" x14ac:dyDescent="0.2">
      <c r="A863" s="44">
        <v>45797</v>
      </c>
      <c r="B863" s="42" t="s">
        <v>1952</v>
      </c>
      <c r="C863" s="42">
        <v>14.47</v>
      </c>
      <c r="D863" s="42" t="s">
        <v>514</v>
      </c>
      <c r="E863" s="51" t="s">
        <v>6</v>
      </c>
      <c r="F863" s="45" t="s">
        <v>2207</v>
      </c>
    </row>
    <row r="864" spans="1:6" hidden="1" x14ac:dyDescent="0.2">
      <c r="A864" s="46">
        <v>45797</v>
      </c>
      <c r="B864" s="33" t="s">
        <v>1952</v>
      </c>
      <c r="C864" s="33">
        <v>16.86</v>
      </c>
      <c r="D864" s="33" t="s">
        <v>514</v>
      </c>
      <c r="E864" s="52" t="s">
        <v>6</v>
      </c>
      <c r="F864" s="47" t="s">
        <v>2207</v>
      </c>
    </row>
    <row r="865" spans="1:6" hidden="1" x14ac:dyDescent="0.2">
      <c r="A865" s="44">
        <v>45797</v>
      </c>
      <c r="B865" s="42" t="s">
        <v>1952</v>
      </c>
      <c r="C865" s="42">
        <v>13.54</v>
      </c>
      <c r="D865" s="42" t="s">
        <v>514</v>
      </c>
      <c r="E865" s="51" t="s">
        <v>6</v>
      </c>
      <c r="F865" s="45" t="s">
        <v>2207</v>
      </c>
    </row>
    <row r="866" spans="1:6" hidden="1" x14ac:dyDescent="0.2">
      <c r="A866" s="46">
        <v>45797</v>
      </c>
      <c r="B866" s="33" t="s">
        <v>1539</v>
      </c>
      <c r="C866" s="33">
        <v>22.44</v>
      </c>
      <c r="D866" s="33" t="s">
        <v>514</v>
      </c>
      <c r="E866" s="52" t="s">
        <v>6</v>
      </c>
      <c r="F866" s="47" t="s">
        <v>2207</v>
      </c>
    </row>
    <row r="867" spans="1:6" hidden="1" x14ac:dyDescent="0.2">
      <c r="A867" s="44">
        <v>45796</v>
      </c>
      <c r="B867" s="42" t="s">
        <v>1536</v>
      </c>
      <c r="C867" s="42">
        <v>64.290000000000006</v>
      </c>
      <c r="D867" s="42" t="s">
        <v>514</v>
      </c>
      <c r="E867" s="51" t="s">
        <v>6</v>
      </c>
      <c r="F867" s="45" t="s">
        <v>2207</v>
      </c>
    </row>
    <row r="868" spans="1:6" hidden="1" x14ac:dyDescent="0.2">
      <c r="A868" s="46">
        <v>45795</v>
      </c>
      <c r="B868" s="33" t="s">
        <v>1991</v>
      </c>
      <c r="C868" s="33">
        <v>13</v>
      </c>
      <c r="D868" s="33" t="s">
        <v>514</v>
      </c>
      <c r="E868" s="52" t="s">
        <v>6</v>
      </c>
      <c r="F868" s="47" t="s">
        <v>2207</v>
      </c>
    </row>
    <row r="869" spans="1:6" hidden="1" x14ac:dyDescent="0.2">
      <c r="A869" s="44">
        <v>45795</v>
      </c>
      <c r="B869" s="42" t="s">
        <v>1536</v>
      </c>
      <c r="C869" s="42">
        <v>40.97</v>
      </c>
      <c r="D869" s="42" t="s">
        <v>514</v>
      </c>
      <c r="E869" s="51" t="s">
        <v>6</v>
      </c>
      <c r="F869" s="45" t="s">
        <v>2207</v>
      </c>
    </row>
    <row r="870" spans="1:6" hidden="1" x14ac:dyDescent="0.2">
      <c r="A870" s="46">
        <v>45793</v>
      </c>
      <c r="B870" s="33" t="s">
        <v>1952</v>
      </c>
      <c r="C870" s="33">
        <v>14.37</v>
      </c>
      <c r="D870" s="33" t="s">
        <v>514</v>
      </c>
      <c r="E870" s="52" t="s">
        <v>6</v>
      </c>
      <c r="F870" s="47" t="s">
        <v>2207</v>
      </c>
    </row>
    <row r="871" spans="1:6" hidden="1" x14ac:dyDescent="0.2">
      <c r="A871" s="44">
        <v>45793</v>
      </c>
      <c r="B871" s="42" t="s">
        <v>1781</v>
      </c>
      <c r="C871" s="42">
        <v>34</v>
      </c>
      <c r="D871" s="42" t="s">
        <v>514</v>
      </c>
      <c r="E871" s="51" t="s">
        <v>6</v>
      </c>
      <c r="F871" s="45" t="s">
        <v>2207</v>
      </c>
    </row>
    <row r="872" spans="1:6" hidden="1" x14ac:dyDescent="0.2">
      <c r="A872" s="46">
        <v>45791</v>
      </c>
      <c r="B872" s="33" t="s">
        <v>1952</v>
      </c>
      <c r="C872" s="33">
        <v>17.07</v>
      </c>
      <c r="D872" s="33" t="s">
        <v>514</v>
      </c>
      <c r="E872" s="52" t="s">
        <v>6</v>
      </c>
      <c r="F872" s="47" t="s">
        <v>2207</v>
      </c>
    </row>
    <row r="873" spans="1:6" hidden="1" x14ac:dyDescent="0.2">
      <c r="A873" s="44">
        <v>45790</v>
      </c>
      <c r="B873" s="42" t="s">
        <v>1539</v>
      </c>
      <c r="C873" s="42">
        <v>46.5</v>
      </c>
      <c r="D873" s="42" t="s">
        <v>514</v>
      </c>
      <c r="E873" s="51" t="s">
        <v>6</v>
      </c>
      <c r="F873" s="45" t="s">
        <v>2207</v>
      </c>
    </row>
    <row r="874" spans="1:6" hidden="1" x14ac:dyDescent="0.2">
      <c r="A874" s="46">
        <v>45790</v>
      </c>
      <c r="B874" s="33" t="s">
        <v>1536</v>
      </c>
      <c r="C874" s="33">
        <v>186.6</v>
      </c>
      <c r="D874" s="33" t="s">
        <v>514</v>
      </c>
      <c r="E874" s="52" t="s">
        <v>6</v>
      </c>
      <c r="F874" s="47" t="s">
        <v>2207</v>
      </c>
    </row>
    <row r="875" spans="1:6" hidden="1" x14ac:dyDescent="0.2">
      <c r="A875" s="44">
        <v>45789</v>
      </c>
      <c r="B875" s="42" t="s">
        <v>1952</v>
      </c>
      <c r="C875" s="42">
        <v>13.67</v>
      </c>
      <c r="D875" s="42" t="s">
        <v>514</v>
      </c>
      <c r="E875" s="51" t="s">
        <v>6</v>
      </c>
      <c r="F875" s="45" t="s">
        <v>2207</v>
      </c>
    </row>
    <row r="876" spans="1:6" hidden="1" x14ac:dyDescent="0.2">
      <c r="A876" s="46">
        <v>45788</v>
      </c>
      <c r="B876" s="33" t="s">
        <v>2002</v>
      </c>
      <c r="C876" s="33">
        <v>64.42</v>
      </c>
      <c r="D876" s="33" t="s">
        <v>514</v>
      </c>
      <c r="E876" s="52" t="s">
        <v>6</v>
      </c>
      <c r="F876" s="47" t="s">
        <v>2207</v>
      </c>
    </row>
    <row r="877" spans="1:6" hidden="1" x14ac:dyDescent="0.2">
      <c r="A877" s="44">
        <v>45788</v>
      </c>
      <c r="B877" s="42" t="s">
        <v>1649</v>
      </c>
      <c r="C877" s="42">
        <v>34.950000000000003</v>
      </c>
      <c r="D877" s="42" t="s">
        <v>514</v>
      </c>
      <c r="E877" s="51" t="s">
        <v>6</v>
      </c>
      <c r="F877" s="45" t="s">
        <v>2207</v>
      </c>
    </row>
    <row r="878" spans="1:6" hidden="1" x14ac:dyDescent="0.2">
      <c r="A878" s="46">
        <v>45787</v>
      </c>
      <c r="B878" s="33" t="s">
        <v>2003</v>
      </c>
      <c r="C878" s="33">
        <v>1.65</v>
      </c>
      <c r="D878" s="33" t="s">
        <v>514</v>
      </c>
      <c r="E878" s="52" t="s">
        <v>6</v>
      </c>
      <c r="F878" s="47" t="s">
        <v>2207</v>
      </c>
    </row>
    <row r="879" spans="1:6" hidden="1" x14ac:dyDescent="0.2">
      <c r="A879" s="44">
        <v>45786</v>
      </c>
      <c r="B879" s="42" t="s">
        <v>1588</v>
      </c>
      <c r="C879" s="42">
        <v>9.9600000000000009</v>
      </c>
      <c r="D879" s="42" t="s">
        <v>514</v>
      </c>
      <c r="E879" s="51" t="s">
        <v>6</v>
      </c>
      <c r="F879" s="45" t="s">
        <v>2207</v>
      </c>
    </row>
    <row r="880" spans="1:6" hidden="1" x14ac:dyDescent="0.2">
      <c r="A880" s="46">
        <v>45786</v>
      </c>
      <c r="B880" s="33" t="s">
        <v>1851</v>
      </c>
      <c r="C880" s="33">
        <v>20.98</v>
      </c>
      <c r="D880" s="33" t="s">
        <v>514</v>
      </c>
      <c r="E880" s="52" t="s">
        <v>6</v>
      </c>
      <c r="F880" s="47" t="s">
        <v>2207</v>
      </c>
    </row>
    <row r="881" spans="1:6" hidden="1" x14ac:dyDescent="0.2">
      <c r="A881" s="44">
        <v>45786</v>
      </c>
      <c r="B881" s="42" t="s">
        <v>1952</v>
      </c>
      <c r="C881" s="42">
        <v>4.66</v>
      </c>
      <c r="D881" s="42" t="s">
        <v>514</v>
      </c>
      <c r="E881" s="51" t="s">
        <v>6</v>
      </c>
      <c r="F881" s="45" t="s">
        <v>2207</v>
      </c>
    </row>
    <row r="882" spans="1:6" hidden="1" x14ac:dyDescent="0.2">
      <c r="A882" s="46">
        <v>45786</v>
      </c>
      <c r="B882" s="33" t="s">
        <v>1594</v>
      </c>
      <c r="C882" s="33">
        <v>48.55</v>
      </c>
      <c r="D882" s="33" t="s">
        <v>514</v>
      </c>
      <c r="E882" s="52" t="s">
        <v>6</v>
      </c>
      <c r="F882" s="47" t="s">
        <v>2207</v>
      </c>
    </row>
    <row r="883" spans="1:6" hidden="1" x14ac:dyDescent="0.2">
      <c r="A883" s="44">
        <v>45786</v>
      </c>
      <c r="B883" s="42" t="s">
        <v>1952</v>
      </c>
      <c r="C883" s="42">
        <v>14.09</v>
      </c>
      <c r="D883" s="42" t="s">
        <v>514</v>
      </c>
      <c r="E883" s="51" t="s">
        <v>6</v>
      </c>
      <c r="F883" s="45" t="s">
        <v>2207</v>
      </c>
    </row>
    <row r="884" spans="1:6" hidden="1" x14ac:dyDescent="0.2">
      <c r="A884" s="46">
        <v>45786</v>
      </c>
      <c r="B884" s="33" t="s">
        <v>1536</v>
      </c>
      <c r="C884" s="33">
        <v>91.44</v>
      </c>
      <c r="D884" s="33" t="s">
        <v>514</v>
      </c>
      <c r="E884" s="52" t="s">
        <v>6</v>
      </c>
      <c r="F884" s="47" t="s">
        <v>2207</v>
      </c>
    </row>
    <row r="885" spans="1:6" hidden="1" x14ac:dyDescent="0.2">
      <c r="A885" s="44">
        <v>45783</v>
      </c>
      <c r="B885" s="42" t="s">
        <v>2008</v>
      </c>
      <c r="C885" s="42">
        <v>99</v>
      </c>
      <c r="D885" s="42" t="s">
        <v>514</v>
      </c>
      <c r="E885" s="51" t="s">
        <v>6</v>
      </c>
      <c r="F885" s="45" t="s">
        <v>2207</v>
      </c>
    </row>
    <row r="886" spans="1:6" hidden="1" x14ac:dyDescent="0.2">
      <c r="A886" s="46">
        <v>45783</v>
      </c>
      <c r="B886" s="33" t="s">
        <v>1539</v>
      </c>
      <c r="C886" s="33">
        <v>43.48</v>
      </c>
      <c r="D886" s="33" t="s">
        <v>514</v>
      </c>
      <c r="E886" s="52" t="s">
        <v>6</v>
      </c>
      <c r="F886" s="47" t="s">
        <v>2207</v>
      </c>
    </row>
    <row r="887" spans="1:6" hidden="1" x14ac:dyDescent="0.2">
      <c r="A887" s="44">
        <v>45783</v>
      </c>
      <c r="B887" s="42" t="s">
        <v>1952</v>
      </c>
      <c r="C887" s="42">
        <v>16.649999999999999</v>
      </c>
      <c r="D887" s="42" t="s">
        <v>514</v>
      </c>
      <c r="E887" s="51" t="s">
        <v>6</v>
      </c>
      <c r="F887" s="45" t="s">
        <v>2207</v>
      </c>
    </row>
    <row r="888" spans="1:6" hidden="1" x14ac:dyDescent="0.2">
      <c r="A888" s="46">
        <v>45781</v>
      </c>
      <c r="B888" s="33" t="s">
        <v>1571</v>
      </c>
      <c r="C888" s="33">
        <v>190.07</v>
      </c>
      <c r="D888" s="33" t="s">
        <v>514</v>
      </c>
      <c r="E888" s="52" t="s">
        <v>6</v>
      </c>
      <c r="F888" s="47" t="s">
        <v>2207</v>
      </c>
    </row>
    <row r="889" spans="1:6" hidden="1" x14ac:dyDescent="0.2">
      <c r="A889" s="44">
        <v>45776</v>
      </c>
      <c r="B889" s="42" t="s">
        <v>1952</v>
      </c>
      <c r="C889" s="42">
        <v>8.3800000000000008</v>
      </c>
      <c r="D889" s="42" t="s">
        <v>514</v>
      </c>
      <c r="E889" s="51" t="s">
        <v>6</v>
      </c>
      <c r="F889" s="45" t="s">
        <v>2207</v>
      </c>
    </row>
    <row r="890" spans="1:6" hidden="1" x14ac:dyDescent="0.2">
      <c r="A890" s="46">
        <v>45775</v>
      </c>
      <c r="B890" s="33" t="s">
        <v>1539</v>
      </c>
      <c r="C890" s="33">
        <v>78.91</v>
      </c>
      <c r="D890" s="33" t="s">
        <v>514</v>
      </c>
      <c r="E890" s="52" t="s">
        <v>6</v>
      </c>
      <c r="F890" s="47" t="s">
        <v>2207</v>
      </c>
    </row>
    <row r="891" spans="1:6" hidden="1" x14ac:dyDescent="0.2">
      <c r="A891" s="44">
        <v>45773</v>
      </c>
      <c r="B891" s="42" t="s">
        <v>1588</v>
      </c>
      <c r="C891" s="42">
        <v>11.98</v>
      </c>
      <c r="D891" s="42" t="s">
        <v>514</v>
      </c>
      <c r="E891" s="51" t="s">
        <v>6</v>
      </c>
      <c r="F891" s="45" t="s">
        <v>2207</v>
      </c>
    </row>
    <row r="892" spans="1:6" hidden="1" x14ac:dyDescent="0.2">
      <c r="A892" s="46">
        <v>45772</v>
      </c>
      <c r="B892" s="33" t="s">
        <v>1952</v>
      </c>
      <c r="C892" s="33">
        <v>13.17</v>
      </c>
      <c r="D892" s="33" t="s">
        <v>514</v>
      </c>
      <c r="E892" s="52" t="s">
        <v>6</v>
      </c>
      <c r="F892" s="47" t="s">
        <v>2207</v>
      </c>
    </row>
    <row r="893" spans="1:6" hidden="1" x14ac:dyDescent="0.2">
      <c r="A893" s="44">
        <v>45772</v>
      </c>
      <c r="B893" s="42" t="s">
        <v>1952</v>
      </c>
      <c r="C893" s="42">
        <v>13.56</v>
      </c>
      <c r="D893" s="42" t="s">
        <v>514</v>
      </c>
      <c r="E893" s="51" t="s">
        <v>6</v>
      </c>
      <c r="F893" s="45" t="s">
        <v>2207</v>
      </c>
    </row>
    <row r="894" spans="1:6" hidden="1" x14ac:dyDescent="0.2">
      <c r="A894" s="46">
        <v>45772</v>
      </c>
      <c r="B894" s="33" t="s">
        <v>2024</v>
      </c>
      <c r="C894" s="33">
        <v>14.38</v>
      </c>
      <c r="D894" s="33" t="s">
        <v>514</v>
      </c>
      <c r="E894" s="52" t="s">
        <v>45</v>
      </c>
      <c r="F894" s="47" t="s">
        <v>2207</v>
      </c>
    </row>
    <row r="895" spans="1:6" hidden="1" x14ac:dyDescent="0.2">
      <c r="A895" s="44">
        <v>45770</v>
      </c>
      <c r="B895" s="42" t="s">
        <v>1952</v>
      </c>
      <c r="C895" s="42">
        <v>16.32</v>
      </c>
      <c r="D895" s="42" t="s">
        <v>514</v>
      </c>
      <c r="E895" s="51" t="s">
        <v>6</v>
      </c>
      <c r="F895" s="45" t="s">
        <v>2207</v>
      </c>
    </row>
    <row r="896" spans="1:6" hidden="1" x14ac:dyDescent="0.2">
      <c r="A896" s="46">
        <v>45768</v>
      </c>
      <c r="B896" s="48" t="s">
        <v>1584</v>
      </c>
      <c r="C896" s="33">
        <v>509.77</v>
      </c>
      <c r="D896" s="33" t="s">
        <v>514</v>
      </c>
      <c r="E896" s="52" t="s">
        <v>6</v>
      </c>
      <c r="F896" s="47" t="s">
        <v>2207</v>
      </c>
    </row>
    <row r="897" spans="1:6" hidden="1" x14ac:dyDescent="0.2">
      <c r="A897" s="44">
        <v>45768</v>
      </c>
      <c r="B897" s="42" t="s">
        <v>1952</v>
      </c>
      <c r="C897" s="42">
        <v>11.96</v>
      </c>
      <c r="D897" s="42" t="s">
        <v>514</v>
      </c>
      <c r="E897" s="51" t="s">
        <v>6</v>
      </c>
      <c r="F897" s="45" t="s">
        <v>2207</v>
      </c>
    </row>
    <row r="898" spans="1:6" hidden="1" x14ac:dyDescent="0.2">
      <c r="A898" s="46">
        <v>45765</v>
      </c>
      <c r="B898" s="33" t="s">
        <v>1781</v>
      </c>
      <c r="C898" s="33">
        <v>75.48</v>
      </c>
      <c r="D898" s="33" t="s">
        <v>514</v>
      </c>
      <c r="E898" s="52" t="s">
        <v>6</v>
      </c>
      <c r="F898" s="47" t="s">
        <v>2207</v>
      </c>
    </row>
    <row r="899" spans="1:6" hidden="1" x14ac:dyDescent="0.2">
      <c r="A899" s="44">
        <v>45763</v>
      </c>
      <c r="B899" s="42" t="s">
        <v>1588</v>
      </c>
      <c r="C899" s="42">
        <v>33.549999999999997</v>
      </c>
      <c r="D899" s="42" t="s">
        <v>514</v>
      </c>
      <c r="E899" s="51" t="s">
        <v>6</v>
      </c>
      <c r="F899" s="45" t="s">
        <v>2207</v>
      </c>
    </row>
    <row r="900" spans="1:6" hidden="1" x14ac:dyDescent="0.2">
      <c r="A900" s="46">
        <v>45760</v>
      </c>
      <c r="B900" s="33" t="s">
        <v>1588</v>
      </c>
      <c r="C900" s="33">
        <v>26.33</v>
      </c>
      <c r="D900" s="33" t="s">
        <v>514</v>
      </c>
      <c r="E900" s="52" t="s">
        <v>6</v>
      </c>
      <c r="F900" s="47" t="s">
        <v>2207</v>
      </c>
    </row>
    <row r="901" spans="1:6" hidden="1" x14ac:dyDescent="0.2">
      <c r="A901" s="44">
        <v>45759</v>
      </c>
      <c r="B901" s="42" t="s">
        <v>1588</v>
      </c>
      <c r="C901" s="42">
        <v>127.19</v>
      </c>
      <c r="D901" s="42" t="s">
        <v>514</v>
      </c>
      <c r="E901" s="51" t="s">
        <v>6</v>
      </c>
      <c r="F901" s="45" t="s">
        <v>2207</v>
      </c>
    </row>
    <row r="902" spans="1:6" hidden="1" x14ac:dyDescent="0.2">
      <c r="A902" s="46">
        <v>45759</v>
      </c>
      <c r="B902" s="33" t="s">
        <v>1536</v>
      </c>
      <c r="C902" s="33">
        <v>76.95</v>
      </c>
      <c r="D902" s="33" t="s">
        <v>514</v>
      </c>
      <c r="E902" s="52" t="s">
        <v>6</v>
      </c>
      <c r="F902" s="47" t="s">
        <v>2207</v>
      </c>
    </row>
    <row r="903" spans="1:6" hidden="1" x14ac:dyDescent="0.2">
      <c r="A903" s="44">
        <v>45759</v>
      </c>
      <c r="B903" s="62" t="s">
        <v>1604</v>
      </c>
      <c r="C903" s="42">
        <v>34.03</v>
      </c>
      <c r="D903" s="42" t="s">
        <v>514</v>
      </c>
      <c r="E903" s="51" t="s">
        <v>6</v>
      </c>
      <c r="F903" s="45" t="s">
        <v>2207</v>
      </c>
    </row>
    <row r="904" spans="1:6" hidden="1" x14ac:dyDescent="0.2">
      <c r="A904" s="46">
        <v>45759</v>
      </c>
      <c r="B904" s="33" t="s">
        <v>2039</v>
      </c>
      <c r="C904" s="33">
        <v>78.7</v>
      </c>
      <c r="D904" s="33" t="s">
        <v>514</v>
      </c>
      <c r="E904" s="52" t="s">
        <v>6</v>
      </c>
      <c r="F904" s="47" t="s">
        <v>2207</v>
      </c>
    </row>
    <row r="905" spans="1:6" hidden="1" x14ac:dyDescent="0.2">
      <c r="A905" s="44">
        <v>45758</v>
      </c>
      <c r="B905" s="42" t="s">
        <v>1574</v>
      </c>
      <c r="C905" s="42">
        <v>61.52</v>
      </c>
      <c r="D905" s="42" t="s">
        <v>514</v>
      </c>
      <c r="E905" s="51" t="s">
        <v>6</v>
      </c>
      <c r="F905" s="45" t="s">
        <v>2207</v>
      </c>
    </row>
    <row r="906" spans="1:6" hidden="1" x14ac:dyDescent="0.2">
      <c r="A906" s="46">
        <v>45757</v>
      </c>
      <c r="B906" s="33" t="s">
        <v>1536</v>
      </c>
      <c r="C906" s="33">
        <v>95.82</v>
      </c>
      <c r="D906" s="33" t="s">
        <v>514</v>
      </c>
      <c r="E906" s="52" t="s">
        <v>6</v>
      </c>
      <c r="F906" s="47" t="s">
        <v>2207</v>
      </c>
    </row>
    <row r="907" spans="1:6" hidden="1" x14ac:dyDescent="0.2">
      <c r="A907" s="44">
        <v>45755</v>
      </c>
      <c r="B907" s="42" t="s">
        <v>2024</v>
      </c>
      <c r="C907" s="42">
        <v>12.39</v>
      </c>
      <c r="D907" s="42" t="s">
        <v>514</v>
      </c>
      <c r="E907" s="51" t="s">
        <v>45</v>
      </c>
      <c r="F907" s="45" t="s">
        <v>2207</v>
      </c>
    </row>
    <row r="908" spans="1:6" hidden="1" x14ac:dyDescent="0.2">
      <c r="A908" s="46">
        <v>45755</v>
      </c>
      <c r="B908" s="33" t="s">
        <v>1952</v>
      </c>
      <c r="C908" s="33">
        <v>16.329999999999998</v>
      </c>
      <c r="D908" s="33" t="s">
        <v>514</v>
      </c>
      <c r="E908" s="52" t="s">
        <v>6</v>
      </c>
      <c r="F908" s="47" t="s">
        <v>2207</v>
      </c>
    </row>
    <row r="909" spans="1:6" hidden="1" x14ac:dyDescent="0.2">
      <c r="A909" s="44">
        <v>45755</v>
      </c>
      <c r="B909" s="62" t="s">
        <v>1584</v>
      </c>
      <c r="C909" s="42">
        <v>427.24</v>
      </c>
      <c r="D909" s="42" t="s">
        <v>514</v>
      </c>
      <c r="E909" s="51" t="s">
        <v>6</v>
      </c>
      <c r="F909" s="45" t="s">
        <v>2207</v>
      </c>
    </row>
    <row r="910" spans="1:6" hidden="1" x14ac:dyDescent="0.2">
      <c r="A910" s="46">
        <v>45755</v>
      </c>
      <c r="B910" s="33" t="s">
        <v>1588</v>
      </c>
      <c r="C910" s="33">
        <v>25.89</v>
      </c>
      <c r="D910" s="33" t="s">
        <v>514</v>
      </c>
      <c r="E910" s="52" t="s">
        <v>6</v>
      </c>
      <c r="F910" s="47" t="s">
        <v>2207</v>
      </c>
    </row>
    <row r="911" spans="1:6" hidden="1" x14ac:dyDescent="0.2">
      <c r="A911" s="44">
        <v>45755</v>
      </c>
      <c r="B911" s="42" t="s">
        <v>1571</v>
      </c>
      <c r="C911" s="42">
        <v>8.93</v>
      </c>
      <c r="D911" s="42" t="s">
        <v>514</v>
      </c>
      <c r="E911" s="51" t="s">
        <v>6</v>
      </c>
      <c r="F911" s="45" t="s">
        <v>2207</v>
      </c>
    </row>
    <row r="912" spans="1:6" hidden="1" x14ac:dyDescent="0.2">
      <c r="A912" s="46">
        <v>45751</v>
      </c>
      <c r="B912" s="33" t="s">
        <v>1952</v>
      </c>
      <c r="C912" s="33">
        <v>10.37</v>
      </c>
      <c r="D912" s="33" t="s">
        <v>514</v>
      </c>
      <c r="E912" s="52" t="s">
        <v>6</v>
      </c>
      <c r="F912" s="47" t="s">
        <v>2207</v>
      </c>
    </row>
    <row r="913" spans="1:6" hidden="1" x14ac:dyDescent="0.2">
      <c r="A913" s="44">
        <v>45751</v>
      </c>
      <c r="B913" s="42" t="s">
        <v>1952</v>
      </c>
      <c r="C913" s="42">
        <v>9.57</v>
      </c>
      <c r="D913" s="42" t="s">
        <v>514</v>
      </c>
      <c r="E913" s="51" t="s">
        <v>6</v>
      </c>
      <c r="F913" s="45" t="s">
        <v>2207</v>
      </c>
    </row>
    <row r="914" spans="1:6" hidden="1" x14ac:dyDescent="0.2">
      <c r="A914" s="46">
        <v>45749</v>
      </c>
      <c r="B914" s="33" t="s">
        <v>1952</v>
      </c>
      <c r="C914" s="33">
        <v>8.3800000000000008</v>
      </c>
      <c r="D914" s="33" t="s">
        <v>514</v>
      </c>
      <c r="E914" s="52" t="s">
        <v>6</v>
      </c>
      <c r="F914" s="47" t="s">
        <v>2207</v>
      </c>
    </row>
    <row r="915" spans="1:6" hidden="1" x14ac:dyDescent="0.2">
      <c r="A915" s="44">
        <v>45747</v>
      </c>
      <c r="B915" s="42" t="s">
        <v>1952</v>
      </c>
      <c r="C915" s="42">
        <v>22.14</v>
      </c>
      <c r="D915" s="42" t="s">
        <v>514</v>
      </c>
      <c r="E915" s="51" t="s">
        <v>6</v>
      </c>
      <c r="F915" s="45" t="s">
        <v>2207</v>
      </c>
    </row>
    <row r="916" spans="1:6" hidden="1" x14ac:dyDescent="0.2">
      <c r="A916" s="46">
        <v>45743</v>
      </c>
      <c r="B916" s="33" t="s">
        <v>1952</v>
      </c>
      <c r="C916" s="33">
        <v>19.760000000000002</v>
      </c>
      <c r="D916" s="33" t="s">
        <v>514</v>
      </c>
      <c r="E916" s="52" t="s">
        <v>6</v>
      </c>
      <c r="F916" s="47" t="s">
        <v>2207</v>
      </c>
    </row>
    <row r="917" spans="1:6" hidden="1" x14ac:dyDescent="0.2">
      <c r="A917" s="44">
        <v>45742</v>
      </c>
      <c r="B917" s="42" t="s">
        <v>2024</v>
      </c>
      <c r="C917" s="42">
        <v>14.38</v>
      </c>
      <c r="D917" s="42" t="s">
        <v>514</v>
      </c>
      <c r="E917" s="51" t="s">
        <v>45</v>
      </c>
      <c r="F917" s="45" t="s">
        <v>2207</v>
      </c>
    </row>
    <row r="918" spans="1:6" hidden="1" x14ac:dyDescent="0.2">
      <c r="A918" s="46">
        <v>45741</v>
      </c>
      <c r="B918" s="33" t="s">
        <v>1952</v>
      </c>
      <c r="C918" s="33">
        <v>22.59</v>
      </c>
      <c r="D918" s="33" t="s">
        <v>514</v>
      </c>
      <c r="E918" s="52" t="s">
        <v>6</v>
      </c>
      <c r="F918" s="47" t="s">
        <v>2207</v>
      </c>
    </row>
    <row r="919" spans="1:6" hidden="1" x14ac:dyDescent="0.2">
      <c r="A919" s="44">
        <v>45737</v>
      </c>
      <c r="B919" s="42" t="s">
        <v>1952</v>
      </c>
      <c r="C919" s="42">
        <v>14.83</v>
      </c>
      <c r="D919" s="42" t="s">
        <v>514</v>
      </c>
      <c r="E919" s="51" t="s">
        <v>6</v>
      </c>
      <c r="F919" s="45" t="s">
        <v>2207</v>
      </c>
    </row>
    <row r="920" spans="1:6" hidden="1" x14ac:dyDescent="0.2">
      <c r="A920" s="46">
        <v>45735</v>
      </c>
      <c r="B920" s="33" t="s">
        <v>1952</v>
      </c>
      <c r="C920" s="33">
        <v>23.28</v>
      </c>
      <c r="D920" s="33" t="s">
        <v>514</v>
      </c>
      <c r="E920" s="52" t="s">
        <v>6</v>
      </c>
      <c r="F920" s="47" t="s">
        <v>2207</v>
      </c>
    </row>
    <row r="921" spans="1:6" hidden="1" x14ac:dyDescent="0.2">
      <c r="A921" s="44">
        <v>45735</v>
      </c>
      <c r="B921" s="42" t="s">
        <v>1536</v>
      </c>
      <c r="C921" s="42">
        <v>160.9</v>
      </c>
      <c r="D921" s="42" t="s">
        <v>514</v>
      </c>
      <c r="E921" s="51" t="s">
        <v>6</v>
      </c>
      <c r="F921" s="45" t="s">
        <v>2207</v>
      </c>
    </row>
    <row r="922" spans="1:6" hidden="1" x14ac:dyDescent="0.2">
      <c r="A922" s="46">
        <v>45734</v>
      </c>
      <c r="B922" s="33" t="s">
        <v>2024</v>
      </c>
      <c r="C922" s="33">
        <v>13.97</v>
      </c>
      <c r="D922" s="33" t="s">
        <v>514</v>
      </c>
      <c r="E922" s="52" t="s">
        <v>45</v>
      </c>
      <c r="F922" s="47" t="s">
        <v>2207</v>
      </c>
    </row>
    <row r="923" spans="1:6" hidden="1" x14ac:dyDescent="0.2">
      <c r="A923" s="44">
        <v>45733</v>
      </c>
      <c r="B923" s="42" t="s">
        <v>1952</v>
      </c>
      <c r="C923" s="42">
        <v>12.62</v>
      </c>
      <c r="D923" s="42" t="s">
        <v>514</v>
      </c>
      <c r="E923" s="51" t="s">
        <v>6</v>
      </c>
      <c r="F923" s="45" t="s">
        <v>2207</v>
      </c>
    </row>
    <row r="924" spans="1:6" hidden="1" x14ac:dyDescent="0.2">
      <c r="A924" s="46">
        <v>45731</v>
      </c>
      <c r="B924" s="33" t="s">
        <v>1551</v>
      </c>
      <c r="C924" s="33">
        <v>167.07</v>
      </c>
      <c r="D924" s="33" t="s">
        <v>514</v>
      </c>
      <c r="E924" s="52" t="s">
        <v>6</v>
      </c>
      <c r="F924" s="47" t="s">
        <v>2207</v>
      </c>
    </row>
    <row r="925" spans="1:6" hidden="1" x14ac:dyDescent="0.2">
      <c r="A925" s="44">
        <v>45730</v>
      </c>
      <c r="B925" s="42" t="s">
        <v>2082</v>
      </c>
      <c r="C925" s="42">
        <v>193.39</v>
      </c>
      <c r="D925" s="42" t="s">
        <v>514</v>
      </c>
      <c r="E925" s="51" t="s">
        <v>6</v>
      </c>
      <c r="F925" s="45" t="s">
        <v>2207</v>
      </c>
    </row>
    <row r="926" spans="1:6" hidden="1" x14ac:dyDescent="0.2">
      <c r="A926" s="46">
        <v>45729</v>
      </c>
      <c r="B926" s="48" t="s">
        <v>2085</v>
      </c>
      <c r="C926" s="33">
        <v>426.07</v>
      </c>
      <c r="D926" s="33" t="s">
        <v>514</v>
      </c>
      <c r="E926" s="52" t="s">
        <v>6</v>
      </c>
      <c r="F926" s="47" t="s">
        <v>2207</v>
      </c>
    </row>
    <row r="927" spans="1:6" hidden="1" x14ac:dyDescent="0.2">
      <c r="A927" s="44">
        <v>45729</v>
      </c>
      <c r="B927" s="42" t="s">
        <v>2088</v>
      </c>
      <c r="C927" s="42">
        <v>9.48</v>
      </c>
      <c r="D927" s="42" t="s">
        <v>514</v>
      </c>
      <c r="E927" s="51" t="s">
        <v>6</v>
      </c>
      <c r="F927" s="45" t="s">
        <v>2207</v>
      </c>
    </row>
    <row r="928" spans="1:6" hidden="1" x14ac:dyDescent="0.2">
      <c r="A928" s="46">
        <v>45729</v>
      </c>
      <c r="B928" s="33" t="s">
        <v>1952</v>
      </c>
      <c r="C928" s="33">
        <v>9.31</v>
      </c>
      <c r="D928" s="33" t="s">
        <v>514</v>
      </c>
      <c r="E928" s="52" t="s">
        <v>6</v>
      </c>
      <c r="F928" s="47" t="s">
        <v>2207</v>
      </c>
    </row>
    <row r="929" spans="1:6" hidden="1" x14ac:dyDescent="0.2">
      <c r="A929" s="44">
        <v>45729</v>
      </c>
      <c r="B929" s="42" t="s">
        <v>1594</v>
      </c>
      <c r="C929" s="42">
        <v>48.55</v>
      </c>
      <c r="D929" s="42" t="s">
        <v>514</v>
      </c>
      <c r="E929" s="51" t="s">
        <v>6</v>
      </c>
      <c r="F929" s="45" t="s">
        <v>2207</v>
      </c>
    </row>
    <row r="930" spans="1:6" hidden="1" x14ac:dyDescent="0.2">
      <c r="A930" s="46">
        <v>45727</v>
      </c>
      <c r="B930" s="33" t="s">
        <v>1952</v>
      </c>
      <c r="C930" s="33">
        <v>17.13</v>
      </c>
      <c r="D930" s="33" t="s">
        <v>514</v>
      </c>
      <c r="E930" s="52" t="s">
        <v>6</v>
      </c>
      <c r="F930" s="47" t="s">
        <v>2207</v>
      </c>
    </row>
    <row r="931" spans="1:6" hidden="1" x14ac:dyDescent="0.2">
      <c r="A931" s="44">
        <v>45727</v>
      </c>
      <c r="B931" s="42" t="s">
        <v>1649</v>
      </c>
      <c r="C931" s="42">
        <v>34.950000000000003</v>
      </c>
      <c r="D931" s="42" t="s">
        <v>514</v>
      </c>
      <c r="E931" s="51" t="s">
        <v>6</v>
      </c>
      <c r="F931" s="45" t="s">
        <v>2207</v>
      </c>
    </row>
    <row r="932" spans="1:6" hidden="1" x14ac:dyDescent="0.2">
      <c r="A932" s="46">
        <v>45725</v>
      </c>
      <c r="B932" s="33" t="s">
        <v>1811</v>
      </c>
      <c r="C932" s="33">
        <v>10.72</v>
      </c>
      <c r="D932" s="33" t="s">
        <v>514</v>
      </c>
      <c r="E932" s="52" t="s">
        <v>6</v>
      </c>
      <c r="F932" s="47" t="s">
        <v>2207</v>
      </c>
    </row>
    <row r="933" spans="1:6" hidden="1" x14ac:dyDescent="0.2">
      <c r="A933" s="44">
        <v>45725</v>
      </c>
      <c r="B933" s="42" t="s">
        <v>1574</v>
      </c>
      <c r="C933" s="42">
        <v>119.23</v>
      </c>
      <c r="D933" s="42" t="s">
        <v>514</v>
      </c>
      <c r="E933" s="51" t="s">
        <v>6</v>
      </c>
      <c r="F933" s="45" t="s">
        <v>2207</v>
      </c>
    </row>
    <row r="934" spans="1:6" hidden="1" x14ac:dyDescent="0.2">
      <c r="A934" s="46">
        <v>45725</v>
      </c>
      <c r="B934" s="33" t="s">
        <v>1536</v>
      </c>
      <c r="C934" s="33">
        <v>20.57</v>
      </c>
      <c r="D934" s="33" t="s">
        <v>514</v>
      </c>
      <c r="E934" s="52" t="s">
        <v>6</v>
      </c>
      <c r="F934" s="47" t="s">
        <v>2207</v>
      </c>
    </row>
    <row r="935" spans="1:6" hidden="1" x14ac:dyDescent="0.2">
      <c r="A935" s="44">
        <v>45724</v>
      </c>
      <c r="B935" s="42" t="s">
        <v>1588</v>
      </c>
      <c r="C935" s="42">
        <v>23.37</v>
      </c>
      <c r="D935" s="42" t="s">
        <v>514</v>
      </c>
      <c r="E935" s="51" t="s">
        <v>6</v>
      </c>
      <c r="F935" s="45" t="s">
        <v>2207</v>
      </c>
    </row>
    <row r="936" spans="1:6" hidden="1" x14ac:dyDescent="0.2">
      <c r="A936" s="46">
        <v>45722</v>
      </c>
      <c r="B936" s="33" t="s">
        <v>2024</v>
      </c>
      <c r="C936" s="33">
        <v>12.61</v>
      </c>
      <c r="D936" s="33" t="s">
        <v>514</v>
      </c>
      <c r="E936" s="52" t="s">
        <v>45</v>
      </c>
      <c r="F936" s="47" t="s">
        <v>2207</v>
      </c>
    </row>
    <row r="937" spans="1:6" hidden="1" x14ac:dyDescent="0.2">
      <c r="A937" s="44">
        <v>45720</v>
      </c>
      <c r="B937" s="42" t="s">
        <v>1952</v>
      </c>
      <c r="C937" s="42">
        <v>15.82</v>
      </c>
      <c r="D937" s="42" t="s">
        <v>514</v>
      </c>
      <c r="E937" s="51" t="s">
        <v>6</v>
      </c>
      <c r="F937" s="45" t="s">
        <v>2207</v>
      </c>
    </row>
    <row r="938" spans="1:6" hidden="1" x14ac:dyDescent="0.2">
      <c r="A938" s="46">
        <v>45719</v>
      </c>
      <c r="B938" s="33" t="s">
        <v>2104</v>
      </c>
      <c r="C938" s="33">
        <v>22.62</v>
      </c>
      <c r="D938" s="33" t="s">
        <v>514</v>
      </c>
      <c r="E938" s="52" t="s">
        <v>6</v>
      </c>
      <c r="F938" s="47" t="s">
        <v>2207</v>
      </c>
    </row>
    <row r="939" spans="1:6" hidden="1" x14ac:dyDescent="0.2">
      <c r="A939" s="44">
        <v>45719</v>
      </c>
      <c r="B939" s="42" t="s">
        <v>1952</v>
      </c>
      <c r="C939" s="42">
        <v>11.36</v>
      </c>
      <c r="D939" s="42" t="s">
        <v>514</v>
      </c>
      <c r="E939" s="51" t="s">
        <v>6</v>
      </c>
      <c r="F939" s="45" t="s">
        <v>2207</v>
      </c>
    </row>
    <row r="940" spans="1:6" hidden="1" x14ac:dyDescent="0.2">
      <c r="A940" s="46">
        <v>45719</v>
      </c>
      <c r="B940" s="33" t="s">
        <v>1571</v>
      </c>
      <c r="C940" s="33">
        <v>188.2</v>
      </c>
      <c r="D940" s="33" t="s">
        <v>514</v>
      </c>
      <c r="E940" s="52" t="s">
        <v>6</v>
      </c>
      <c r="F940" s="47" t="s">
        <v>2207</v>
      </c>
    </row>
    <row r="941" spans="1:6" hidden="1" x14ac:dyDescent="0.2">
      <c r="A941" s="44">
        <v>45718</v>
      </c>
      <c r="B941" s="42" t="s">
        <v>1536</v>
      </c>
      <c r="C941" s="42">
        <v>128.83000000000001</v>
      </c>
      <c r="D941" s="42" t="s">
        <v>514</v>
      </c>
      <c r="E941" s="51" t="s">
        <v>6</v>
      </c>
      <c r="F941" s="45" t="s">
        <v>2207</v>
      </c>
    </row>
    <row r="942" spans="1:6" hidden="1" x14ac:dyDescent="0.2">
      <c r="A942" s="46">
        <v>45718</v>
      </c>
      <c r="B942" s="33" t="s">
        <v>1574</v>
      </c>
      <c r="C942" s="33">
        <v>78.03</v>
      </c>
      <c r="D942" s="33" t="s">
        <v>514</v>
      </c>
      <c r="E942" s="52" t="s">
        <v>6</v>
      </c>
      <c r="F942" s="47" t="s">
        <v>2207</v>
      </c>
    </row>
    <row r="943" spans="1:6" hidden="1" x14ac:dyDescent="0.2">
      <c r="A943" s="44">
        <v>45716</v>
      </c>
      <c r="B943" s="42" t="s">
        <v>1536</v>
      </c>
      <c r="C943" s="42">
        <v>146.49</v>
      </c>
      <c r="D943" s="42" t="s">
        <v>514</v>
      </c>
      <c r="E943" s="51" t="s">
        <v>6</v>
      </c>
      <c r="F943" s="45" t="s">
        <v>2207</v>
      </c>
    </row>
    <row r="944" spans="1:6" hidden="1" x14ac:dyDescent="0.2">
      <c r="A944" s="46">
        <v>45715</v>
      </c>
      <c r="B944" s="33" t="s">
        <v>1952</v>
      </c>
      <c r="C944" s="33">
        <v>26.01</v>
      </c>
      <c r="D944" s="33" t="s">
        <v>514</v>
      </c>
      <c r="E944" s="52" t="s">
        <v>6</v>
      </c>
      <c r="F944" s="47" t="s">
        <v>2207</v>
      </c>
    </row>
    <row r="945" spans="1:6" hidden="1" x14ac:dyDescent="0.2">
      <c r="A945" s="44">
        <v>45713</v>
      </c>
      <c r="B945" s="42" t="s">
        <v>1952</v>
      </c>
      <c r="C945" s="42">
        <v>11.04</v>
      </c>
      <c r="D945" s="42" t="s">
        <v>514</v>
      </c>
      <c r="E945" s="51" t="s">
        <v>6</v>
      </c>
      <c r="F945" s="45" t="s">
        <v>2207</v>
      </c>
    </row>
    <row r="946" spans="1:6" hidden="1" x14ac:dyDescent="0.2">
      <c r="A946" s="46">
        <v>45708</v>
      </c>
      <c r="B946" s="33" t="s">
        <v>2114</v>
      </c>
      <c r="C946" s="33">
        <v>338.35</v>
      </c>
      <c r="D946" s="33" t="s">
        <v>514</v>
      </c>
      <c r="E946" s="52" t="s">
        <v>6</v>
      </c>
      <c r="F946" s="47" t="s">
        <v>2207</v>
      </c>
    </row>
    <row r="947" spans="1:6" hidden="1" x14ac:dyDescent="0.2">
      <c r="A947" s="44">
        <v>45705</v>
      </c>
      <c r="B947" s="42" t="s">
        <v>1571</v>
      </c>
      <c r="C947" s="42">
        <v>269.99</v>
      </c>
      <c r="D947" s="42" t="s">
        <v>514</v>
      </c>
      <c r="E947" s="51" t="s">
        <v>6</v>
      </c>
      <c r="F947" s="45" t="s">
        <v>2207</v>
      </c>
    </row>
    <row r="948" spans="1:6" hidden="1" x14ac:dyDescent="0.2">
      <c r="A948" s="46">
        <v>45705</v>
      </c>
      <c r="B948" s="33" t="s">
        <v>1588</v>
      </c>
      <c r="C948" s="33">
        <v>15.55</v>
      </c>
      <c r="D948" s="33" t="s">
        <v>514</v>
      </c>
      <c r="E948" s="52" t="s">
        <v>6</v>
      </c>
      <c r="F948" s="47" t="s">
        <v>2207</v>
      </c>
    </row>
    <row r="949" spans="1:6" hidden="1" x14ac:dyDescent="0.2">
      <c r="A949" s="44">
        <v>45705</v>
      </c>
      <c r="B949" s="42" t="s">
        <v>2117</v>
      </c>
      <c r="C949" s="42">
        <v>63.76</v>
      </c>
      <c r="D949" s="42" t="s">
        <v>514</v>
      </c>
      <c r="E949" s="51" t="s">
        <v>6</v>
      </c>
      <c r="F949" s="45" t="s">
        <v>2207</v>
      </c>
    </row>
    <row r="950" spans="1:6" hidden="1" x14ac:dyDescent="0.2">
      <c r="A950" s="46">
        <v>45704</v>
      </c>
      <c r="B950" s="33" t="s">
        <v>1536</v>
      </c>
      <c r="C950" s="33">
        <v>86.4</v>
      </c>
      <c r="D950" s="33" t="s">
        <v>514</v>
      </c>
      <c r="E950" s="52" t="s">
        <v>6</v>
      </c>
      <c r="F950" s="47" t="s">
        <v>2207</v>
      </c>
    </row>
    <row r="951" spans="1:6" hidden="1" x14ac:dyDescent="0.2">
      <c r="A951" s="44">
        <v>45702</v>
      </c>
      <c r="B951" s="42" t="s">
        <v>1952</v>
      </c>
      <c r="C951" s="42">
        <v>13.6</v>
      </c>
      <c r="D951" s="42" t="s">
        <v>514</v>
      </c>
      <c r="E951" s="51" t="s">
        <v>6</v>
      </c>
      <c r="F951" s="45" t="s">
        <v>2207</v>
      </c>
    </row>
    <row r="952" spans="1:6" hidden="1" x14ac:dyDescent="0.2">
      <c r="A952" s="46">
        <v>45700</v>
      </c>
      <c r="B952" s="33" t="s">
        <v>1952</v>
      </c>
      <c r="C952" s="33">
        <v>19.59</v>
      </c>
      <c r="D952" s="33" t="s">
        <v>514</v>
      </c>
      <c r="E952" s="52" t="s">
        <v>6</v>
      </c>
      <c r="F952" s="47" t="s">
        <v>2207</v>
      </c>
    </row>
    <row r="953" spans="1:6" hidden="1" x14ac:dyDescent="0.2">
      <c r="A953" s="44">
        <v>45698</v>
      </c>
      <c r="B953" s="42" t="s">
        <v>1952</v>
      </c>
      <c r="C953" s="42">
        <v>13.65</v>
      </c>
      <c r="D953" s="42" t="s">
        <v>514</v>
      </c>
      <c r="E953" s="51" t="s">
        <v>6</v>
      </c>
      <c r="F953" s="45" t="s">
        <v>2207</v>
      </c>
    </row>
    <row r="954" spans="1:6" hidden="1" x14ac:dyDescent="0.2">
      <c r="A954" s="46">
        <v>45698</v>
      </c>
      <c r="B954" s="33" t="s">
        <v>1688</v>
      </c>
      <c r="C954" s="33">
        <v>98.42</v>
      </c>
      <c r="D954" s="33" t="s">
        <v>514</v>
      </c>
      <c r="E954" s="52" t="s">
        <v>6</v>
      </c>
      <c r="F954" s="47" t="s">
        <v>2207</v>
      </c>
    </row>
    <row r="955" spans="1:6" hidden="1" x14ac:dyDescent="0.2">
      <c r="A955" s="44">
        <v>45697</v>
      </c>
      <c r="B955" s="42" t="s">
        <v>1588</v>
      </c>
      <c r="C955" s="42">
        <v>22.49</v>
      </c>
      <c r="D955" s="42" t="s">
        <v>514</v>
      </c>
      <c r="E955" s="51" t="s">
        <v>6</v>
      </c>
      <c r="F955" s="45" t="s">
        <v>2207</v>
      </c>
    </row>
    <row r="956" spans="1:6" hidden="1" x14ac:dyDescent="0.2">
      <c r="A956" s="46">
        <v>45696</v>
      </c>
      <c r="B956" s="33" t="s">
        <v>1571</v>
      </c>
      <c r="C956" s="33">
        <v>220.1</v>
      </c>
      <c r="D956" s="33" t="s">
        <v>514</v>
      </c>
      <c r="E956" s="52" t="s">
        <v>6</v>
      </c>
      <c r="F956" s="47" t="s">
        <v>2207</v>
      </c>
    </row>
    <row r="957" spans="1:6" hidden="1" x14ac:dyDescent="0.2">
      <c r="A957" s="44">
        <v>45696</v>
      </c>
      <c r="B957" s="42" t="s">
        <v>1536</v>
      </c>
      <c r="C957" s="42">
        <v>24.95</v>
      </c>
      <c r="D957" s="42" t="s">
        <v>514</v>
      </c>
      <c r="E957" s="51" t="s">
        <v>6</v>
      </c>
      <c r="F957" s="45" t="s">
        <v>2207</v>
      </c>
    </row>
    <row r="958" spans="1:6" hidden="1" x14ac:dyDescent="0.2">
      <c r="A958" s="46">
        <v>45694</v>
      </c>
      <c r="B958" s="33" t="s">
        <v>1952</v>
      </c>
      <c r="C958" s="33">
        <v>14.7</v>
      </c>
      <c r="D958" s="33" t="s">
        <v>514</v>
      </c>
      <c r="E958" s="52" t="s">
        <v>6</v>
      </c>
      <c r="F958" s="47" t="s">
        <v>2207</v>
      </c>
    </row>
    <row r="959" spans="1:6" hidden="1" x14ac:dyDescent="0.2">
      <c r="A959" s="44">
        <v>45694</v>
      </c>
      <c r="B959" s="42" t="s">
        <v>2134</v>
      </c>
      <c r="C959" s="42">
        <v>4.49</v>
      </c>
      <c r="D959" s="42" t="s">
        <v>514</v>
      </c>
      <c r="E959" s="51" t="s">
        <v>6</v>
      </c>
      <c r="F959" s="45" t="s">
        <v>2207</v>
      </c>
    </row>
    <row r="960" spans="1:6" hidden="1" x14ac:dyDescent="0.2">
      <c r="A960" s="46">
        <v>45692</v>
      </c>
      <c r="B960" s="33" t="s">
        <v>2136</v>
      </c>
      <c r="C960" s="33">
        <v>17.98</v>
      </c>
      <c r="D960" s="33" t="s">
        <v>514</v>
      </c>
      <c r="E960" s="52" t="s">
        <v>6</v>
      </c>
      <c r="F960" s="47" t="s">
        <v>2207</v>
      </c>
    </row>
    <row r="961" spans="1:6" hidden="1" x14ac:dyDescent="0.2">
      <c r="A961" s="44">
        <v>45692</v>
      </c>
      <c r="B961" s="42" t="s">
        <v>1952</v>
      </c>
      <c r="C961" s="42">
        <v>15.63</v>
      </c>
      <c r="D961" s="42" t="s">
        <v>514</v>
      </c>
      <c r="E961" s="51" t="s">
        <v>6</v>
      </c>
      <c r="F961" s="45" t="s">
        <v>2207</v>
      </c>
    </row>
    <row r="962" spans="1:6" hidden="1" x14ac:dyDescent="0.2">
      <c r="A962" s="46">
        <v>45690</v>
      </c>
      <c r="B962" s="48" t="s">
        <v>2085</v>
      </c>
      <c r="C962" s="33">
        <v>71.86</v>
      </c>
      <c r="D962" s="33" t="s">
        <v>514</v>
      </c>
      <c r="E962" s="52" t="s">
        <v>6</v>
      </c>
      <c r="F962" s="47" t="s">
        <v>2207</v>
      </c>
    </row>
    <row r="963" spans="1:6" hidden="1" x14ac:dyDescent="0.2">
      <c r="A963" s="44">
        <v>45690</v>
      </c>
      <c r="B963" s="42" t="s">
        <v>1571</v>
      </c>
      <c r="C963" s="42">
        <v>353.14</v>
      </c>
      <c r="D963" s="42" t="s">
        <v>514</v>
      </c>
      <c r="E963" s="51" t="s">
        <v>6</v>
      </c>
      <c r="F963" s="45" t="s">
        <v>2207</v>
      </c>
    </row>
    <row r="964" spans="1:6" hidden="1" x14ac:dyDescent="0.2">
      <c r="A964" s="46">
        <v>45690</v>
      </c>
      <c r="B964" s="33" t="s">
        <v>1571</v>
      </c>
      <c r="C964" s="33">
        <v>12.34</v>
      </c>
      <c r="D964" s="33" t="s">
        <v>514</v>
      </c>
      <c r="E964" s="52" t="s">
        <v>6</v>
      </c>
      <c r="F964" s="47" t="s">
        <v>2207</v>
      </c>
    </row>
    <row r="965" spans="1:6" hidden="1" x14ac:dyDescent="0.2">
      <c r="A965" s="44">
        <v>45688</v>
      </c>
      <c r="B965" s="42" t="s">
        <v>1952</v>
      </c>
      <c r="C965" s="42">
        <v>12.09</v>
      </c>
      <c r="D965" s="42" t="s">
        <v>514</v>
      </c>
      <c r="E965" s="51" t="s">
        <v>6</v>
      </c>
      <c r="F965" s="45" t="s">
        <v>2207</v>
      </c>
    </row>
    <row r="966" spans="1:6" hidden="1" x14ac:dyDescent="0.2">
      <c r="A966" s="46">
        <v>45688</v>
      </c>
      <c r="B966" s="33" t="s">
        <v>1574</v>
      </c>
      <c r="C966" s="33">
        <v>167</v>
      </c>
      <c r="D966" s="33" t="s">
        <v>514</v>
      </c>
      <c r="E966" s="52" t="s">
        <v>6</v>
      </c>
      <c r="F966" s="47" t="s">
        <v>2207</v>
      </c>
    </row>
    <row r="967" spans="1:6" hidden="1" x14ac:dyDescent="0.2">
      <c r="A967" s="44">
        <v>45686</v>
      </c>
      <c r="B967" s="42" t="s">
        <v>1952</v>
      </c>
      <c r="C967" s="42">
        <v>11.32</v>
      </c>
      <c r="D967" s="42" t="s">
        <v>514</v>
      </c>
      <c r="E967" s="51" t="s">
        <v>6</v>
      </c>
      <c r="F967" s="45" t="s">
        <v>2207</v>
      </c>
    </row>
    <row r="968" spans="1:6" hidden="1" x14ac:dyDescent="0.2">
      <c r="A968" s="46">
        <v>45685</v>
      </c>
      <c r="B968" s="33" t="s">
        <v>2024</v>
      </c>
      <c r="C968" s="33">
        <v>5.99</v>
      </c>
      <c r="D968" s="33" t="s">
        <v>514</v>
      </c>
      <c r="E968" s="52" t="s">
        <v>45</v>
      </c>
      <c r="F968" s="47" t="s">
        <v>2207</v>
      </c>
    </row>
    <row r="969" spans="1:6" hidden="1" x14ac:dyDescent="0.2">
      <c r="A969" s="44">
        <v>45684</v>
      </c>
      <c r="B969" s="42" t="s">
        <v>1536</v>
      </c>
      <c r="C969" s="42">
        <v>80.36</v>
      </c>
      <c r="D969" s="42" t="s">
        <v>514</v>
      </c>
      <c r="E969" s="51" t="s">
        <v>6</v>
      </c>
      <c r="F969" s="45" t="s">
        <v>2207</v>
      </c>
    </row>
    <row r="970" spans="1:6" hidden="1" x14ac:dyDescent="0.2">
      <c r="A970" s="46">
        <v>45684</v>
      </c>
      <c r="B970" s="33" t="s">
        <v>1536</v>
      </c>
      <c r="C970" s="33">
        <v>28.65</v>
      </c>
      <c r="D970" s="33" t="s">
        <v>514</v>
      </c>
      <c r="E970" s="52" t="s">
        <v>6</v>
      </c>
      <c r="F970" s="47" t="s">
        <v>2207</v>
      </c>
    </row>
    <row r="971" spans="1:6" hidden="1" x14ac:dyDescent="0.2">
      <c r="A971" s="44">
        <v>45683</v>
      </c>
      <c r="B971" s="42" t="s">
        <v>1536</v>
      </c>
      <c r="C971" s="42">
        <v>6.91</v>
      </c>
      <c r="D971" s="42" t="s">
        <v>514</v>
      </c>
      <c r="E971" s="51" t="s">
        <v>6</v>
      </c>
      <c r="F971" s="45" t="s">
        <v>2207</v>
      </c>
    </row>
    <row r="972" spans="1:6" hidden="1" x14ac:dyDescent="0.2">
      <c r="A972" s="46">
        <v>45683</v>
      </c>
      <c r="B972" s="33" t="s">
        <v>1551</v>
      </c>
      <c r="C972" s="33">
        <v>129.97</v>
      </c>
      <c r="D972" s="33" t="s">
        <v>514</v>
      </c>
      <c r="E972" s="52" t="s">
        <v>6</v>
      </c>
      <c r="F972" s="47" t="s">
        <v>2207</v>
      </c>
    </row>
    <row r="973" spans="1:6" hidden="1" x14ac:dyDescent="0.2">
      <c r="A973" s="44">
        <v>45683</v>
      </c>
      <c r="B973" s="42" t="s">
        <v>1574</v>
      </c>
      <c r="C973" s="42">
        <v>31.51</v>
      </c>
      <c r="D973" s="42" t="s">
        <v>514</v>
      </c>
      <c r="E973" s="51" t="s">
        <v>6</v>
      </c>
      <c r="F973" s="45" t="s">
        <v>2207</v>
      </c>
    </row>
    <row r="974" spans="1:6" hidden="1" x14ac:dyDescent="0.2">
      <c r="A974" s="46">
        <v>45681</v>
      </c>
      <c r="B974" s="33" t="s">
        <v>1952</v>
      </c>
      <c r="C974" s="33">
        <v>15.22</v>
      </c>
      <c r="D974" s="33" t="s">
        <v>514</v>
      </c>
      <c r="E974" s="52" t="s">
        <v>6</v>
      </c>
      <c r="F974" s="47" t="s">
        <v>2207</v>
      </c>
    </row>
    <row r="975" spans="1:6" hidden="1" x14ac:dyDescent="0.2">
      <c r="A975" s="44">
        <v>45680</v>
      </c>
      <c r="B975" s="62" t="s">
        <v>2085</v>
      </c>
      <c r="C975" s="42">
        <v>184.89</v>
      </c>
      <c r="D975" s="42" t="s">
        <v>514</v>
      </c>
      <c r="E975" s="51" t="s">
        <v>6</v>
      </c>
      <c r="F975" s="45" t="s">
        <v>2207</v>
      </c>
    </row>
    <row r="976" spans="1:6" hidden="1" x14ac:dyDescent="0.2">
      <c r="A976" s="46">
        <v>45680</v>
      </c>
      <c r="B976" s="33" t="s">
        <v>1571</v>
      </c>
      <c r="C976" s="33">
        <v>1.45</v>
      </c>
      <c r="D976" s="33" t="s">
        <v>514</v>
      </c>
      <c r="E976" s="52" t="s">
        <v>6</v>
      </c>
      <c r="F976" s="47" t="s">
        <v>2207</v>
      </c>
    </row>
    <row r="977" spans="1:6" hidden="1" x14ac:dyDescent="0.2">
      <c r="A977" s="44">
        <v>45679</v>
      </c>
      <c r="B977" s="42" t="s">
        <v>1952</v>
      </c>
      <c r="C977" s="42">
        <v>17.22</v>
      </c>
      <c r="D977" s="42" t="s">
        <v>514</v>
      </c>
      <c r="E977" s="51" t="s">
        <v>6</v>
      </c>
      <c r="F977" s="45" t="s">
        <v>2207</v>
      </c>
    </row>
    <row r="978" spans="1:6" hidden="1" x14ac:dyDescent="0.2">
      <c r="A978" s="46">
        <v>45675</v>
      </c>
      <c r="B978" s="33" t="s">
        <v>1536</v>
      </c>
      <c r="C978" s="33">
        <v>10.77</v>
      </c>
      <c r="D978" s="33" t="s">
        <v>514</v>
      </c>
      <c r="E978" s="52" t="s">
        <v>6</v>
      </c>
      <c r="F978" s="47" t="s">
        <v>2207</v>
      </c>
    </row>
    <row r="979" spans="1:6" hidden="1" x14ac:dyDescent="0.2">
      <c r="A979" s="44">
        <v>45674</v>
      </c>
      <c r="B979" s="42" t="s">
        <v>1952</v>
      </c>
      <c r="C979" s="42">
        <v>15.5</v>
      </c>
      <c r="D979" s="42" t="s">
        <v>514</v>
      </c>
      <c r="E979" s="51" t="s">
        <v>6</v>
      </c>
      <c r="F979" s="45" t="s">
        <v>2207</v>
      </c>
    </row>
    <row r="980" spans="1:6" hidden="1" x14ac:dyDescent="0.2">
      <c r="A980" s="46">
        <v>45674</v>
      </c>
      <c r="B980" s="33" t="s">
        <v>1536</v>
      </c>
      <c r="C980" s="33">
        <v>221.56</v>
      </c>
      <c r="D980" s="33" t="s">
        <v>514</v>
      </c>
      <c r="E980" s="52" t="s">
        <v>6</v>
      </c>
      <c r="F980" s="47" t="s">
        <v>2207</v>
      </c>
    </row>
    <row r="981" spans="1:6" hidden="1" x14ac:dyDescent="0.2">
      <c r="A981" s="44">
        <v>45673</v>
      </c>
      <c r="B981" s="42" t="s">
        <v>1594</v>
      </c>
      <c r="C981" s="42">
        <v>48.55</v>
      </c>
      <c r="D981" s="42" t="s">
        <v>514</v>
      </c>
      <c r="E981" s="51" t="s">
        <v>6</v>
      </c>
      <c r="F981" s="45" t="s">
        <v>2207</v>
      </c>
    </row>
    <row r="982" spans="1:6" hidden="1" x14ac:dyDescent="0.2">
      <c r="A982" s="46">
        <v>45672</v>
      </c>
      <c r="B982" s="33" t="s">
        <v>1952</v>
      </c>
      <c r="C982" s="33">
        <v>6.47</v>
      </c>
      <c r="D982" s="33" t="s">
        <v>514</v>
      </c>
      <c r="E982" s="52" t="s">
        <v>6</v>
      </c>
      <c r="F982" s="47" t="s">
        <v>2207</v>
      </c>
    </row>
    <row r="983" spans="1:6" hidden="1" x14ac:dyDescent="0.2">
      <c r="A983" s="44">
        <v>45672</v>
      </c>
      <c r="B983" s="42" t="s">
        <v>2166</v>
      </c>
      <c r="C983" s="42">
        <v>78.239999999999995</v>
      </c>
      <c r="D983" s="42" t="s">
        <v>514</v>
      </c>
      <c r="E983" s="51" t="s">
        <v>6</v>
      </c>
      <c r="F983" s="45" t="s">
        <v>2207</v>
      </c>
    </row>
    <row r="984" spans="1:6" hidden="1" x14ac:dyDescent="0.2">
      <c r="A984" s="46">
        <v>45670</v>
      </c>
      <c r="B984" s="33" t="s">
        <v>2168</v>
      </c>
      <c r="C984" s="33">
        <v>253.07</v>
      </c>
      <c r="D984" s="33" t="s">
        <v>514</v>
      </c>
      <c r="E984" s="52" t="s">
        <v>6</v>
      </c>
      <c r="F984" s="47" t="s">
        <v>2207</v>
      </c>
    </row>
    <row r="985" spans="1:6" hidden="1" x14ac:dyDescent="0.2">
      <c r="A985" s="44">
        <v>45670</v>
      </c>
      <c r="B985" s="42" t="s">
        <v>1952</v>
      </c>
      <c r="C985" s="42">
        <v>11.92</v>
      </c>
      <c r="D985" s="42" t="s">
        <v>514</v>
      </c>
      <c r="E985" s="51" t="s">
        <v>6</v>
      </c>
      <c r="F985" s="45" t="s">
        <v>2207</v>
      </c>
    </row>
    <row r="986" spans="1:6" hidden="1" x14ac:dyDescent="0.2">
      <c r="A986" s="46">
        <v>45670</v>
      </c>
      <c r="B986" s="33" t="s">
        <v>1952</v>
      </c>
      <c r="C986" s="33">
        <v>8.99</v>
      </c>
      <c r="D986" s="33" t="s">
        <v>514</v>
      </c>
      <c r="E986" s="52" t="s">
        <v>6</v>
      </c>
      <c r="F986" s="47" t="s">
        <v>2207</v>
      </c>
    </row>
    <row r="987" spans="1:6" hidden="1" x14ac:dyDescent="0.2">
      <c r="A987" s="44">
        <v>45669</v>
      </c>
      <c r="B987" s="42" t="s">
        <v>1649</v>
      </c>
      <c r="C987" s="42">
        <v>55.92</v>
      </c>
      <c r="D987" s="42" t="s">
        <v>514</v>
      </c>
      <c r="E987" s="51" t="s">
        <v>6</v>
      </c>
      <c r="F987" s="45" t="s">
        <v>2207</v>
      </c>
    </row>
    <row r="988" spans="1:6" hidden="1" x14ac:dyDescent="0.2">
      <c r="A988" s="46">
        <v>45669</v>
      </c>
      <c r="B988" s="48" t="s">
        <v>1604</v>
      </c>
      <c r="C988" s="33">
        <v>31.7</v>
      </c>
      <c r="D988" s="33" t="s">
        <v>514</v>
      </c>
      <c r="E988" s="52" t="s">
        <v>6</v>
      </c>
      <c r="F988" s="47" t="s">
        <v>2207</v>
      </c>
    </row>
    <row r="989" spans="1:6" hidden="1" x14ac:dyDescent="0.2">
      <c r="A989" s="44">
        <v>45669</v>
      </c>
      <c r="B989" s="42" t="s">
        <v>2170</v>
      </c>
      <c r="C989" s="42">
        <v>5.42</v>
      </c>
      <c r="D989" s="42" t="s">
        <v>514</v>
      </c>
      <c r="E989" s="51" t="s">
        <v>6</v>
      </c>
      <c r="F989" s="45" t="s">
        <v>2207</v>
      </c>
    </row>
    <row r="990" spans="1:6" hidden="1" x14ac:dyDescent="0.2">
      <c r="A990" s="46">
        <v>45668</v>
      </c>
      <c r="B990" s="33" t="s">
        <v>1536</v>
      </c>
      <c r="C990" s="33">
        <v>55.43</v>
      </c>
      <c r="D990" s="33" t="s">
        <v>514</v>
      </c>
      <c r="E990" s="52" t="s">
        <v>6</v>
      </c>
      <c r="F990" s="47" t="s">
        <v>2207</v>
      </c>
    </row>
    <row r="991" spans="1:6" hidden="1" x14ac:dyDescent="0.2">
      <c r="A991" s="44">
        <v>45667</v>
      </c>
      <c r="B991" s="42" t="s">
        <v>1536</v>
      </c>
      <c r="C991" s="42">
        <v>93.88</v>
      </c>
      <c r="D991" s="42" t="s">
        <v>514</v>
      </c>
      <c r="E991" s="51" t="s">
        <v>6</v>
      </c>
      <c r="F991" s="45" t="s">
        <v>2207</v>
      </c>
    </row>
    <row r="992" spans="1:6" hidden="1" x14ac:dyDescent="0.2">
      <c r="A992" s="46">
        <v>45666</v>
      </c>
      <c r="B992" s="33" t="s">
        <v>2117</v>
      </c>
      <c r="C992" s="33">
        <v>16.96</v>
      </c>
      <c r="D992" s="33" t="s">
        <v>514</v>
      </c>
      <c r="E992" s="52" t="s">
        <v>6</v>
      </c>
      <c r="F992" s="47" t="s">
        <v>2207</v>
      </c>
    </row>
    <row r="993" spans="1:6" hidden="1" x14ac:dyDescent="0.2">
      <c r="A993" s="44">
        <v>45666</v>
      </c>
      <c r="B993" s="42" t="s">
        <v>1536</v>
      </c>
      <c r="C993" s="42">
        <v>142.53</v>
      </c>
      <c r="D993" s="42" t="s">
        <v>514</v>
      </c>
      <c r="E993" s="51" t="s">
        <v>6</v>
      </c>
      <c r="F993" s="45" t="s">
        <v>2207</v>
      </c>
    </row>
    <row r="994" spans="1:6" hidden="1" x14ac:dyDescent="0.2">
      <c r="A994" s="46">
        <v>45663</v>
      </c>
      <c r="B994" s="33" t="s">
        <v>2168</v>
      </c>
      <c r="C994" s="33">
        <v>269.98</v>
      </c>
      <c r="D994" s="33" t="s">
        <v>514</v>
      </c>
      <c r="E994" s="52" t="s">
        <v>6</v>
      </c>
      <c r="F994" s="47" t="s">
        <v>2207</v>
      </c>
    </row>
    <row r="995" spans="1:6" hidden="1" x14ac:dyDescent="0.2">
      <c r="A995" s="44">
        <v>45662</v>
      </c>
      <c r="B995" s="42" t="s">
        <v>1984</v>
      </c>
      <c r="C995" s="42">
        <v>11.02</v>
      </c>
      <c r="D995" s="42" t="s">
        <v>514</v>
      </c>
      <c r="E995" s="51" t="s">
        <v>6</v>
      </c>
      <c r="F995" s="45" t="s">
        <v>2207</v>
      </c>
    </row>
    <row r="996" spans="1:6" hidden="1" x14ac:dyDescent="0.2">
      <c r="A996" s="46">
        <v>45660</v>
      </c>
      <c r="B996" s="33" t="s">
        <v>1536</v>
      </c>
      <c r="C996" s="33">
        <v>89.23</v>
      </c>
      <c r="D996" s="33" t="s">
        <v>514</v>
      </c>
      <c r="E996" s="52" t="s">
        <v>6</v>
      </c>
      <c r="F996" s="47" t="s">
        <v>2207</v>
      </c>
    </row>
    <row r="997" spans="1:6" hidden="1" x14ac:dyDescent="0.2">
      <c r="A997" s="44">
        <v>45660</v>
      </c>
      <c r="B997" s="42" t="s">
        <v>2193</v>
      </c>
      <c r="C997" s="42">
        <v>148.68</v>
      </c>
      <c r="D997" s="42" t="s">
        <v>514</v>
      </c>
      <c r="E997" s="51" t="s">
        <v>6</v>
      </c>
      <c r="F997" s="45" t="s">
        <v>2207</v>
      </c>
    </row>
    <row r="998" spans="1:6" hidden="1" x14ac:dyDescent="0.2">
      <c r="A998" s="46">
        <v>45659</v>
      </c>
      <c r="B998" s="33" t="s">
        <v>1588</v>
      </c>
      <c r="C998" s="33">
        <v>-23.59</v>
      </c>
      <c r="D998" s="33" t="s">
        <v>514</v>
      </c>
      <c r="E998" s="52" t="s">
        <v>6</v>
      </c>
      <c r="F998" s="47" t="s">
        <v>2207</v>
      </c>
    </row>
    <row r="999" spans="1:6" hidden="1" x14ac:dyDescent="0.2">
      <c r="A999" s="44">
        <v>45658</v>
      </c>
      <c r="B999" s="42" t="s">
        <v>2202</v>
      </c>
      <c r="C999" s="42">
        <v>5.63</v>
      </c>
      <c r="D999" s="42" t="s">
        <v>514</v>
      </c>
      <c r="E999" s="51" t="s">
        <v>6</v>
      </c>
      <c r="F999" s="45" t="s">
        <v>2207</v>
      </c>
    </row>
    <row r="1000" spans="1:6" hidden="1" x14ac:dyDescent="0.2">
      <c r="A1000" s="46">
        <v>45954</v>
      </c>
      <c r="B1000" s="33" t="s">
        <v>591</v>
      </c>
      <c r="C1000" s="33">
        <v>216.57</v>
      </c>
      <c r="D1000" s="33" t="s">
        <v>514</v>
      </c>
      <c r="E1000" s="52" t="s">
        <v>6</v>
      </c>
      <c r="F1000" s="47" t="s">
        <v>2207</v>
      </c>
    </row>
    <row r="1001" spans="1:6" hidden="1" x14ac:dyDescent="0.2">
      <c r="A1001" s="44">
        <v>45950</v>
      </c>
      <c r="B1001" s="42" t="s">
        <v>551</v>
      </c>
      <c r="C1001" s="42">
        <v>84.21</v>
      </c>
      <c r="D1001" s="42" t="s">
        <v>514</v>
      </c>
      <c r="E1001" s="51" t="s">
        <v>45</v>
      </c>
      <c r="F1001" s="45" t="s">
        <v>2207</v>
      </c>
    </row>
    <row r="1002" spans="1:6" hidden="1" x14ac:dyDescent="0.2">
      <c r="A1002" s="46">
        <v>45950</v>
      </c>
      <c r="B1002" s="33" t="s">
        <v>551</v>
      </c>
      <c r="C1002" s="33">
        <v>26.33</v>
      </c>
      <c r="D1002" s="33" t="s">
        <v>514</v>
      </c>
      <c r="E1002" s="52" t="s">
        <v>45</v>
      </c>
      <c r="F1002" s="47" t="s">
        <v>2207</v>
      </c>
    </row>
    <row r="1003" spans="1:6" hidden="1" x14ac:dyDescent="0.2">
      <c r="A1003" s="44">
        <v>45950</v>
      </c>
      <c r="B1003" s="42" t="s">
        <v>551</v>
      </c>
      <c r="C1003" s="42">
        <v>18.190000000000001</v>
      </c>
      <c r="D1003" s="42" t="s">
        <v>514</v>
      </c>
      <c r="E1003" s="51" t="s">
        <v>45</v>
      </c>
      <c r="F1003" s="45" t="s">
        <v>2207</v>
      </c>
    </row>
    <row r="1004" spans="1:6" hidden="1" x14ac:dyDescent="0.2">
      <c r="A1004" s="46">
        <v>45944</v>
      </c>
      <c r="B1004" s="33" t="s">
        <v>578</v>
      </c>
      <c r="C1004" s="33">
        <v>112.19</v>
      </c>
      <c r="D1004" s="33" t="s">
        <v>514</v>
      </c>
      <c r="E1004" s="52" t="s">
        <v>45</v>
      </c>
      <c r="F1004" s="47" t="s">
        <v>2207</v>
      </c>
    </row>
    <row r="1005" spans="1:6" hidden="1" x14ac:dyDescent="0.2">
      <c r="A1005" s="44">
        <v>45986</v>
      </c>
      <c r="B1005" s="42" t="s">
        <v>546</v>
      </c>
      <c r="C1005" s="42">
        <v>7.98</v>
      </c>
      <c r="D1005" s="42" t="s">
        <v>514</v>
      </c>
      <c r="E1005" s="51" t="s">
        <v>6</v>
      </c>
      <c r="F1005" s="45" t="s">
        <v>2207</v>
      </c>
    </row>
    <row r="1006" spans="1:6" hidden="1" x14ac:dyDescent="0.2">
      <c r="A1006" s="46">
        <v>45986</v>
      </c>
      <c r="B1006" s="33" t="s">
        <v>570</v>
      </c>
      <c r="C1006" s="33">
        <v>28.94</v>
      </c>
      <c r="D1006" s="33" t="s">
        <v>514</v>
      </c>
      <c r="E1006" s="52" t="s">
        <v>6</v>
      </c>
      <c r="F1006" s="47" t="s">
        <v>2207</v>
      </c>
    </row>
    <row r="1007" spans="1:6" hidden="1" x14ac:dyDescent="0.2">
      <c r="A1007" s="44">
        <v>45983</v>
      </c>
      <c r="B1007" s="42" t="s">
        <v>546</v>
      </c>
      <c r="C1007" s="42">
        <v>92.66</v>
      </c>
      <c r="D1007" s="42" t="s">
        <v>514</v>
      </c>
      <c r="E1007" s="51" t="s">
        <v>6</v>
      </c>
      <c r="F1007" s="45" t="s">
        <v>2207</v>
      </c>
    </row>
    <row r="1008" spans="1:6" hidden="1" x14ac:dyDescent="0.2">
      <c r="A1008" s="46">
        <v>45982</v>
      </c>
      <c r="B1008" s="33" t="s">
        <v>583</v>
      </c>
      <c r="C1008" s="33">
        <v>290.63</v>
      </c>
      <c r="D1008" s="33" t="s">
        <v>514</v>
      </c>
      <c r="E1008" s="52" t="s">
        <v>6</v>
      </c>
      <c r="F1008" s="47" t="s">
        <v>2207</v>
      </c>
    </row>
    <row r="1009" spans="1:6" hidden="1" x14ac:dyDescent="0.2">
      <c r="A1009" s="44">
        <v>45979</v>
      </c>
      <c r="B1009" s="42" t="s">
        <v>570</v>
      </c>
      <c r="C1009" s="42">
        <v>34.020000000000003</v>
      </c>
      <c r="D1009" s="42" t="s">
        <v>514</v>
      </c>
      <c r="E1009" s="51" t="s">
        <v>6</v>
      </c>
      <c r="F1009" s="45" t="s">
        <v>2207</v>
      </c>
    </row>
    <row r="1010" spans="1:6" hidden="1" x14ac:dyDescent="0.2">
      <c r="A1010" s="46">
        <v>45976</v>
      </c>
      <c r="B1010" s="33" t="s">
        <v>546</v>
      </c>
      <c r="C1010" s="33">
        <v>39.83</v>
      </c>
      <c r="D1010" s="33" t="s">
        <v>514</v>
      </c>
      <c r="E1010" s="52" t="s">
        <v>6</v>
      </c>
      <c r="F1010" s="47" t="s">
        <v>2207</v>
      </c>
    </row>
    <row r="1011" spans="1:6" hidden="1" x14ac:dyDescent="0.2">
      <c r="A1011" s="44">
        <v>45972</v>
      </c>
      <c r="B1011" s="42" t="s">
        <v>570</v>
      </c>
      <c r="C1011" s="42">
        <v>38.42</v>
      </c>
      <c r="D1011" s="42" t="s">
        <v>514</v>
      </c>
      <c r="E1011" s="51" t="s">
        <v>6</v>
      </c>
      <c r="F1011" s="45" t="s">
        <v>2207</v>
      </c>
    </row>
    <row r="1012" spans="1:6" hidden="1" x14ac:dyDescent="0.2">
      <c r="A1012" s="46">
        <v>45969</v>
      </c>
      <c r="B1012" s="33" t="s">
        <v>546</v>
      </c>
      <c r="C1012" s="33">
        <v>5.34</v>
      </c>
      <c r="D1012" s="33" t="s">
        <v>514</v>
      </c>
      <c r="E1012" s="52" t="s">
        <v>6</v>
      </c>
      <c r="F1012" s="47" t="s">
        <v>2207</v>
      </c>
    </row>
    <row r="1013" spans="1:6" hidden="1" x14ac:dyDescent="0.2">
      <c r="A1013" s="44">
        <v>45969</v>
      </c>
      <c r="B1013" s="42" t="s">
        <v>546</v>
      </c>
      <c r="C1013" s="42">
        <v>216.78</v>
      </c>
      <c r="D1013" s="42" t="s">
        <v>514</v>
      </c>
      <c r="E1013" s="51" t="s">
        <v>6</v>
      </c>
      <c r="F1013" s="45" t="s">
        <v>2207</v>
      </c>
    </row>
    <row r="1014" spans="1:6" hidden="1" x14ac:dyDescent="0.2">
      <c r="A1014" s="46">
        <v>45965</v>
      </c>
      <c r="B1014" s="33" t="s">
        <v>570</v>
      </c>
      <c r="C1014" s="33">
        <v>34.020000000000003</v>
      </c>
      <c r="D1014" s="33" t="s">
        <v>514</v>
      </c>
      <c r="E1014" s="52" t="s">
        <v>6</v>
      </c>
      <c r="F1014" s="47" t="s">
        <v>2207</v>
      </c>
    </row>
    <row r="1015" spans="1:6" hidden="1" x14ac:dyDescent="0.2">
      <c r="A1015" s="44">
        <v>45963</v>
      </c>
      <c r="B1015" s="42" t="s">
        <v>546</v>
      </c>
      <c r="C1015" s="42">
        <v>44.95</v>
      </c>
      <c r="D1015" s="42" t="s">
        <v>514</v>
      </c>
      <c r="E1015" s="51" t="s">
        <v>6</v>
      </c>
      <c r="F1015" s="45" t="s">
        <v>2207</v>
      </c>
    </row>
    <row r="1016" spans="1:6" hidden="1" x14ac:dyDescent="0.2">
      <c r="A1016" s="46">
        <v>45960</v>
      </c>
      <c r="B1016" s="33" t="s">
        <v>562</v>
      </c>
      <c r="C1016" s="33">
        <v>44.02</v>
      </c>
      <c r="D1016" s="33" t="s">
        <v>514</v>
      </c>
      <c r="E1016" s="52" t="s">
        <v>6</v>
      </c>
      <c r="F1016" s="47" t="s">
        <v>2207</v>
      </c>
    </row>
    <row r="1017" spans="1:6" hidden="1" x14ac:dyDescent="0.2">
      <c r="A1017" s="44">
        <v>45958</v>
      </c>
      <c r="B1017" s="42" t="s">
        <v>570</v>
      </c>
      <c r="C1017" s="42">
        <v>37.92</v>
      </c>
      <c r="D1017" s="42" t="s">
        <v>514</v>
      </c>
      <c r="E1017" s="51" t="s">
        <v>6</v>
      </c>
      <c r="F1017" s="45" t="s">
        <v>2207</v>
      </c>
    </row>
    <row r="1018" spans="1:6" hidden="1" x14ac:dyDescent="0.2">
      <c r="A1018" s="46">
        <v>45954</v>
      </c>
      <c r="B1018" s="33" t="s">
        <v>546</v>
      </c>
      <c r="C1018" s="33">
        <v>140.33000000000001</v>
      </c>
      <c r="D1018" s="33" t="s">
        <v>514</v>
      </c>
      <c r="E1018" s="52" t="s">
        <v>6</v>
      </c>
      <c r="F1018" s="47" t="s">
        <v>2207</v>
      </c>
    </row>
    <row r="1019" spans="1:6" hidden="1" x14ac:dyDescent="0.2">
      <c r="A1019" s="44">
        <v>45954</v>
      </c>
      <c r="B1019" s="42" t="s">
        <v>546</v>
      </c>
      <c r="C1019" s="42">
        <v>186.46</v>
      </c>
      <c r="D1019" s="42" t="s">
        <v>514</v>
      </c>
      <c r="E1019" s="51" t="s">
        <v>6</v>
      </c>
      <c r="F1019" s="45" t="s">
        <v>2207</v>
      </c>
    </row>
    <row r="1020" spans="1:6" hidden="1" x14ac:dyDescent="0.2">
      <c r="A1020" s="46">
        <v>45951</v>
      </c>
      <c r="B1020" s="33" t="s">
        <v>570</v>
      </c>
      <c r="C1020" s="33">
        <v>34.020000000000003</v>
      </c>
      <c r="D1020" s="33" t="s">
        <v>514</v>
      </c>
      <c r="E1020" s="52" t="s">
        <v>6</v>
      </c>
      <c r="F1020" s="47" t="s">
        <v>2207</v>
      </c>
    </row>
    <row r="1021" spans="1:6" hidden="1" x14ac:dyDescent="0.2">
      <c r="A1021" s="44">
        <v>45947</v>
      </c>
      <c r="B1021" s="42" t="s">
        <v>546</v>
      </c>
      <c r="C1021" s="42">
        <v>32.67</v>
      </c>
      <c r="D1021" s="42" t="s">
        <v>514</v>
      </c>
      <c r="E1021" s="51" t="s">
        <v>6</v>
      </c>
      <c r="F1021" s="45" t="s">
        <v>2207</v>
      </c>
    </row>
    <row r="1022" spans="1:6" hidden="1" x14ac:dyDescent="0.2">
      <c r="A1022" s="46">
        <v>45944</v>
      </c>
      <c r="B1022" s="33" t="s">
        <v>570</v>
      </c>
      <c r="C1022" s="33">
        <v>37.42</v>
      </c>
      <c r="D1022" s="33" t="s">
        <v>514</v>
      </c>
      <c r="E1022" s="52" t="s">
        <v>6</v>
      </c>
      <c r="F1022" s="47" t="s">
        <v>2207</v>
      </c>
    </row>
    <row r="1023" spans="1:6" hidden="1" x14ac:dyDescent="0.2">
      <c r="A1023" s="44">
        <v>45941</v>
      </c>
      <c r="B1023" s="42" t="s">
        <v>562</v>
      </c>
      <c r="C1023" s="42">
        <v>51.17</v>
      </c>
      <c r="D1023" s="42" t="s">
        <v>514</v>
      </c>
      <c r="E1023" s="51" t="s">
        <v>6</v>
      </c>
      <c r="F1023" s="45" t="s">
        <v>2207</v>
      </c>
    </row>
    <row r="1024" spans="1:6" hidden="1" x14ac:dyDescent="0.2">
      <c r="A1024" s="46">
        <v>45937</v>
      </c>
      <c r="B1024" s="33" t="s">
        <v>570</v>
      </c>
      <c r="C1024" s="33">
        <v>62.48</v>
      </c>
      <c r="D1024" s="33" t="s">
        <v>514</v>
      </c>
      <c r="E1024" s="52" t="s">
        <v>6</v>
      </c>
      <c r="F1024" s="47" t="s">
        <v>2207</v>
      </c>
    </row>
    <row r="1025" spans="1:6" hidden="1" x14ac:dyDescent="0.2">
      <c r="A1025" s="44">
        <v>45935</v>
      </c>
      <c r="B1025" s="42" t="s">
        <v>546</v>
      </c>
      <c r="C1025" s="42">
        <v>490.15</v>
      </c>
      <c r="D1025" s="42" t="s">
        <v>514</v>
      </c>
      <c r="E1025" s="51" t="s">
        <v>6</v>
      </c>
      <c r="F1025" s="45" t="s">
        <v>2207</v>
      </c>
    </row>
    <row r="1026" spans="1:6" hidden="1" x14ac:dyDescent="0.2">
      <c r="A1026" s="46">
        <v>45933</v>
      </c>
      <c r="B1026" s="33" t="s">
        <v>562</v>
      </c>
      <c r="C1026" s="33">
        <v>13.98</v>
      </c>
      <c r="D1026" s="33" t="s">
        <v>514</v>
      </c>
      <c r="E1026" s="52" t="s">
        <v>6</v>
      </c>
      <c r="F1026" s="47" t="s">
        <v>2207</v>
      </c>
    </row>
    <row r="1027" spans="1:6" hidden="1" x14ac:dyDescent="0.2">
      <c r="A1027" s="44">
        <v>45933</v>
      </c>
      <c r="B1027" s="42" t="s">
        <v>546</v>
      </c>
      <c r="C1027" s="42">
        <v>51.4</v>
      </c>
      <c r="D1027" s="42" t="s">
        <v>514</v>
      </c>
      <c r="E1027" s="51" t="s">
        <v>6</v>
      </c>
      <c r="F1027" s="45" t="s">
        <v>2207</v>
      </c>
    </row>
    <row r="1028" spans="1:6" hidden="1" x14ac:dyDescent="0.2">
      <c r="A1028" s="46">
        <v>45974</v>
      </c>
      <c r="B1028" s="33" t="s">
        <v>542</v>
      </c>
      <c r="C1028" s="33">
        <v>192.94</v>
      </c>
      <c r="D1028" s="33" t="s">
        <v>514</v>
      </c>
      <c r="E1028" s="52" t="s">
        <v>6</v>
      </c>
      <c r="F1028" s="47" t="s">
        <v>2207</v>
      </c>
    </row>
    <row r="1029" spans="1:6" hidden="1" x14ac:dyDescent="0.2">
      <c r="A1029" s="44">
        <v>45964</v>
      </c>
      <c r="B1029" s="42" t="s">
        <v>520</v>
      </c>
      <c r="C1029" s="42">
        <v>99.3</v>
      </c>
      <c r="D1029" s="42" t="s">
        <v>514</v>
      </c>
      <c r="E1029" s="51" t="s">
        <v>6</v>
      </c>
      <c r="F1029" s="45" t="s">
        <v>2207</v>
      </c>
    </row>
    <row r="1030" spans="1:6" hidden="1" x14ac:dyDescent="0.2">
      <c r="A1030" s="46">
        <v>45962</v>
      </c>
      <c r="B1030" s="33" t="s">
        <v>542</v>
      </c>
      <c r="C1030" s="33">
        <v>374.47</v>
      </c>
      <c r="D1030" s="33" t="s">
        <v>514</v>
      </c>
      <c r="E1030" s="52" t="s">
        <v>6</v>
      </c>
      <c r="F1030" s="47" t="s">
        <v>2207</v>
      </c>
    </row>
    <row r="1031" spans="1:6" hidden="1" x14ac:dyDescent="0.2">
      <c r="A1031" s="44">
        <v>45957</v>
      </c>
      <c r="B1031" s="42" t="s">
        <v>520</v>
      </c>
      <c r="C1031" s="42">
        <v>345.44</v>
      </c>
      <c r="D1031" s="42" t="s">
        <v>514</v>
      </c>
      <c r="E1031" s="51" t="s">
        <v>6</v>
      </c>
      <c r="F1031" s="45" t="s">
        <v>2207</v>
      </c>
    </row>
    <row r="1032" spans="1:6" hidden="1" x14ac:dyDescent="0.2">
      <c r="A1032" s="46">
        <v>45957</v>
      </c>
      <c r="B1032" s="33" t="s">
        <v>520</v>
      </c>
      <c r="C1032" s="33">
        <v>157.99</v>
      </c>
      <c r="D1032" s="33" t="s">
        <v>514</v>
      </c>
      <c r="E1032" s="52" t="s">
        <v>6</v>
      </c>
      <c r="F1032" s="47" t="s">
        <v>2207</v>
      </c>
    </row>
    <row r="1033" spans="1:6" hidden="1" x14ac:dyDescent="0.2">
      <c r="A1033" s="44">
        <v>45957</v>
      </c>
      <c r="B1033" s="42" t="s">
        <v>520</v>
      </c>
      <c r="C1033" s="42">
        <v>1.66</v>
      </c>
      <c r="D1033" s="42" t="s">
        <v>514</v>
      </c>
      <c r="E1033" s="51" t="s">
        <v>6</v>
      </c>
      <c r="F1033" s="45" t="s">
        <v>2207</v>
      </c>
    </row>
    <row r="1034" spans="1:6" hidden="1" x14ac:dyDescent="0.2">
      <c r="A1034" s="46">
        <v>45944</v>
      </c>
      <c r="B1034" s="33" t="s">
        <v>542</v>
      </c>
      <c r="C1034" s="33">
        <v>381.6</v>
      </c>
      <c r="D1034" s="33" t="s">
        <v>514</v>
      </c>
      <c r="E1034" s="52" t="s">
        <v>6</v>
      </c>
      <c r="F1034" s="47" t="s">
        <v>2207</v>
      </c>
    </row>
    <row r="1035" spans="1:6" hidden="1" x14ac:dyDescent="0.2">
      <c r="A1035" s="44">
        <v>45942</v>
      </c>
      <c r="B1035" s="42" t="s">
        <v>530</v>
      </c>
      <c r="C1035" s="42">
        <v>34.03</v>
      </c>
      <c r="D1035" s="42" t="s">
        <v>514</v>
      </c>
      <c r="E1035" s="51" t="s">
        <v>6</v>
      </c>
      <c r="F1035" s="45" t="s">
        <v>2207</v>
      </c>
    </row>
    <row r="1036" spans="1:6" hidden="1" x14ac:dyDescent="0.2">
      <c r="A1036" s="46">
        <v>45934</v>
      </c>
      <c r="B1036" s="33" t="s">
        <v>520</v>
      </c>
      <c r="C1036" s="33">
        <v>115.16</v>
      </c>
      <c r="D1036" s="33" t="s">
        <v>514</v>
      </c>
      <c r="E1036" s="52" t="s">
        <v>6</v>
      </c>
      <c r="F1036" s="47" t="s">
        <v>2207</v>
      </c>
    </row>
    <row r="1037" spans="1:6" hidden="1" x14ac:dyDescent="0.2">
      <c r="A1037" s="44">
        <v>45942</v>
      </c>
      <c r="B1037" s="42" t="s">
        <v>1195</v>
      </c>
      <c r="C1037" s="42">
        <v>27</v>
      </c>
      <c r="D1037" s="42" t="s">
        <v>593</v>
      </c>
      <c r="E1037" s="51" t="s">
        <v>6</v>
      </c>
      <c r="F1037" s="45" t="s">
        <v>2207</v>
      </c>
    </row>
    <row r="1038" spans="1:6" hidden="1" x14ac:dyDescent="0.2">
      <c r="A1038" s="46">
        <v>45883</v>
      </c>
      <c r="B1038" s="33" t="s">
        <v>1725</v>
      </c>
      <c r="C1038" s="33">
        <v>20.97</v>
      </c>
      <c r="D1038" s="33" t="s">
        <v>593</v>
      </c>
      <c r="E1038" s="52" t="s">
        <v>6</v>
      </c>
      <c r="F1038" s="47" t="s">
        <v>2207</v>
      </c>
    </row>
    <row r="1039" spans="1:6" hidden="1" x14ac:dyDescent="0.2">
      <c r="A1039" s="44">
        <v>45810</v>
      </c>
      <c r="B1039" s="42" t="s">
        <v>1960</v>
      </c>
      <c r="C1039" s="42">
        <v>82.77</v>
      </c>
      <c r="D1039" s="42" t="s">
        <v>593</v>
      </c>
      <c r="E1039" s="51" t="s">
        <v>6</v>
      </c>
      <c r="F1039" s="45" t="s">
        <v>2207</v>
      </c>
    </row>
    <row r="1040" spans="1:6" hidden="1" x14ac:dyDescent="0.2">
      <c r="A1040" s="46">
        <v>45662</v>
      </c>
      <c r="B1040" s="33" t="s">
        <v>1725</v>
      </c>
      <c r="C1040" s="33">
        <v>20.97</v>
      </c>
      <c r="D1040" s="33" t="s">
        <v>593</v>
      </c>
      <c r="E1040" s="52" t="s">
        <v>6</v>
      </c>
      <c r="F1040" s="47" t="s">
        <v>2207</v>
      </c>
    </row>
    <row r="1041" spans="1:6" hidden="1" x14ac:dyDescent="0.2">
      <c r="A1041" s="44">
        <v>45984</v>
      </c>
      <c r="B1041" s="42" t="s">
        <v>592</v>
      </c>
      <c r="C1041" s="42">
        <v>29.99</v>
      </c>
      <c r="D1041" s="42" t="s">
        <v>593</v>
      </c>
      <c r="E1041" s="51" t="s">
        <v>6</v>
      </c>
      <c r="F1041" s="45" t="s">
        <v>2207</v>
      </c>
    </row>
    <row r="1042" spans="1:6" hidden="1" x14ac:dyDescent="0.2">
      <c r="A1042" s="46">
        <v>45979</v>
      </c>
      <c r="B1042" s="33" t="s">
        <v>592</v>
      </c>
      <c r="C1042" s="33">
        <v>14.33</v>
      </c>
      <c r="D1042" s="33" t="s">
        <v>593</v>
      </c>
      <c r="E1042" s="52" t="s">
        <v>6</v>
      </c>
      <c r="F1042" s="47" t="s">
        <v>2207</v>
      </c>
    </row>
    <row r="1043" spans="1:6" hidden="1" x14ac:dyDescent="0.2">
      <c r="A1043" s="44">
        <v>45974</v>
      </c>
      <c r="B1043" s="42" t="s">
        <v>592</v>
      </c>
      <c r="C1043" s="42">
        <v>4.4000000000000004</v>
      </c>
      <c r="D1043" s="42" t="s">
        <v>593</v>
      </c>
      <c r="E1043" s="51" t="s">
        <v>6</v>
      </c>
      <c r="F1043" s="45" t="s">
        <v>2207</v>
      </c>
    </row>
    <row r="1044" spans="1:6" hidden="1" x14ac:dyDescent="0.2">
      <c r="A1044" s="46">
        <v>45971</v>
      </c>
      <c r="B1044" s="33" t="s">
        <v>592</v>
      </c>
      <c r="C1044" s="33">
        <v>9.99</v>
      </c>
      <c r="D1044" s="33" t="s">
        <v>593</v>
      </c>
      <c r="E1044" s="52" t="s">
        <v>6</v>
      </c>
      <c r="F1044" s="47" t="s">
        <v>2207</v>
      </c>
    </row>
    <row r="1045" spans="1:6" hidden="1" x14ac:dyDescent="0.2">
      <c r="A1045" s="44">
        <v>45953</v>
      </c>
      <c r="B1045" s="42" t="s">
        <v>592</v>
      </c>
      <c r="C1045" s="42">
        <v>29.99</v>
      </c>
      <c r="D1045" s="42" t="s">
        <v>593</v>
      </c>
      <c r="E1045" s="51" t="s">
        <v>6</v>
      </c>
      <c r="F1045" s="45" t="s">
        <v>2207</v>
      </c>
    </row>
    <row r="1046" spans="1:6" hidden="1" x14ac:dyDescent="0.2">
      <c r="A1046" s="46">
        <v>45949</v>
      </c>
      <c r="B1046" s="33" t="s">
        <v>592</v>
      </c>
      <c r="C1046" s="33">
        <v>14.33</v>
      </c>
      <c r="D1046" s="33" t="s">
        <v>593</v>
      </c>
      <c r="E1046" s="52" t="s">
        <v>6</v>
      </c>
      <c r="F1046" s="47" t="s">
        <v>2207</v>
      </c>
    </row>
    <row r="1047" spans="1:6" hidden="1" x14ac:dyDescent="0.2">
      <c r="A1047" s="44">
        <v>45948</v>
      </c>
      <c r="B1047" s="42" t="s">
        <v>592</v>
      </c>
      <c r="C1047" s="42">
        <v>132.41</v>
      </c>
      <c r="D1047" s="42" t="s">
        <v>593</v>
      </c>
      <c r="E1047" s="51" t="s">
        <v>6</v>
      </c>
      <c r="F1047" s="45" t="s">
        <v>2207</v>
      </c>
    </row>
    <row r="1048" spans="1:6" hidden="1" x14ac:dyDescent="0.2">
      <c r="A1048" s="46">
        <v>45941</v>
      </c>
      <c r="B1048" s="33" t="s">
        <v>592</v>
      </c>
      <c r="C1048" s="33">
        <v>9.99</v>
      </c>
      <c r="D1048" s="33" t="s">
        <v>593</v>
      </c>
      <c r="E1048" s="52" t="s">
        <v>6</v>
      </c>
      <c r="F1048" s="47" t="s">
        <v>2207</v>
      </c>
    </row>
    <row r="1049" spans="1:6" hidden="1" x14ac:dyDescent="0.2">
      <c r="A1049" s="44">
        <v>45939</v>
      </c>
      <c r="B1049" s="42" t="s">
        <v>592</v>
      </c>
      <c r="C1049" s="42">
        <v>5.51</v>
      </c>
      <c r="D1049" s="42" t="s">
        <v>593</v>
      </c>
      <c r="E1049" s="51" t="s">
        <v>6</v>
      </c>
      <c r="F1049" s="45" t="s">
        <v>2207</v>
      </c>
    </row>
    <row r="1050" spans="1:6" hidden="1" x14ac:dyDescent="0.2">
      <c r="A1050" s="46">
        <v>45932</v>
      </c>
      <c r="B1050" s="33" t="s">
        <v>592</v>
      </c>
      <c r="C1050" s="33">
        <v>164.42</v>
      </c>
      <c r="D1050" s="33" t="s">
        <v>593</v>
      </c>
      <c r="E1050" s="52" t="s">
        <v>6</v>
      </c>
      <c r="F1050" s="47" t="s">
        <v>2207</v>
      </c>
    </row>
    <row r="1051" spans="1:6" hidden="1" x14ac:dyDescent="0.2">
      <c r="A1051" s="44">
        <v>45928</v>
      </c>
      <c r="B1051" s="62" t="s">
        <v>1545</v>
      </c>
      <c r="C1051" s="42">
        <v>1020</v>
      </c>
      <c r="D1051" s="42" t="s">
        <v>600</v>
      </c>
      <c r="E1051" s="51" t="s">
        <v>6</v>
      </c>
      <c r="F1051" s="45" t="s">
        <v>2207</v>
      </c>
    </row>
    <row r="1052" spans="1:6" hidden="1" x14ac:dyDescent="0.2">
      <c r="A1052" s="46">
        <v>45928</v>
      </c>
      <c r="B1052" s="48" t="s">
        <v>1545</v>
      </c>
      <c r="C1052" s="33">
        <v>680</v>
      </c>
      <c r="D1052" s="33" t="s">
        <v>600</v>
      </c>
      <c r="E1052" s="52" t="s">
        <v>6</v>
      </c>
      <c r="F1052" s="47" t="s">
        <v>2207</v>
      </c>
    </row>
    <row r="1053" spans="1:6" hidden="1" x14ac:dyDescent="0.2">
      <c r="A1053" s="44">
        <v>45925</v>
      </c>
      <c r="B1053" s="62" t="s">
        <v>1549</v>
      </c>
      <c r="C1053" s="42">
        <v>180</v>
      </c>
      <c r="D1053" s="42" t="s">
        <v>600</v>
      </c>
      <c r="E1053" s="51" t="s">
        <v>6</v>
      </c>
      <c r="F1053" s="45" t="s">
        <v>2207</v>
      </c>
    </row>
    <row r="1054" spans="1:6" hidden="1" x14ac:dyDescent="0.2">
      <c r="A1054" s="46">
        <v>45919</v>
      </c>
      <c r="B1054" s="48" t="s">
        <v>1639</v>
      </c>
      <c r="C1054" s="33">
        <v>200</v>
      </c>
      <c r="D1054" s="33" t="s">
        <v>600</v>
      </c>
      <c r="E1054" s="52" t="s">
        <v>6</v>
      </c>
      <c r="F1054" s="47" t="s">
        <v>2207</v>
      </c>
    </row>
    <row r="1055" spans="1:6" hidden="1" x14ac:dyDescent="0.2">
      <c r="A1055" s="44">
        <v>45904</v>
      </c>
      <c r="B1055" s="62" t="s">
        <v>1549</v>
      </c>
      <c r="C1055" s="42">
        <v>180</v>
      </c>
      <c r="D1055" s="42" t="s">
        <v>600</v>
      </c>
      <c r="E1055" s="51" t="s">
        <v>6</v>
      </c>
      <c r="F1055" s="45" t="s">
        <v>2207</v>
      </c>
    </row>
    <row r="1056" spans="1:6" hidden="1" x14ac:dyDescent="0.2">
      <c r="A1056" s="46">
        <v>45898</v>
      </c>
      <c r="B1056" s="48" t="s">
        <v>1549</v>
      </c>
      <c r="C1056" s="33">
        <v>180</v>
      </c>
      <c r="D1056" s="33" t="s">
        <v>600</v>
      </c>
      <c r="E1056" s="52" t="s">
        <v>6</v>
      </c>
      <c r="F1056" s="47" t="s">
        <v>2207</v>
      </c>
    </row>
    <row r="1057" spans="1:6" hidden="1" x14ac:dyDescent="0.2">
      <c r="A1057" s="44">
        <v>45893</v>
      </c>
      <c r="B1057" s="62" t="s">
        <v>1698</v>
      </c>
      <c r="C1057" s="42">
        <v>250</v>
      </c>
      <c r="D1057" s="42" t="s">
        <v>600</v>
      </c>
      <c r="E1057" s="51" t="s">
        <v>6</v>
      </c>
      <c r="F1057" s="45" t="s">
        <v>2207</v>
      </c>
    </row>
    <row r="1058" spans="1:6" hidden="1" x14ac:dyDescent="0.2">
      <c r="A1058" s="46">
        <v>45891</v>
      </c>
      <c r="B1058" s="48" t="s">
        <v>1549</v>
      </c>
      <c r="C1058" s="33">
        <v>180</v>
      </c>
      <c r="D1058" s="33" t="s">
        <v>600</v>
      </c>
      <c r="E1058" s="52" t="s">
        <v>6</v>
      </c>
      <c r="F1058" s="47" t="s">
        <v>2207</v>
      </c>
    </row>
    <row r="1059" spans="1:6" hidden="1" x14ac:dyDescent="0.2">
      <c r="A1059" s="44">
        <v>45890</v>
      </c>
      <c r="B1059" s="62" t="s">
        <v>1549</v>
      </c>
      <c r="C1059" s="42">
        <v>180</v>
      </c>
      <c r="D1059" s="42" t="s">
        <v>600</v>
      </c>
      <c r="E1059" s="51" t="s">
        <v>6</v>
      </c>
      <c r="F1059" s="45" t="s">
        <v>2207</v>
      </c>
    </row>
    <row r="1060" spans="1:6" hidden="1" x14ac:dyDescent="0.2">
      <c r="A1060" s="46">
        <v>45884</v>
      </c>
      <c r="B1060" s="48" t="s">
        <v>1549</v>
      </c>
      <c r="C1060" s="33">
        <v>180</v>
      </c>
      <c r="D1060" s="33" t="s">
        <v>600</v>
      </c>
      <c r="E1060" s="52" t="s">
        <v>6</v>
      </c>
      <c r="F1060" s="47" t="s">
        <v>2207</v>
      </c>
    </row>
    <row r="1061" spans="1:6" hidden="1" x14ac:dyDescent="0.2">
      <c r="A1061" s="44">
        <v>45884</v>
      </c>
      <c r="B1061" s="62" t="s">
        <v>1549</v>
      </c>
      <c r="C1061" s="42">
        <v>180</v>
      </c>
      <c r="D1061" s="42" t="s">
        <v>600</v>
      </c>
      <c r="E1061" s="51" t="s">
        <v>6</v>
      </c>
      <c r="F1061" s="45" t="s">
        <v>2207</v>
      </c>
    </row>
    <row r="1062" spans="1:6" hidden="1" x14ac:dyDescent="0.2">
      <c r="A1062" s="46">
        <v>45881</v>
      </c>
      <c r="B1062" s="48" t="s">
        <v>1734</v>
      </c>
      <c r="C1062" s="33">
        <v>18</v>
      </c>
      <c r="D1062" s="33" t="s">
        <v>600</v>
      </c>
      <c r="E1062" s="52" t="s">
        <v>6</v>
      </c>
      <c r="F1062" s="47" t="s">
        <v>2207</v>
      </c>
    </row>
    <row r="1063" spans="1:6" hidden="1" x14ac:dyDescent="0.2">
      <c r="A1063" s="44">
        <v>45877</v>
      </c>
      <c r="B1063" s="62" t="s">
        <v>1549</v>
      </c>
      <c r="C1063" s="42">
        <v>180</v>
      </c>
      <c r="D1063" s="42" t="s">
        <v>600</v>
      </c>
      <c r="E1063" s="51" t="s">
        <v>6</v>
      </c>
      <c r="F1063" s="45" t="s">
        <v>2207</v>
      </c>
    </row>
    <row r="1064" spans="1:6" hidden="1" x14ac:dyDescent="0.2">
      <c r="A1064" s="46">
        <v>45863</v>
      </c>
      <c r="B1064" s="48" t="s">
        <v>1549</v>
      </c>
      <c r="C1064" s="33">
        <v>180</v>
      </c>
      <c r="D1064" s="33" t="s">
        <v>600</v>
      </c>
      <c r="E1064" s="52" t="s">
        <v>6</v>
      </c>
      <c r="F1064" s="47" t="s">
        <v>2207</v>
      </c>
    </row>
    <row r="1065" spans="1:6" hidden="1" x14ac:dyDescent="0.2">
      <c r="A1065" s="44">
        <v>45862</v>
      </c>
      <c r="B1065" s="62" t="s">
        <v>1549</v>
      </c>
      <c r="C1065" s="42">
        <v>180</v>
      </c>
      <c r="D1065" s="42" t="s">
        <v>600</v>
      </c>
      <c r="E1065" s="51" t="s">
        <v>6</v>
      </c>
      <c r="F1065" s="45" t="s">
        <v>2207</v>
      </c>
    </row>
    <row r="1066" spans="1:6" hidden="1" x14ac:dyDescent="0.2">
      <c r="A1066" s="46">
        <v>45856</v>
      </c>
      <c r="B1066" s="48" t="s">
        <v>1549</v>
      </c>
      <c r="C1066" s="33">
        <v>180</v>
      </c>
      <c r="D1066" s="33" t="s">
        <v>600</v>
      </c>
      <c r="E1066" s="52" t="s">
        <v>6</v>
      </c>
      <c r="F1066" s="47" t="s">
        <v>2207</v>
      </c>
    </row>
    <row r="1067" spans="1:6" hidden="1" x14ac:dyDescent="0.2">
      <c r="A1067" s="44">
        <v>45855</v>
      </c>
      <c r="B1067" s="42" t="s">
        <v>1829</v>
      </c>
      <c r="C1067" s="42">
        <v>170</v>
      </c>
      <c r="D1067" s="42" t="s">
        <v>600</v>
      </c>
      <c r="E1067" s="51" t="s">
        <v>6</v>
      </c>
      <c r="F1067" s="45" t="s">
        <v>2207</v>
      </c>
    </row>
    <row r="1068" spans="1:6" hidden="1" x14ac:dyDescent="0.2">
      <c r="A1068" s="46">
        <v>45855</v>
      </c>
      <c r="B1068" s="48" t="s">
        <v>1549</v>
      </c>
      <c r="C1068" s="33">
        <v>180</v>
      </c>
      <c r="D1068" s="33" t="s">
        <v>600</v>
      </c>
      <c r="E1068" s="52" t="s">
        <v>6</v>
      </c>
      <c r="F1068" s="47" t="s">
        <v>2207</v>
      </c>
    </row>
    <row r="1069" spans="1:6" hidden="1" x14ac:dyDescent="0.2">
      <c r="A1069" s="44">
        <v>45850</v>
      </c>
      <c r="B1069" s="62" t="s">
        <v>1734</v>
      </c>
      <c r="C1069" s="42">
        <v>18</v>
      </c>
      <c r="D1069" s="42" t="s">
        <v>600</v>
      </c>
      <c r="E1069" s="51" t="s">
        <v>6</v>
      </c>
      <c r="F1069" s="45" t="s">
        <v>2207</v>
      </c>
    </row>
    <row r="1070" spans="1:6" hidden="1" x14ac:dyDescent="0.2">
      <c r="A1070" s="46">
        <v>45848</v>
      </c>
      <c r="B1070" s="48" t="s">
        <v>1549</v>
      </c>
      <c r="C1070" s="33">
        <v>180</v>
      </c>
      <c r="D1070" s="33" t="s">
        <v>600</v>
      </c>
      <c r="E1070" s="52" t="s">
        <v>6</v>
      </c>
      <c r="F1070" s="47" t="s">
        <v>2207</v>
      </c>
    </row>
    <row r="1071" spans="1:6" hidden="1" x14ac:dyDescent="0.2">
      <c r="A1071" s="44">
        <v>45841</v>
      </c>
      <c r="B1071" s="62" t="s">
        <v>1549</v>
      </c>
      <c r="C1071" s="42">
        <v>180</v>
      </c>
      <c r="D1071" s="42" t="s">
        <v>600</v>
      </c>
      <c r="E1071" s="51" t="s">
        <v>6</v>
      </c>
      <c r="F1071" s="45" t="s">
        <v>2207</v>
      </c>
    </row>
    <row r="1072" spans="1:6" hidden="1" x14ac:dyDescent="0.2">
      <c r="A1072" s="46">
        <v>45841</v>
      </c>
      <c r="B1072" s="48" t="s">
        <v>1549</v>
      </c>
      <c r="C1072" s="33">
        <v>180</v>
      </c>
      <c r="D1072" s="33" t="s">
        <v>600</v>
      </c>
      <c r="E1072" s="52" t="s">
        <v>6</v>
      </c>
      <c r="F1072" s="47" t="s">
        <v>2207</v>
      </c>
    </row>
    <row r="1073" spans="1:6" hidden="1" x14ac:dyDescent="0.2">
      <c r="A1073" s="44">
        <v>45839</v>
      </c>
      <c r="B1073" s="62" t="s">
        <v>1639</v>
      </c>
      <c r="C1073" s="42">
        <v>180</v>
      </c>
      <c r="D1073" s="42" t="s">
        <v>600</v>
      </c>
      <c r="E1073" s="51" t="s">
        <v>6</v>
      </c>
      <c r="F1073" s="45" t="s">
        <v>2207</v>
      </c>
    </row>
    <row r="1074" spans="1:6" hidden="1" x14ac:dyDescent="0.2">
      <c r="A1074" s="46">
        <v>45838</v>
      </c>
      <c r="B1074" s="48" t="s">
        <v>1871</v>
      </c>
      <c r="C1074" s="33">
        <v>96.99</v>
      </c>
      <c r="D1074" s="33" t="s">
        <v>600</v>
      </c>
      <c r="E1074" s="52" t="s">
        <v>6</v>
      </c>
      <c r="F1074" s="47" t="s">
        <v>2207</v>
      </c>
    </row>
    <row r="1075" spans="1:6" hidden="1" x14ac:dyDescent="0.2">
      <c r="A1075" s="44">
        <v>45824</v>
      </c>
      <c r="B1075" s="42" t="s">
        <v>1931</v>
      </c>
      <c r="C1075" s="42">
        <v>32.979999999999997</v>
      </c>
      <c r="D1075" s="42" t="s">
        <v>600</v>
      </c>
      <c r="E1075" s="51" t="s">
        <v>6</v>
      </c>
      <c r="F1075" s="45" t="s">
        <v>2207</v>
      </c>
    </row>
    <row r="1076" spans="1:6" hidden="1" x14ac:dyDescent="0.2">
      <c r="A1076" s="46">
        <v>45822</v>
      </c>
      <c r="B1076" s="48" t="s">
        <v>1545</v>
      </c>
      <c r="C1076" s="33">
        <v>680</v>
      </c>
      <c r="D1076" s="33" t="s">
        <v>600</v>
      </c>
      <c r="E1076" s="52" t="s">
        <v>6</v>
      </c>
      <c r="F1076" s="47" t="s">
        <v>2207</v>
      </c>
    </row>
    <row r="1077" spans="1:6" hidden="1" x14ac:dyDescent="0.2">
      <c r="A1077" s="44">
        <v>45822</v>
      </c>
      <c r="B1077" s="62" t="s">
        <v>1545</v>
      </c>
      <c r="C1077" s="42">
        <v>1020</v>
      </c>
      <c r="D1077" s="42" t="s">
        <v>600</v>
      </c>
      <c r="E1077" s="51" t="s">
        <v>6</v>
      </c>
      <c r="F1077" s="45" t="s">
        <v>2207</v>
      </c>
    </row>
    <row r="1078" spans="1:6" hidden="1" x14ac:dyDescent="0.2">
      <c r="A1078" s="46">
        <v>45822</v>
      </c>
      <c r="B1078" s="48" t="s">
        <v>1545</v>
      </c>
      <c r="C1078" s="33">
        <v>1700</v>
      </c>
      <c r="D1078" s="33" t="s">
        <v>600</v>
      </c>
      <c r="E1078" s="52" t="s">
        <v>6</v>
      </c>
      <c r="F1078" s="47" t="s">
        <v>2207</v>
      </c>
    </row>
    <row r="1079" spans="1:6" hidden="1" x14ac:dyDescent="0.2">
      <c r="A1079" s="44">
        <v>45821</v>
      </c>
      <c r="B1079" s="62" t="s">
        <v>1549</v>
      </c>
      <c r="C1079" s="42">
        <v>180</v>
      </c>
      <c r="D1079" s="42" t="s">
        <v>600</v>
      </c>
      <c r="E1079" s="51" t="s">
        <v>6</v>
      </c>
      <c r="F1079" s="45" t="s">
        <v>2207</v>
      </c>
    </row>
    <row r="1080" spans="1:6" hidden="1" x14ac:dyDescent="0.2">
      <c r="A1080" s="46">
        <v>45821</v>
      </c>
      <c r="B1080" s="48" t="s">
        <v>1549</v>
      </c>
      <c r="C1080" s="33">
        <v>180</v>
      </c>
      <c r="D1080" s="33" t="s">
        <v>600</v>
      </c>
      <c r="E1080" s="52" t="s">
        <v>6</v>
      </c>
      <c r="F1080" s="47" t="s">
        <v>2207</v>
      </c>
    </row>
    <row r="1081" spans="1:6" hidden="1" x14ac:dyDescent="0.2">
      <c r="A1081" s="44">
        <v>45820</v>
      </c>
      <c r="B1081" s="62" t="s">
        <v>1734</v>
      </c>
      <c r="C1081" s="42">
        <v>18</v>
      </c>
      <c r="D1081" s="42" t="s">
        <v>600</v>
      </c>
      <c r="E1081" s="51" t="s">
        <v>6</v>
      </c>
      <c r="F1081" s="45" t="s">
        <v>2207</v>
      </c>
    </row>
    <row r="1082" spans="1:6" hidden="1" x14ac:dyDescent="0.2">
      <c r="A1082" s="46">
        <v>45817</v>
      </c>
      <c r="B1082" s="33" t="s">
        <v>1609</v>
      </c>
      <c r="C1082" s="33">
        <v>166.85</v>
      </c>
      <c r="D1082" s="33" t="s">
        <v>600</v>
      </c>
      <c r="E1082" s="52" t="s">
        <v>6</v>
      </c>
      <c r="F1082" s="47" t="s">
        <v>2207</v>
      </c>
    </row>
    <row r="1083" spans="1:6" hidden="1" x14ac:dyDescent="0.2">
      <c r="A1083" s="44">
        <v>45815</v>
      </c>
      <c r="B1083" s="62" t="s">
        <v>1639</v>
      </c>
      <c r="C1083" s="42">
        <v>200</v>
      </c>
      <c r="D1083" s="42" t="s">
        <v>600</v>
      </c>
      <c r="E1083" s="51" t="s">
        <v>6</v>
      </c>
      <c r="F1083" s="45" t="s">
        <v>2207</v>
      </c>
    </row>
    <row r="1084" spans="1:6" hidden="1" x14ac:dyDescent="0.2">
      <c r="A1084" s="46">
        <v>45815</v>
      </c>
      <c r="B1084" s="48" t="s">
        <v>1549</v>
      </c>
      <c r="C1084" s="33">
        <v>180</v>
      </c>
      <c r="D1084" s="33" t="s">
        <v>600</v>
      </c>
      <c r="E1084" s="52" t="s">
        <v>6</v>
      </c>
      <c r="F1084" s="47" t="s">
        <v>2207</v>
      </c>
    </row>
    <row r="1085" spans="1:6" hidden="1" x14ac:dyDescent="0.2">
      <c r="A1085" s="44">
        <v>45813</v>
      </c>
      <c r="B1085" s="62" t="s">
        <v>1549</v>
      </c>
      <c r="C1085" s="42">
        <v>180</v>
      </c>
      <c r="D1085" s="42" t="s">
        <v>600</v>
      </c>
      <c r="E1085" s="51" t="s">
        <v>6</v>
      </c>
      <c r="F1085" s="45" t="s">
        <v>2207</v>
      </c>
    </row>
    <row r="1086" spans="1:6" hidden="1" x14ac:dyDescent="0.2">
      <c r="A1086" s="46">
        <v>45812</v>
      </c>
      <c r="B1086" s="33" t="s">
        <v>1958</v>
      </c>
      <c r="C1086" s="33">
        <v>4</v>
      </c>
      <c r="D1086" s="33" t="s">
        <v>600</v>
      </c>
      <c r="E1086" s="52" t="s">
        <v>6</v>
      </c>
      <c r="F1086" s="47" t="s">
        <v>2207</v>
      </c>
    </row>
    <row r="1087" spans="1:6" hidden="1" x14ac:dyDescent="0.2">
      <c r="A1087" s="44">
        <v>45807</v>
      </c>
      <c r="B1087" s="62" t="s">
        <v>1549</v>
      </c>
      <c r="C1087" s="42">
        <v>180</v>
      </c>
      <c r="D1087" s="42" t="s">
        <v>600</v>
      </c>
      <c r="E1087" s="51" t="s">
        <v>6</v>
      </c>
      <c r="F1087" s="45" t="s">
        <v>2207</v>
      </c>
    </row>
    <row r="1088" spans="1:6" hidden="1" x14ac:dyDescent="0.2">
      <c r="A1088" s="46">
        <v>45806</v>
      </c>
      <c r="B1088" s="48" t="s">
        <v>1549</v>
      </c>
      <c r="C1088" s="33">
        <v>180</v>
      </c>
      <c r="D1088" s="33" t="s">
        <v>600</v>
      </c>
      <c r="E1088" s="52" t="s">
        <v>6</v>
      </c>
      <c r="F1088" s="47" t="s">
        <v>2207</v>
      </c>
    </row>
    <row r="1089" spans="1:6" hidden="1" x14ac:dyDescent="0.2">
      <c r="A1089" s="44">
        <v>45800</v>
      </c>
      <c r="B1089" s="62" t="s">
        <v>1549</v>
      </c>
      <c r="C1089" s="42">
        <v>180</v>
      </c>
      <c r="D1089" s="42" t="s">
        <v>600</v>
      </c>
      <c r="E1089" s="51" t="s">
        <v>6</v>
      </c>
      <c r="F1089" s="45" t="s">
        <v>2207</v>
      </c>
    </row>
    <row r="1090" spans="1:6" hidden="1" x14ac:dyDescent="0.2">
      <c r="A1090" s="46">
        <v>45799</v>
      </c>
      <c r="B1090" s="48" t="s">
        <v>1549</v>
      </c>
      <c r="C1090" s="33">
        <v>180</v>
      </c>
      <c r="D1090" s="33" t="s">
        <v>600</v>
      </c>
      <c r="E1090" s="52" t="s">
        <v>6</v>
      </c>
      <c r="F1090" s="47" t="s">
        <v>2207</v>
      </c>
    </row>
    <row r="1091" spans="1:6" hidden="1" x14ac:dyDescent="0.2">
      <c r="A1091" s="44">
        <v>45793</v>
      </c>
      <c r="B1091" s="62" t="s">
        <v>1549</v>
      </c>
      <c r="C1091" s="42">
        <v>180</v>
      </c>
      <c r="D1091" s="42" t="s">
        <v>600</v>
      </c>
      <c r="E1091" s="51" t="s">
        <v>6</v>
      </c>
      <c r="F1091" s="45" t="s">
        <v>2207</v>
      </c>
    </row>
    <row r="1092" spans="1:6" hidden="1" x14ac:dyDescent="0.2">
      <c r="A1092" s="46">
        <v>45792</v>
      </c>
      <c r="B1092" s="48" t="s">
        <v>1549</v>
      </c>
      <c r="C1092" s="33">
        <v>180</v>
      </c>
      <c r="D1092" s="33" t="s">
        <v>600</v>
      </c>
      <c r="E1092" s="52" t="s">
        <v>6</v>
      </c>
      <c r="F1092" s="47" t="s">
        <v>2207</v>
      </c>
    </row>
    <row r="1093" spans="1:6" hidden="1" x14ac:dyDescent="0.2">
      <c r="A1093" s="44">
        <v>45791</v>
      </c>
      <c r="B1093" s="62" t="s">
        <v>1698</v>
      </c>
      <c r="C1093" s="42">
        <v>250</v>
      </c>
      <c r="D1093" s="42" t="s">
        <v>600</v>
      </c>
      <c r="E1093" s="51" t="s">
        <v>6</v>
      </c>
      <c r="F1093" s="45" t="s">
        <v>2207</v>
      </c>
    </row>
    <row r="1094" spans="1:6" hidden="1" x14ac:dyDescent="0.2">
      <c r="A1094" s="46">
        <v>45789</v>
      </c>
      <c r="B1094" s="48" t="s">
        <v>1734</v>
      </c>
      <c r="C1094" s="33">
        <v>18</v>
      </c>
      <c r="D1094" s="33" t="s">
        <v>600</v>
      </c>
      <c r="E1094" s="52" t="s">
        <v>6</v>
      </c>
      <c r="F1094" s="47" t="s">
        <v>2207</v>
      </c>
    </row>
    <row r="1095" spans="1:6" hidden="1" x14ac:dyDescent="0.2">
      <c r="A1095" s="44">
        <v>45786</v>
      </c>
      <c r="B1095" s="62" t="s">
        <v>1639</v>
      </c>
      <c r="C1095" s="42">
        <v>200</v>
      </c>
      <c r="D1095" s="42" t="s">
        <v>600</v>
      </c>
      <c r="E1095" s="51" t="s">
        <v>6</v>
      </c>
      <c r="F1095" s="45" t="s">
        <v>2207</v>
      </c>
    </row>
    <row r="1096" spans="1:6" hidden="1" x14ac:dyDescent="0.2">
      <c r="A1096" s="46">
        <v>45786</v>
      </c>
      <c r="B1096" s="48" t="s">
        <v>1549</v>
      </c>
      <c r="C1096" s="33">
        <v>180</v>
      </c>
      <c r="D1096" s="33" t="s">
        <v>600</v>
      </c>
      <c r="E1096" s="52" t="s">
        <v>6</v>
      </c>
      <c r="F1096" s="47" t="s">
        <v>2207</v>
      </c>
    </row>
    <row r="1097" spans="1:6" hidden="1" x14ac:dyDescent="0.2">
      <c r="A1097" s="44">
        <v>45778</v>
      </c>
      <c r="B1097" s="62" t="s">
        <v>1549</v>
      </c>
      <c r="C1097" s="42">
        <v>180</v>
      </c>
      <c r="D1097" s="42" t="s">
        <v>600</v>
      </c>
      <c r="E1097" s="51" t="s">
        <v>6</v>
      </c>
      <c r="F1097" s="45" t="s">
        <v>2207</v>
      </c>
    </row>
    <row r="1098" spans="1:6" hidden="1" x14ac:dyDescent="0.2">
      <c r="A1098" s="46">
        <v>45771</v>
      </c>
      <c r="B1098" s="48" t="s">
        <v>1549</v>
      </c>
      <c r="C1098" s="33">
        <v>180</v>
      </c>
      <c r="D1098" s="33" t="s">
        <v>600</v>
      </c>
      <c r="E1098" s="52" t="s">
        <v>6</v>
      </c>
      <c r="F1098" s="47" t="s">
        <v>2207</v>
      </c>
    </row>
    <row r="1099" spans="1:6" hidden="1" x14ac:dyDescent="0.2">
      <c r="A1099" s="44">
        <v>45765</v>
      </c>
      <c r="B1099" s="42" t="s">
        <v>2034</v>
      </c>
      <c r="C1099" s="42">
        <v>25.49</v>
      </c>
      <c r="D1099" s="42" t="s">
        <v>600</v>
      </c>
      <c r="E1099" s="51" t="s">
        <v>6</v>
      </c>
      <c r="F1099" s="45" t="s">
        <v>2207</v>
      </c>
    </row>
    <row r="1100" spans="1:6" hidden="1" x14ac:dyDescent="0.2">
      <c r="A1100" s="46">
        <v>45765</v>
      </c>
      <c r="B1100" s="48" t="s">
        <v>1549</v>
      </c>
      <c r="C1100" s="33">
        <v>180</v>
      </c>
      <c r="D1100" s="33" t="s">
        <v>600</v>
      </c>
      <c r="E1100" s="52" t="s">
        <v>6</v>
      </c>
      <c r="F1100" s="47" t="s">
        <v>2207</v>
      </c>
    </row>
    <row r="1101" spans="1:6" hidden="1" x14ac:dyDescent="0.2">
      <c r="A1101" s="44">
        <v>45759</v>
      </c>
      <c r="B1101" s="62" t="s">
        <v>1734</v>
      </c>
      <c r="C1101" s="42">
        <v>18</v>
      </c>
      <c r="D1101" s="42" t="s">
        <v>600</v>
      </c>
      <c r="E1101" s="51" t="s">
        <v>6</v>
      </c>
      <c r="F1101" s="45" t="s">
        <v>2207</v>
      </c>
    </row>
    <row r="1102" spans="1:6" hidden="1" x14ac:dyDescent="0.2">
      <c r="A1102" s="46">
        <v>45758</v>
      </c>
      <c r="B1102" s="48" t="s">
        <v>1549</v>
      </c>
      <c r="C1102" s="33">
        <v>180</v>
      </c>
      <c r="D1102" s="33" t="s">
        <v>600</v>
      </c>
      <c r="E1102" s="52" t="s">
        <v>6</v>
      </c>
      <c r="F1102" s="47" t="s">
        <v>2207</v>
      </c>
    </row>
    <row r="1103" spans="1:6" hidden="1" x14ac:dyDescent="0.2">
      <c r="A1103" s="44">
        <v>45755</v>
      </c>
      <c r="B1103" s="42" t="s">
        <v>2044</v>
      </c>
      <c r="C1103" s="42">
        <v>7.86</v>
      </c>
      <c r="D1103" s="42" t="s">
        <v>600</v>
      </c>
      <c r="E1103" s="51" t="s">
        <v>6</v>
      </c>
      <c r="F1103" s="45" t="s">
        <v>2207</v>
      </c>
    </row>
    <row r="1104" spans="1:6" hidden="1" x14ac:dyDescent="0.2">
      <c r="A1104" s="46">
        <v>45751</v>
      </c>
      <c r="B1104" s="48" t="s">
        <v>1639</v>
      </c>
      <c r="C1104" s="33">
        <v>200</v>
      </c>
      <c r="D1104" s="33" t="s">
        <v>600</v>
      </c>
      <c r="E1104" s="52" t="s">
        <v>6</v>
      </c>
      <c r="F1104" s="47" t="s">
        <v>2207</v>
      </c>
    </row>
    <row r="1105" spans="1:6" hidden="1" x14ac:dyDescent="0.2">
      <c r="A1105" s="44">
        <v>45747</v>
      </c>
      <c r="B1105" s="62" t="s">
        <v>1698</v>
      </c>
      <c r="C1105" s="42">
        <v>250</v>
      </c>
      <c r="D1105" s="42" t="s">
        <v>600</v>
      </c>
      <c r="E1105" s="51" t="s">
        <v>6</v>
      </c>
      <c r="F1105" s="45" t="s">
        <v>2207</v>
      </c>
    </row>
    <row r="1106" spans="1:6" hidden="1" x14ac:dyDescent="0.2">
      <c r="A1106" s="46">
        <v>45744</v>
      </c>
      <c r="B1106" s="48" t="s">
        <v>1549</v>
      </c>
      <c r="C1106" s="33">
        <v>180</v>
      </c>
      <c r="D1106" s="33" t="s">
        <v>600</v>
      </c>
      <c r="E1106" s="52" t="s">
        <v>6</v>
      </c>
      <c r="F1106" s="47" t="s">
        <v>2207</v>
      </c>
    </row>
    <row r="1107" spans="1:6" hidden="1" x14ac:dyDescent="0.2">
      <c r="A1107" s="44">
        <v>45739</v>
      </c>
      <c r="B1107" s="42" t="s">
        <v>2072</v>
      </c>
      <c r="C1107" s="42">
        <v>259.5</v>
      </c>
      <c r="D1107" s="42" t="s">
        <v>600</v>
      </c>
      <c r="E1107" s="51" t="s">
        <v>6</v>
      </c>
      <c r="F1107" s="45" t="s">
        <v>2207</v>
      </c>
    </row>
    <row r="1108" spans="1:6" hidden="1" x14ac:dyDescent="0.2">
      <c r="A1108" s="46">
        <v>45739</v>
      </c>
      <c r="B1108" s="33" t="s">
        <v>2072</v>
      </c>
      <c r="C1108" s="33">
        <v>1427.5</v>
      </c>
      <c r="D1108" s="33" t="s">
        <v>600</v>
      </c>
      <c r="E1108" s="52" t="s">
        <v>6</v>
      </c>
      <c r="F1108" s="47" t="s">
        <v>2207</v>
      </c>
    </row>
    <row r="1109" spans="1:6" hidden="1" x14ac:dyDescent="0.2">
      <c r="A1109" s="44">
        <v>45737</v>
      </c>
      <c r="B1109" s="62" t="s">
        <v>1545</v>
      </c>
      <c r="C1109" s="42">
        <v>1020</v>
      </c>
      <c r="D1109" s="42" t="s">
        <v>600</v>
      </c>
      <c r="E1109" s="51" t="s">
        <v>6</v>
      </c>
      <c r="F1109" s="45" t="s">
        <v>2207</v>
      </c>
    </row>
    <row r="1110" spans="1:6" hidden="1" x14ac:dyDescent="0.2">
      <c r="A1110" s="46">
        <v>45737</v>
      </c>
      <c r="B1110" s="48" t="s">
        <v>1549</v>
      </c>
      <c r="C1110" s="33">
        <v>180</v>
      </c>
      <c r="D1110" s="33" t="s">
        <v>600</v>
      </c>
      <c r="E1110" s="52" t="s">
        <v>6</v>
      </c>
      <c r="F1110" s="47" t="s">
        <v>2207</v>
      </c>
    </row>
    <row r="1111" spans="1:6" hidden="1" x14ac:dyDescent="0.2">
      <c r="A1111" s="44">
        <v>45736</v>
      </c>
      <c r="B1111" s="62" t="s">
        <v>1549</v>
      </c>
      <c r="C1111" s="42">
        <v>180</v>
      </c>
      <c r="D1111" s="42" t="s">
        <v>600</v>
      </c>
      <c r="E1111" s="51" t="s">
        <v>6</v>
      </c>
      <c r="F1111" s="45" t="s">
        <v>2207</v>
      </c>
    </row>
    <row r="1112" spans="1:6" hidden="1" x14ac:dyDescent="0.2">
      <c r="A1112" s="46">
        <v>45730</v>
      </c>
      <c r="B1112" s="48" t="s">
        <v>1549</v>
      </c>
      <c r="C1112" s="33">
        <v>180</v>
      </c>
      <c r="D1112" s="33" t="s">
        <v>600</v>
      </c>
      <c r="E1112" s="52" t="s">
        <v>6</v>
      </c>
      <c r="F1112" s="47" t="s">
        <v>2207</v>
      </c>
    </row>
    <row r="1113" spans="1:6" hidden="1" x14ac:dyDescent="0.2">
      <c r="A1113" s="44">
        <v>45729</v>
      </c>
      <c r="B1113" s="62" t="s">
        <v>1549</v>
      </c>
      <c r="C1113" s="42">
        <v>180</v>
      </c>
      <c r="D1113" s="42" t="s">
        <v>600</v>
      </c>
      <c r="E1113" s="51" t="s">
        <v>6</v>
      </c>
      <c r="F1113" s="45" t="s">
        <v>2207</v>
      </c>
    </row>
    <row r="1114" spans="1:6" hidden="1" x14ac:dyDescent="0.2">
      <c r="A1114" s="46">
        <v>45729</v>
      </c>
      <c r="B1114" s="33" t="s">
        <v>2087</v>
      </c>
      <c r="C1114" s="33">
        <v>351.48</v>
      </c>
      <c r="D1114" s="33" t="s">
        <v>600</v>
      </c>
      <c r="E1114" s="52" t="s">
        <v>6</v>
      </c>
      <c r="F1114" s="47" t="s">
        <v>2207</v>
      </c>
    </row>
    <row r="1115" spans="1:6" hidden="1" x14ac:dyDescent="0.2">
      <c r="A1115" s="44">
        <v>45728</v>
      </c>
      <c r="B1115" s="62" t="s">
        <v>1734</v>
      </c>
      <c r="C1115" s="42">
        <v>18</v>
      </c>
      <c r="D1115" s="42" t="s">
        <v>600</v>
      </c>
      <c r="E1115" s="51" t="s">
        <v>6</v>
      </c>
      <c r="F1115" s="45" t="s">
        <v>2207</v>
      </c>
    </row>
    <row r="1116" spans="1:6" hidden="1" x14ac:dyDescent="0.2">
      <c r="A1116" s="46">
        <v>45726</v>
      </c>
      <c r="B1116" s="48" t="s">
        <v>1639</v>
      </c>
      <c r="C1116" s="33">
        <v>200</v>
      </c>
      <c r="D1116" s="33" t="s">
        <v>600</v>
      </c>
      <c r="E1116" s="52" t="s">
        <v>6</v>
      </c>
      <c r="F1116" s="47" t="s">
        <v>2207</v>
      </c>
    </row>
    <row r="1117" spans="1:6" hidden="1" x14ac:dyDescent="0.2">
      <c r="A1117" s="44">
        <v>45723</v>
      </c>
      <c r="B1117" s="62" t="s">
        <v>1549</v>
      </c>
      <c r="C1117" s="42">
        <v>180</v>
      </c>
      <c r="D1117" s="42" t="s">
        <v>600</v>
      </c>
      <c r="E1117" s="51" t="s">
        <v>6</v>
      </c>
      <c r="F1117" s="45" t="s">
        <v>2207</v>
      </c>
    </row>
    <row r="1118" spans="1:6" hidden="1" x14ac:dyDescent="0.2">
      <c r="A1118" s="46">
        <v>45722</v>
      </c>
      <c r="B1118" s="48" t="s">
        <v>1549</v>
      </c>
      <c r="C1118" s="33">
        <v>180</v>
      </c>
      <c r="D1118" s="33" t="s">
        <v>600</v>
      </c>
      <c r="E1118" s="52" t="s">
        <v>6</v>
      </c>
      <c r="F1118" s="47" t="s">
        <v>2207</v>
      </c>
    </row>
    <row r="1119" spans="1:6" hidden="1" x14ac:dyDescent="0.2">
      <c r="A1119" s="44">
        <v>45717</v>
      </c>
      <c r="B1119" s="62" t="s">
        <v>1549</v>
      </c>
      <c r="C1119" s="42">
        <v>180</v>
      </c>
      <c r="D1119" s="42" t="s">
        <v>600</v>
      </c>
      <c r="E1119" s="51" t="s">
        <v>6</v>
      </c>
      <c r="F1119" s="45" t="s">
        <v>2207</v>
      </c>
    </row>
    <row r="1120" spans="1:6" hidden="1" x14ac:dyDescent="0.2">
      <c r="A1120" s="46">
        <v>45702</v>
      </c>
      <c r="B1120" s="48" t="s">
        <v>1549</v>
      </c>
      <c r="C1120" s="33">
        <v>180</v>
      </c>
      <c r="D1120" s="33" t="s">
        <v>600</v>
      </c>
      <c r="E1120" s="52" t="s">
        <v>6</v>
      </c>
      <c r="F1120" s="47" t="s">
        <v>2207</v>
      </c>
    </row>
    <row r="1121" spans="1:6" hidden="1" x14ac:dyDescent="0.2">
      <c r="A1121" s="44">
        <v>45701</v>
      </c>
      <c r="B1121" s="62" t="s">
        <v>1549</v>
      </c>
      <c r="C1121" s="42">
        <v>180</v>
      </c>
      <c r="D1121" s="42" t="s">
        <v>600</v>
      </c>
      <c r="E1121" s="51" t="s">
        <v>6</v>
      </c>
      <c r="F1121" s="45" t="s">
        <v>2207</v>
      </c>
    </row>
    <row r="1122" spans="1:6" hidden="1" x14ac:dyDescent="0.2">
      <c r="A1122" s="46">
        <v>45700</v>
      </c>
      <c r="B1122" s="48" t="s">
        <v>1734</v>
      </c>
      <c r="C1122" s="33">
        <v>18</v>
      </c>
      <c r="D1122" s="33" t="s">
        <v>600</v>
      </c>
      <c r="E1122" s="52" t="s">
        <v>6</v>
      </c>
      <c r="F1122" s="47" t="s">
        <v>2207</v>
      </c>
    </row>
    <row r="1123" spans="1:6" hidden="1" x14ac:dyDescent="0.2">
      <c r="A1123" s="44">
        <v>45699</v>
      </c>
      <c r="B1123" s="42" t="s">
        <v>1829</v>
      </c>
      <c r="C1123" s="42">
        <v>118.35</v>
      </c>
      <c r="D1123" s="42" t="s">
        <v>600</v>
      </c>
      <c r="E1123" s="51" t="s">
        <v>6</v>
      </c>
      <c r="F1123" s="45" t="s">
        <v>2207</v>
      </c>
    </row>
    <row r="1124" spans="1:6" hidden="1" x14ac:dyDescent="0.2">
      <c r="A1124" s="46">
        <v>45697</v>
      </c>
      <c r="B1124" s="48" t="s">
        <v>1545</v>
      </c>
      <c r="C1124" s="33">
        <v>600</v>
      </c>
      <c r="D1124" s="33" t="s">
        <v>600</v>
      </c>
      <c r="E1124" s="52" t="s">
        <v>6</v>
      </c>
      <c r="F1124" s="47" t="s">
        <v>2207</v>
      </c>
    </row>
    <row r="1125" spans="1:6" hidden="1" x14ac:dyDescent="0.2">
      <c r="A1125" s="44">
        <v>45697</v>
      </c>
      <c r="B1125" s="62" t="s">
        <v>1545</v>
      </c>
      <c r="C1125" s="42">
        <v>1360</v>
      </c>
      <c r="D1125" s="42" t="s">
        <v>600</v>
      </c>
      <c r="E1125" s="51" t="s">
        <v>6</v>
      </c>
      <c r="F1125" s="45" t="s">
        <v>2207</v>
      </c>
    </row>
    <row r="1126" spans="1:6" hidden="1" x14ac:dyDescent="0.2">
      <c r="A1126" s="46">
        <v>45695</v>
      </c>
      <c r="B1126" s="48" t="s">
        <v>1549</v>
      </c>
      <c r="C1126" s="33">
        <v>180</v>
      </c>
      <c r="D1126" s="33" t="s">
        <v>600</v>
      </c>
      <c r="E1126" s="52" t="s">
        <v>6</v>
      </c>
      <c r="F1126" s="47" t="s">
        <v>2207</v>
      </c>
    </row>
    <row r="1127" spans="1:6" hidden="1" x14ac:dyDescent="0.2">
      <c r="A1127" s="44">
        <v>45694</v>
      </c>
      <c r="B1127" s="62" t="s">
        <v>1549</v>
      </c>
      <c r="C1127" s="42">
        <v>180</v>
      </c>
      <c r="D1127" s="42" t="s">
        <v>600</v>
      </c>
      <c r="E1127" s="51" t="s">
        <v>6</v>
      </c>
      <c r="F1127" s="45" t="s">
        <v>2207</v>
      </c>
    </row>
    <row r="1128" spans="1:6" hidden="1" x14ac:dyDescent="0.2">
      <c r="A1128" s="46">
        <v>45688</v>
      </c>
      <c r="B1128" s="48" t="s">
        <v>1549</v>
      </c>
      <c r="C1128" s="33">
        <v>180</v>
      </c>
      <c r="D1128" s="33" t="s">
        <v>600</v>
      </c>
      <c r="E1128" s="52" t="s">
        <v>6</v>
      </c>
      <c r="F1128" s="47" t="s">
        <v>2207</v>
      </c>
    </row>
    <row r="1129" spans="1:6" hidden="1" x14ac:dyDescent="0.2">
      <c r="A1129" s="44">
        <v>45687</v>
      </c>
      <c r="B1129" s="62" t="s">
        <v>1549</v>
      </c>
      <c r="C1129" s="42">
        <v>180</v>
      </c>
      <c r="D1129" s="42" t="s">
        <v>600</v>
      </c>
      <c r="E1129" s="51" t="s">
        <v>6</v>
      </c>
      <c r="F1129" s="45" t="s">
        <v>2207</v>
      </c>
    </row>
    <row r="1130" spans="1:6" hidden="1" x14ac:dyDescent="0.2">
      <c r="A1130" s="46">
        <v>45686</v>
      </c>
      <c r="B1130" s="48" t="s">
        <v>1639</v>
      </c>
      <c r="C1130" s="33">
        <v>200</v>
      </c>
      <c r="D1130" s="33" t="s">
        <v>600</v>
      </c>
      <c r="E1130" s="52" t="s">
        <v>6</v>
      </c>
      <c r="F1130" s="47" t="s">
        <v>2207</v>
      </c>
    </row>
    <row r="1131" spans="1:6" hidden="1" x14ac:dyDescent="0.2">
      <c r="A1131" s="44">
        <v>45683</v>
      </c>
      <c r="B1131" s="62" t="s">
        <v>1698</v>
      </c>
      <c r="C1131" s="42">
        <v>250</v>
      </c>
      <c r="D1131" s="42" t="s">
        <v>600</v>
      </c>
      <c r="E1131" s="51" t="s">
        <v>6</v>
      </c>
      <c r="F1131" s="45" t="s">
        <v>2207</v>
      </c>
    </row>
    <row r="1132" spans="1:6" hidden="1" x14ac:dyDescent="0.2">
      <c r="A1132" s="46">
        <v>45681</v>
      </c>
      <c r="B1132" s="48" t="s">
        <v>1549</v>
      </c>
      <c r="C1132" s="33">
        <v>180</v>
      </c>
      <c r="D1132" s="33" t="s">
        <v>600</v>
      </c>
      <c r="E1132" s="52" t="s">
        <v>6</v>
      </c>
      <c r="F1132" s="47" t="s">
        <v>2207</v>
      </c>
    </row>
    <row r="1133" spans="1:6" hidden="1" x14ac:dyDescent="0.2">
      <c r="A1133" s="44">
        <v>45680</v>
      </c>
      <c r="B1133" s="62" t="s">
        <v>1639</v>
      </c>
      <c r="C1133" s="42">
        <v>175</v>
      </c>
      <c r="D1133" s="42" t="s">
        <v>600</v>
      </c>
      <c r="E1133" s="51" t="s">
        <v>6</v>
      </c>
      <c r="F1133" s="45" t="s">
        <v>2207</v>
      </c>
    </row>
    <row r="1134" spans="1:6" hidden="1" x14ac:dyDescent="0.2">
      <c r="A1134" s="46">
        <v>45680</v>
      </c>
      <c r="B1134" s="48" t="s">
        <v>1639</v>
      </c>
      <c r="C1134" s="33">
        <v>1000</v>
      </c>
      <c r="D1134" s="33" t="s">
        <v>600</v>
      </c>
      <c r="E1134" s="52" t="s">
        <v>6</v>
      </c>
      <c r="F1134" s="47" t="s">
        <v>2207</v>
      </c>
    </row>
    <row r="1135" spans="1:6" hidden="1" x14ac:dyDescent="0.2">
      <c r="A1135" s="44">
        <v>45680</v>
      </c>
      <c r="B1135" s="62" t="s">
        <v>1639</v>
      </c>
      <c r="C1135" s="42">
        <v>175</v>
      </c>
      <c r="D1135" s="42" t="s">
        <v>600</v>
      </c>
      <c r="E1135" s="51" t="s">
        <v>6</v>
      </c>
      <c r="F1135" s="45" t="s">
        <v>2207</v>
      </c>
    </row>
    <row r="1136" spans="1:6" hidden="1" x14ac:dyDescent="0.2">
      <c r="A1136" s="46">
        <v>45680</v>
      </c>
      <c r="B1136" s="48" t="s">
        <v>1639</v>
      </c>
      <c r="C1136" s="33">
        <v>35</v>
      </c>
      <c r="D1136" s="33" t="s">
        <v>600</v>
      </c>
      <c r="E1136" s="52" t="s">
        <v>6</v>
      </c>
      <c r="F1136" s="47" t="s">
        <v>2207</v>
      </c>
    </row>
    <row r="1137" spans="1:6" hidden="1" x14ac:dyDescent="0.2">
      <c r="A1137" s="44">
        <v>45674</v>
      </c>
      <c r="B1137" s="62" t="s">
        <v>1549</v>
      </c>
      <c r="C1137" s="42">
        <v>180</v>
      </c>
      <c r="D1137" s="42" t="s">
        <v>600</v>
      </c>
      <c r="E1137" s="51" t="s">
        <v>6</v>
      </c>
      <c r="F1137" s="45" t="s">
        <v>2207</v>
      </c>
    </row>
    <row r="1138" spans="1:6" hidden="1" x14ac:dyDescent="0.2">
      <c r="A1138" s="46">
        <v>45673</v>
      </c>
      <c r="B1138" s="48" t="s">
        <v>1549</v>
      </c>
      <c r="C1138" s="33">
        <v>180</v>
      </c>
      <c r="D1138" s="33" t="s">
        <v>600</v>
      </c>
      <c r="E1138" s="52" t="s">
        <v>6</v>
      </c>
      <c r="F1138" s="47" t="s">
        <v>2207</v>
      </c>
    </row>
    <row r="1139" spans="1:6" hidden="1" x14ac:dyDescent="0.2">
      <c r="A1139" s="44">
        <v>45670</v>
      </c>
      <c r="B1139" s="42" t="s">
        <v>2169</v>
      </c>
      <c r="C1139" s="42">
        <v>275</v>
      </c>
      <c r="D1139" s="42" t="s">
        <v>600</v>
      </c>
      <c r="E1139" s="51" t="s">
        <v>6</v>
      </c>
      <c r="F1139" s="45" t="s">
        <v>2207</v>
      </c>
    </row>
    <row r="1140" spans="1:6" hidden="1" x14ac:dyDescent="0.2">
      <c r="A1140" s="46">
        <v>45669</v>
      </c>
      <c r="B1140" s="48" t="s">
        <v>1734</v>
      </c>
      <c r="C1140" s="33">
        <v>18</v>
      </c>
      <c r="D1140" s="33" t="s">
        <v>600</v>
      </c>
      <c r="E1140" s="52" t="s">
        <v>6</v>
      </c>
      <c r="F1140" s="47" t="s">
        <v>2207</v>
      </c>
    </row>
    <row r="1141" spans="1:6" hidden="1" x14ac:dyDescent="0.2">
      <c r="A1141" s="44">
        <v>45667</v>
      </c>
      <c r="B1141" s="62" t="s">
        <v>1549</v>
      </c>
      <c r="C1141" s="42">
        <v>180</v>
      </c>
      <c r="D1141" s="42" t="s">
        <v>600</v>
      </c>
      <c r="E1141" s="51" t="s">
        <v>6</v>
      </c>
      <c r="F1141" s="45" t="s">
        <v>2207</v>
      </c>
    </row>
    <row r="1142" spans="1:6" hidden="1" x14ac:dyDescent="0.2">
      <c r="A1142" s="46">
        <v>45666</v>
      </c>
      <c r="B1142" s="48" t="s">
        <v>1549</v>
      </c>
      <c r="C1142" s="33">
        <v>180</v>
      </c>
      <c r="D1142" s="33" t="s">
        <v>600</v>
      </c>
      <c r="E1142" s="52" t="s">
        <v>6</v>
      </c>
      <c r="F1142" s="47" t="s">
        <v>2207</v>
      </c>
    </row>
    <row r="1143" spans="1:6" hidden="1" x14ac:dyDescent="0.2">
      <c r="A1143" s="44">
        <v>45983</v>
      </c>
      <c r="B1143" s="42" t="s">
        <v>1207</v>
      </c>
      <c r="C1143" s="42">
        <v>1020</v>
      </c>
      <c r="D1143" s="42" t="s">
        <v>600</v>
      </c>
      <c r="E1143" s="51" t="s">
        <v>6</v>
      </c>
      <c r="F1143" s="45" t="s">
        <v>2207</v>
      </c>
    </row>
    <row r="1144" spans="1:6" hidden="1" x14ac:dyDescent="0.2">
      <c r="A1144" s="46">
        <v>45982</v>
      </c>
      <c r="B1144" s="33" t="s">
        <v>617</v>
      </c>
      <c r="C1144" s="33">
        <v>180</v>
      </c>
      <c r="D1144" s="33" t="s">
        <v>600</v>
      </c>
      <c r="E1144" s="52" t="s">
        <v>6</v>
      </c>
      <c r="F1144" s="47" t="s">
        <v>2207</v>
      </c>
    </row>
    <row r="1145" spans="1:6" hidden="1" x14ac:dyDescent="0.2">
      <c r="A1145" s="44">
        <v>45981</v>
      </c>
      <c r="B1145" s="42" t="s">
        <v>617</v>
      </c>
      <c r="C1145" s="42">
        <v>180</v>
      </c>
      <c r="D1145" s="42" t="s">
        <v>600</v>
      </c>
      <c r="E1145" s="51" t="s">
        <v>6</v>
      </c>
      <c r="F1145" s="45" t="s">
        <v>2207</v>
      </c>
    </row>
    <row r="1146" spans="1:6" hidden="1" x14ac:dyDescent="0.2">
      <c r="A1146" s="46">
        <v>45975</v>
      </c>
      <c r="B1146" s="33" t="s">
        <v>617</v>
      </c>
      <c r="C1146" s="33">
        <v>180</v>
      </c>
      <c r="D1146" s="33" t="s">
        <v>600</v>
      </c>
      <c r="E1146" s="52" t="s">
        <v>6</v>
      </c>
      <c r="F1146" s="47" t="s">
        <v>2207</v>
      </c>
    </row>
    <row r="1147" spans="1:6" hidden="1" x14ac:dyDescent="0.2">
      <c r="A1147" s="44">
        <v>45973</v>
      </c>
      <c r="B1147" s="42" t="s">
        <v>610</v>
      </c>
      <c r="C1147" s="42">
        <v>18</v>
      </c>
      <c r="D1147" s="42" t="s">
        <v>600</v>
      </c>
      <c r="E1147" s="51" t="s">
        <v>6</v>
      </c>
      <c r="F1147" s="45" t="s">
        <v>2207</v>
      </c>
    </row>
    <row r="1148" spans="1:6" hidden="1" x14ac:dyDescent="0.2">
      <c r="A1148" s="46">
        <v>45968</v>
      </c>
      <c r="B1148" s="33" t="s">
        <v>617</v>
      </c>
      <c r="C1148" s="33">
        <v>180</v>
      </c>
      <c r="D1148" s="33" t="s">
        <v>600</v>
      </c>
      <c r="E1148" s="52" t="s">
        <v>6</v>
      </c>
      <c r="F1148" s="47" t="s">
        <v>2207</v>
      </c>
    </row>
    <row r="1149" spans="1:6" hidden="1" x14ac:dyDescent="0.2">
      <c r="A1149" s="44">
        <v>45967</v>
      </c>
      <c r="B1149" s="42" t="s">
        <v>617</v>
      </c>
      <c r="C1149" s="42">
        <v>180</v>
      </c>
      <c r="D1149" s="42" t="s">
        <v>600</v>
      </c>
      <c r="E1149" s="51" t="s">
        <v>6</v>
      </c>
      <c r="F1149" s="45" t="s">
        <v>2207</v>
      </c>
    </row>
    <row r="1150" spans="1:6" hidden="1" x14ac:dyDescent="0.2">
      <c r="A1150" s="46">
        <v>45960</v>
      </c>
      <c r="B1150" s="33" t="s">
        <v>617</v>
      </c>
      <c r="C1150" s="33">
        <v>180</v>
      </c>
      <c r="D1150" s="33" t="s">
        <v>600</v>
      </c>
      <c r="E1150" s="52" t="s">
        <v>6</v>
      </c>
      <c r="F1150" s="47" t="s">
        <v>2207</v>
      </c>
    </row>
    <row r="1151" spans="1:6" hidden="1" x14ac:dyDescent="0.2">
      <c r="A1151" s="44">
        <v>45955</v>
      </c>
      <c r="B1151" s="42" t="s">
        <v>1207</v>
      </c>
      <c r="C1151" s="42">
        <v>680</v>
      </c>
      <c r="D1151" s="42" t="s">
        <v>600</v>
      </c>
      <c r="E1151" s="51" t="s">
        <v>6</v>
      </c>
      <c r="F1151" s="45" t="s">
        <v>2207</v>
      </c>
    </row>
    <row r="1152" spans="1:6" hidden="1" x14ac:dyDescent="0.2">
      <c r="A1152" s="46">
        <v>45953</v>
      </c>
      <c r="B1152" s="33" t="s">
        <v>617</v>
      </c>
      <c r="C1152" s="33">
        <v>180</v>
      </c>
      <c r="D1152" s="33" t="s">
        <v>600</v>
      </c>
      <c r="E1152" s="52" t="s">
        <v>6</v>
      </c>
      <c r="F1152" s="47" t="s">
        <v>2207</v>
      </c>
    </row>
    <row r="1153" spans="1:6" hidden="1" x14ac:dyDescent="0.2">
      <c r="A1153" s="44">
        <v>45942</v>
      </c>
      <c r="B1153" s="42" t="s">
        <v>610</v>
      </c>
      <c r="C1153" s="42">
        <v>18</v>
      </c>
      <c r="D1153" s="42" t="s">
        <v>600</v>
      </c>
      <c r="E1153" s="51" t="s">
        <v>6</v>
      </c>
      <c r="F1153" s="45" t="s">
        <v>2207</v>
      </c>
    </row>
    <row r="1154" spans="1:6" hidden="1" x14ac:dyDescent="0.2">
      <c r="A1154" s="46">
        <v>45939</v>
      </c>
      <c r="B1154" s="33" t="s">
        <v>617</v>
      </c>
      <c r="C1154" s="33">
        <v>180</v>
      </c>
      <c r="D1154" s="33" t="s">
        <v>600</v>
      </c>
      <c r="E1154" s="52" t="s">
        <v>6</v>
      </c>
      <c r="F1154" s="47" t="s">
        <v>2207</v>
      </c>
    </row>
    <row r="1155" spans="1:6" hidden="1" x14ac:dyDescent="0.2">
      <c r="A1155" s="44">
        <v>45932</v>
      </c>
      <c r="B1155" s="42" t="s">
        <v>637</v>
      </c>
      <c r="C1155" s="42">
        <v>83.85</v>
      </c>
      <c r="D1155" s="42" t="s">
        <v>600</v>
      </c>
      <c r="E1155" s="51" t="s">
        <v>6</v>
      </c>
      <c r="F1155" s="45" t="s">
        <v>2207</v>
      </c>
    </row>
    <row r="1156" spans="1:6" hidden="1" x14ac:dyDescent="0.2">
      <c r="A1156" s="46">
        <v>45931</v>
      </c>
      <c r="B1156" s="33" t="s">
        <v>618</v>
      </c>
      <c r="C1156" s="33">
        <v>71.739999999999995</v>
      </c>
      <c r="D1156" s="33" t="s">
        <v>600</v>
      </c>
      <c r="E1156" s="52" t="s">
        <v>45</v>
      </c>
      <c r="F1156" s="47" t="s">
        <v>2207</v>
      </c>
    </row>
    <row r="1157" spans="1:6" hidden="1" x14ac:dyDescent="0.2">
      <c r="A1157" s="44">
        <v>45965</v>
      </c>
      <c r="B1157" s="42" t="s">
        <v>1194</v>
      </c>
      <c r="C1157" s="42">
        <v>16.309999999999999</v>
      </c>
      <c r="D1157" s="42" t="s">
        <v>600</v>
      </c>
      <c r="E1157" s="51" t="s">
        <v>6</v>
      </c>
      <c r="F1157" s="45" t="s">
        <v>2207</v>
      </c>
    </row>
    <row r="1158" spans="1:6" hidden="1" x14ac:dyDescent="0.2">
      <c r="A1158" s="46">
        <v>45920</v>
      </c>
      <c r="B1158" s="33" t="s">
        <v>1636</v>
      </c>
      <c r="C1158" s="33">
        <v>21.99</v>
      </c>
      <c r="D1158" s="33" t="s">
        <v>639</v>
      </c>
      <c r="E1158" s="52" t="s">
        <v>6</v>
      </c>
      <c r="F1158" s="47" t="s">
        <v>2207</v>
      </c>
    </row>
    <row r="1159" spans="1:6" hidden="1" x14ac:dyDescent="0.2">
      <c r="A1159" s="44">
        <v>45908</v>
      </c>
      <c r="B1159" s="42" t="s">
        <v>1656</v>
      </c>
      <c r="C1159" s="42">
        <v>18.75</v>
      </c>
      <c r="D1159" s="42" t="s">
        <v>639</v>
      </c>
      <c r="E1159" s="51" t="s">
        <v>6</v>
      </c>
      <c r="F1159" s="45" t="s">
        <v>2207</v>
      </c>
    </row>
    <row r="1160" spans="1:6" hidden="1" x14ac:dyDescent="0.2">
      <c r="A1160" s="46">
        <v>45871</v>
      </c>
      <c r="B1160" s="33" t="s">
        <v>1656</v>
      </c>
      <c r="C1160" s="33">
        <v>11.02</v>
      </c>
      <c r="D1160" s="33" t="s">
        <v>639</v>
      </c>
      <c r="E1160" s="52" t="s">
        <v>6</v>
      </c>
      <c r="F1160" s="47" t="s">
        <v>2207</v>
      </c>
    </row>
    <row r="1161" spans="1:6" hidden="1" x14ac:dyDescent="0.2">
      <c r="A1161" s="44">
        <v>45870</v>
      </c>
      <c r="B1161" s="42" t="s">
        <v>1656</v>
      </c>
      <c r="C1161" s="42">
        <v>37.47</v>
      </c>
      <c r="D1161" s="42" t="s">
        <v>639</v>
      </c>
      <c r="E1161" s="51" t="s">
        <v>6</v>
      </c>
      <c r="F1161" s="45" t="s">
        <v>2207</v>
      </c>
    </row>
    <row r="1162" spans="1:6" hidden="1" x14ac:dyDescent="0.2">
      <c r="A1162" s="46">
        <v>45861</v>
      </c>
      <c r="B1162" s="33" t="s">
        <v>1656</v>
      </c>
      <c r="C1162" s="33">
        <v>20.38</v>
      </c>
      <c r="D1162" s="33" t="s">
        <v>639</v>
      </c>
      <c r="E1162" s="52" t="s">
        <v>6</v>
      </c>
      <c r="F1162" s="47" t="s">
        <v>2207</v>
      </c>
    </row>
    <row r="1163" spans="1:6" hidden="1" x14ac:dyDescent="0.2">
      <c r="A1163" s="44">
        <v>45860</v>
      </c>
      <c r="B1163" s="42" t="s">
        <v>1636</v>
      </c>
      <c r="C1163" s="42">
        <v>33.049999999999997</v>
      </c>
      <c r="D1163" s="42" t="s">
        <v>639</v>
      </c>
      <c r="E1163" s="51" t="s">
        <v>6</v>
      </c>
      <c r="F1163" s="45" t="s">
        <v>2207</v>
      </c>
    </row>
    <row r="1164" spans="1:6" hidden="1" x14ac:dyDescent="0.2">
      <c r="A1164" s="46">
        <v>45859</v>
      </c>
      <c r="B1164" s="33" t="s">
        <v>1636</v>
      </c>
      <c r="C1164" s="33">
        <v>94.87</v>
      </c>
      <c r="D1164" s="33" t="s">
        <v>639</v>
      </c>
      <c r="E1164" s="52" t="s">
        <v>6</v>
      </c>
      <c r="F1164" s="47" t="s">
        <v>2207</v>
      </c>
    </row>
    <row r="1165" spans="1:6" hidden="1" x14ac:dyDescent="0.2">
      <c r="A1165" s="44">
        <v>45858</v>
      </c>
      <c r="B1165" s="42" t="s">
        <v>1656</v>
      </c>
      <c r="C1165" s="42">
        <v>60.66</v>
      </c>
      <c r="D1165" s="42" t="s">
        <v>639</v>
      </c>
      <c r="E1165" s="51" t="s">
        <v>6</v>
      </c>
      <c r="F1165" s="45" t="s">
        <v>2207</v>
      </c>
    </row>
    <row r="1166" spans="1:6" hidden="1" x14ac:dyDescent="0.2">
      <c r="A1166" s="46">
        <v>45848</v>
      </c>
      <c r="B1166" s="33" t="s">
        <v>1843</v>
      </c>
      <c r="C1166" s="33">
        <v>54.53</v>
      </c>
      <c r="D1166" s="33" t="s">
        <v>639</v>
      </c>
      <c r="E1166" s="52" t="s">
        <v>6</v>
      </c>
      <c r="F1166" s="47" t="s">
        <v>2207</v>
      </c>
    </row>
    <row r="1167" spans="1:6" hidden="1" x14ac:dyDescent="0.2">
      <c r="A1167" s="44">
        <v>45847</v>
      </c>
      <c r="B1167" s="42" t="s">
        <v>1843</v>
      </c>
      <c r="C1167" s="42">
        <v>32.24</v>
      </c>
      <c r="D1167" s="42" t="s">
        <v>639</v>
      </c>
      <c r="E1167" s="51" t="s">
        <v>6</v>
      </c>
      <c r="F1167" s="45" t="s">
        <v>2207</v>
      </c>
    </row>
    <row r="1168" spans="1:6" hidden="1" x14ac:dyDescent="0.2">
      <c r="A1168" s="46">
        <v>45847</v>
      </c>
      <c r="B1168" s="33" t="s">
        <v>1843</v>
      </c>
      <c r="C1168" s="33">
        <v>75.66</v>
      </c>
      <c r="D1168" s="33" t="s">
        <v>639</v>
      </c>
      <c r="E1168" s="52" t="s">
        <v>6</v>
      </c>
      <c r="F1168" s="47" t="s">
        <v>2207</v>
      </c>
    </row>
    <row r="1169" spans="1:6" hidden="1" x14ac:dyDescent="0.2">
      <c r="A1169" s="44">
        <v>45844</v>
      </c>
      <c r="B1169" s="42" t="s">
        <v>1856</v>
      </c>
      <c r="C1169" s="42">
        <v>19.850000000000001</v>
      </c>
      <c r="D1169" s="42" t="s">
        <v>639</v>
      </c>
      <c r="E1169" s="51" t="s">
        <v>6</v>
      </c>
      <c r="F1169" s="45" t="s">
        <v>2207</v>
      </c>
    </row>
    <row r="1170" spans="1:6" hidden="1" x14ac:dyDescent="0.2">
      <c r="A1170" s="46">
        <v>45840</v>
      </c>
      <c r="B1170" s="33" t="s">
        <v>1636</v>
      </c>
      <c r="C1170" s="33">
        <v>6.59</v>
      </c>
      <c r="D1170" s="33" t="s">
        <v>639</v>
      </c>
      <c r="E1170" s="52" t="s">
        <v>6</v>
      </c>
      <c r="F1170" s="47" t="s">
        <v>2207</v>
      </c>
    </row>
    <row r="1171" spans="1:6" hidden="1" x14ac:dyDescent="0.2">
      <c r="A1171" s="44">
        <v>45840</v>
      </c>
      <c r="B1171" s="62" t="s">
        <v>1864</v>
      </c>
      <c r="C1171" s="42">
        <v>308.88</v>
      </c>
      <c r="D1171" s="42" t="s">
        <v>639</v>
      </c>
      <c r="E1171" s="51" t="s">
        <v>6</v>
      </c>
      <c r="F1171" s="45" t="s">
        <v>2207</v>
      </c>
    </row>
    <row r="1172" spans="1:6" hidden="1" x14ac:dyDescent="0.2">
      <c r="A1172" s="46">
        <v>45833</v>
      </c>
      <c r="B1172" s="33" t="s">
        <v>1901</v>
      </c>
      <c r="C1172" s="33">
        <v>66.209999999999994</v>
      </c>
      <c r="D1172" s="33" t="s">
        <v>639</v>
      </c>
      <c r="E1172" s="52" t="s">
        <v>45</v>
      </c>
      <c r="F1172" s="47" t="s">
        <v>2207</v>
      </c>
    </row>
    <row r="1173" spans="1:6" hidden="1" x14ac:dyDescent="0.2">
      <c r="A1173" s="44">
        <v>45820</v>
      </c>
      <c r="B1173" s="42" t="s">
        <v>1843</v>
      </c>
      <c r="C1173" s="42">
        <v>3.76</v>
      </c>
      <c r="D1173" s="42" t="s">
        <v>639</v>
      </c>
      <c r="E1173" s="51" t="s">
        <v>6</v>
      </c>
      <c r="F1173" s="45" t="s">
        <v>2207</v>
      </c>
    </row>
    <row r="1174" spans="1:6" hidden="1" x14ac:dyDescent="0.2">
      <c r="A1174" s="46">
        <v>45820</v>
      </c>
      <c r="B1174" s="33" t="s">
        <v>1947</v>
      </c>
      <c r="C1174" s="33">
        <v>72.38</v>
      </c>
      <c r="D1174" s="33" t="s">
        <v>639</v>
      </c>
      <c r="E1174" s="52" t="s">
        <v>6</v>
      </c>
      <c r="F1174" s="47" t="s">
        <v>2207</v>
      </c>
    </row>
    <row r="1175" spans="1:6" hidden="1" x14ac:dyDescent="0.2">
      <c r="A1175" s="44">
        <v>45820</v>
      </c>
      <c r="B1175" s="42" t="s">
        <v>1949</v>
      </c>
      <c r="C1175" s="42">
        <v>8.82</v>
      </c>
      <c r="D1175" s="42" t="s">
        <v>639</v>
      </c>
      <c r="E1175" s="51" t="s">
        <v>6</v>
      </c>
      <c r="F1175" s="45" t="s">
        <v>2207</v>
      </c>
    </row>
    <row r="1176" spans="1:6" hidden="1" x14ac:dyDescent="0.2">
      <c r="A1176" s="46">
        <v>45817</v>
      </c>
      <c r="B1176" s="33" t="s">
        <v>1954</v>
      </c>
      <c r="C1176" s="33">
        <v>495.47</v>
      </c>
      <c r="D1176" s="33" t="s">
        <v>639</v>
      </c>
      <c r="E1176" s="52" t="s">
        <v>6</v>
      </c>
      <c r="F1176" s="47" t="s">
        <v>2207</v>
      </c>
    </row>
    <row r="1177" spans="1:6" hidden="1" x14ac:dyDescent="0.2">
      <c r="A1177" s="44">
        <v>45815</v>
      </c>
      <c r="B1177" s="42" t="s">
        <v>1636</v>
      </c>
      <c r="C1177" s="42">
        <v>198</v>
      </c>
      <c r="D1177" s="42" t="s">
        <v>639</v>
      </c>
      <c r="E1177" s="51" t="s">
        <v>6</v>
      </c>
      <c r="F1177" s="45" t="s">
        <v>2207</v>
      </c>
    </row>
    <row r="1178" spans="1:6" hidden="1" x14ac:dyDescent="0.2">
      <c r="A1178" s="46">
        <v>45811</v>
      </c>
      <c r="B1178" s="33" t="s">
        <v>1959</v>
      </c>
      <c r="C1178" s="33">
        <v>252.14</v>
      </c>
      <c r="D1178" s="33" t="s">
        <v>639</v>
      </c>
      <c r="E1178" s="52" t="s">
        <v>6</v>
      </c>
      <c r="F1178" s="47" t="s">
        <v>2207</v>
      </c>
    </row>
    <row r="1179" spans="1:6" hidden="1" x14ac:dyDescent="0.2">
      <c r="A1179" s="44">
        <v>45809</v>
      </c>
      <c r="B1179" s="42" t="s">
        <v>1970</v>
      </c>
      <c r="C1179" s="42">
        <v>130</v>
      </c>
      <c r="D1179" s="42" t="s">
        <v>639</v>
      </c>
      <c r="E1179" s="51" t="s">
        <v>6</v>
      </c>
      <c r="F1179" s="45" t="s">
        <v>2207</v>
      </c>
    </row>
    <row r="1180" spans="1:6" hidden="1" x14ac:dyDescent="0.2">
      <c r="A1180" s="46">
        <v>45804</v>
      </c>
      <c r="B1180" s="49" t="s">
        <v>1976</v>
      </c>
      <c r="C1180" s="33">
        <v>22.8</v>
      </c>
      <c r="D1180" s="33" t="s">
        <v>639</v>
      </c>
      <c r="E1180" s="52" t="s">
        <v>6</v>
      </c>
      <c r="F1180" s="47" t="s">
        <v>2207</v>
      </c>
    </row>
    <row r="1181" spans="1:6" hidden="1" x14ac:dyDescent="0.2">
      <c r="A1181" s="44">
        <v>45804</v>
      </c>
      <c r="B1181" s="62" t="s">
        <v>1977</v>
      </c>
      <c r="C1181" s="42">
        <v>11.23</v>
      </c>
      <c r="D1181" s="42" t="s">
        <v>639</v>
      </c>
      <c r="E1181" s="51" t="s">
        <v>6</v>
      </c>
      <c r="F1181" s="45" t="s">
        <v>2207</v>
      </c>
    </row>
    <row r="1182" spans="1:6" hidden="1" x14ac:dyDescent="0.2">
      <c r="A1182" s="46">
        <v>45801</v>
      </c>
      <c r="B1182" s="33" t="s">
        <v>1980</v>
      </c>
      <c r="C1182" s="33">
        <v>88.28</v>
      </c>
      <c r="D1182" s="33" t="s">
        <v>639</v>
      </c>
      <c r="E1182" s="52" t="s">
        <v>6</v>
      </c>
      <c r="F1182" s="47" t="s">
        <v>2207</v>
      </c>
    </row>
    <row r="1183" spans="1:6" hidden="1" x14ac:dyDescent="0.2">
      <c r="A1183" s="44">
        <v>45800</v>
      </c>
      <c r="B1183" s="42" t="s">
        <v>1981</v>
      </c>
      <c r="C1183" s="42">
        <v>44.03</v>
      </c>
      <c r="D1183" s="42" t="s">
        <v>639</v>
      </c>
      <c r="E1183" s="51" t="s">
        <v>45</v>
      </c>
      <c r="F1183" s="45" t="s">
        <v>2207</v>
      </c>
    </row>
    <row r="1184" spans="1:6" hidden="1" x14ac:dyDescent="0.2">
      <c r="A1184" s="46">
        <v>45800</v>
      </c>
      <c r="B1184" s="48" t="s">
        <v>1982</v>
      </c>
      <c r="C1184" s="33">
        <v>2.2000000000000002</v>
      </c>
      <c r="D1184" s="33" t="s">
        <v>639</v>
      </c>
      <c r="E1184" s="52" t="s">
        <v>6</v>
      </c>
      <c r="F1184" s="47" t="s">
        <v>2207</v>
      </c>
    </row>
    <row r="1185" spans="1:6" hidden="1" x14ac:dyDescent="0.2">
      <c r="A1185" s="44">
        <v>45798</v>
      </c>
      <c r="B1185" s="42" t="s">
        <v>1636</v>
      </c>
      <c r="C1185" s="42">
        <v>55.13</v>
      </c>
      <c r="D1185" s="42" t="s">
        <v>639</v>
      </c>
      <c r="E1185" s="51" t="s">
        <v>6</v>
      </c>
      <c r="F1185" s="45" t="s">
        <v>2207</v>
      </c>
    </row>
    <row r="1186" spans="1:6" hidden="1" x14ac:dyDescent="0.2">
      <c r="A1186" s="46">
        <v>45798</v>
      </c>
      <c r="B1186" s="33" t="s">
        <v>1985</v>
      </c>
      <c r="C1186" s="33">
        <v>9.48</v>
      </c>
      <c r="D1186" s="33" t="s">
        <v>639</v>
      </c>
      <c r="E1186" s="52" t="s">
        <v>6</v>
      </c>
      <c r="F1186" s="47" t="s">
        <v>2207</v>
      </c>
    </row>
    <row r="1187" spans="1:6" hidden="1" x14ac:dyDescent="0.2">
      <c r="A1187" s="44">
        <v>45796</v>
      </c>
      <c r="B1187" s="42" t="s">
        <v>1989</v>
      </c>
      <c r="C1187" s="42">
        <v>82.72</v>
      </c>
      <c r="D1187" s="42" t="s">
        <v>639</v>
      </c>
      <c r="E1187" s="51" t="s">
        <v>6</v>
      </c>
      <c r="F1187" s="45" t="s">
        <v>2207</v>
      </c>
    </row>
    <row r="1188" spans="1:6" hidden="1" x14ac:dyDescent="0.2">
      <c r="A1188" s="46">
        <v>45795</v>
      </c>
      <c r="B1188" s="48" t="s">
        <v>1993</v>
      </c>
      <c r="C1188" s="33">
        <v>-3.3</v>
      </c>
      <c r="D1188" s="33" t="s">
        <v>639</v>
      </c>
      <c r="E1188" s="52" t="s">
        <v>6</v>
      </c>
      <c r="F1188" s="47" t="s">
        <v>2207</v>
      </c>
    </row>
    <row r="1189" spans="1:6" hidden="1" x14ac:dyDescent="0.2">
      <c r="A1189" s="44">
        <v>45795</v>
      </c>
      <c r="B1189" s="62" t="s">
        <v>1994</v>
      </c>
      <c r="C1189" s="42">
        <v>-16.54</v>
      </c>
      <c r="D1189" s="42" t="s">
        <v>639</v>
      </c>
      <c r="E1189" s="51" t="s">
        <v>6</v>
      </c>
      <c r="F1189" s="45" t="s">
        <v>2207</v>
      </c>
    </row>
    <row r="1190" spans="1:6" hidden="1" x14ac:dyDescent="0.2">
      <c r="A1190" s="46">
        <v>45791</v>
      </c>
      <c r="B1190" s="33" t="s">
        <v>1656</v>
      </c>
      <c r="C1190" s="33">
        <v>44.12</v>
      </c>
      <c r="D1190" s="33" t="s">
        <v>639</v>
      </c>
      <c r="E1190" s="52" t="s">
        <v>6</v>
      </c>
      <c r="F1190" s="47" t="s">
        <v>2207</v>
      </c>
    </row>
    <row r="1191" spans="1:6" hidden="1" x14ac:dyDescent="0.2">
      <c r="A1191" s="44">
        <v>45788</v>
      </c>
      <c r="B1191" s="42" t="s">
        <v>2001</v>
      </c>
      <c r="C1191" s="42">
        <v>50.91</v>
      </c>
      <c r="D1191" s="42" t="s">
        <v>639</v>
      </c>
      <c r="E1191" s="51" t="s">
        <v>6</v>
      </c>
      <c r="F1191" s="45" t="s">
        <v>2207</v>
      </c>
    </row>
    <row r="1192" spans="1:6" hidden="1" x14ac:dyDescent="0.2">
      <c r="A1192" s="46">
        <v>45786</v>
      </c>
      <c r="B1192" s="48" t="s">
        <v>2005</v>
      </c>
      <c r="C1192" s="33">
        <v>3.3</v>
      </c>
      <c r="D1192" s="33" t="s">
        <v>639</v>
      </c>
      <c r="E1192" s="52" t="s">
        <v>6</v>
      </c>
      <c r="F1192" s="47" t="s">
        <v>2207</v>
      </c>
    </row>
    <row r="1193" spans="1:6" hidden="1" x14ac:dyDescent="0.2">
      <c r="A1193" s="44">
        <v>45783</v>
      </c>
      <c r="B1193" s="62" t="s">
        <v>2009</v>
      </c>
      <c r="C1193" s="42">
        <v>87.65</v>
      </c>
      <c r="D1193" s="42" t="s">
        <v>639</v>
      </c>
      <c r="E1193" s="51" t="s">
        <v>6</v>
      </c>
      <c r="F1193" s="45" t="s">
        <v>2207</v>
      </c>
    </row>
    <row r="1194" spans="1:6" hidden="1" x14ac:dyDescent="0.2">
      <c r="A1194" s="46">
        <v>45770</v>
      </c>
      <c r="B1194" s="49" t="s">
        <v>2025</v>
      </c>
      <c r="C1194" s="33">
        <v>19.77</v>
      </c>
      <c r="D1194" s="33" t="s">
        <v>639</v>
      </c>
      <c r="E1194" s="52" t="s">
        <v>6</v>
      </c>
      <c r="F1194" s="47" t="s">
        <v>2207</v>
      </c>
    </row>
    <row r="1195" spans="1:6" hidden="1" x14ac:dyDescent="0.2">
      <c r="A1195" s="44">
        <v>45769</v>
      </c>
      <c r="B1195" s="62" t="s">
        <v>2026</v>
      </c>
      <c r="C1195" s="42">
        <v>16.54</v>
      </c>
      <c r="D1195" s="42" t="s">
        <v>639</v>
      </c>
      <c r="E1195" s="51" t="s">
        <v>6</v>
      </c>
      <c r="F1195" s="45" t="s">
        <v>2207</v>
      </c>
    </row>
    <row r="1196" spans="1:6" hidden="1" x14ac:dyDescent="0.2">
      <c r="A1196" s="46">
        <v>45768</v>
      </c>
      <c r="B1196" s="33" t="s">
        <v>2029</v>
      </c>
      <c r="C1196" s="33">
        <v>13.58</v>
      </c>
      <c r="D1196" s="33" t="s">
        <v>639</v>
      </c>
      <c r="E1196" s="52" t="s">
        <v>6</v>
      </c>
      <c r="F1196" s="47" t="s">
        <v>2207</v>
      </c>
    </row>
    <row r="1197" spans="1:6" hidden="1" x14ac:dyDescent="0.2">
      <c r="A1197" s="44">
        <v>45768</v>
      </c>
      <c r="B1197" s="42" t="s">
        <v>2029</v>
      </c>
      <c r="C1197" s="42">
        <v>11.39</v>
      </c>
      <c r="D1197" s="42" t="s">
        <v>639</v>
      </c>
      <c r="E1197" s="51" t="s">
        <v>6</v>
      </c>
      <c r="F1197" s="45" t="s">
        <v>2207</v>
      </c>
    </row>
    <row r="1198" spans="1:6" hidden="1" x14ac:dyDescent="0.2">
      <c r="A1198" s="46">
        <v>45767</v>
      </c>
      <c r="B1198" s="48" t="s">
        <v>2031</v>
      </c>
      <c r="C1198" s="33">
        <v>25.34</v>
      </c>
      <c r="D1198" s="33" t="s">
        <v>639</v>
      </c>
      <c r="E1198" s="52" t="s">
        <v>6</v>
      </c>
      <c r="F1198" s="47" t="s">
        <v>2207</v>
      </c>
    </row>
    <row r="1199" spans="1:6" hidden="1" x14ac:dyDescent="0.2">
      <c r="A1199" s="44">
        <v>45756</v>
      </c>
      <c r="B1199" s="62" t="s">
        <v>2043</v>
      </c>
      <c r="C1199" s="42">
        <v>3.3</v>
      </c>
      <c r="D1199" s="42" t="s">
        <v>639</v>
      </c>
      <c r="E1199" s="51" t="s">
        <v>6</v>
      </c>
      <c r="F1199" s="45" t="s">
        <v>2207</v>
      </c>
    </row>
    <row r="1200" spans="1:6" hidden="1" x14ac:dyDescent="0.2">
      <c r="A1200" s="46">
        <v>45749</v>
      </c>
      <c r="B1200" s="48" t="s">
        <v>2053</v>
      </c>
      <c r="C1200" s="33">
        <v>16.52</v>
      </c>
      <c r="D1200" s="33" t="s">
        <v>639</v>
      </c>
      <c r="E1200" s="52" t="s">
        <v>6</v>
      </c>
      <c r="F1200" s="47" t="s">
        <v>2207</v>
      </c>
    </row>
    <row r="1201" spans="1:6" hidden="1" x14ac:dyDescent="0.2">
      <c r="A1201" s="44">
        <v>45743</v>
      </c>
      <c r="B1201" s="50" t="s">
        <v>2060</v>
      </c>
      <c r="C1201" s="42">
        <v>19.91</v>
      </c>
      <c r="D1201" s="42" t="s">
        <v>639</v>
      </c>
      <c r="E1201" s="51" t="s">
        <v>6</v>
      </c>
      <c r="F1201" s="45" t="s">
        <v>2207</v>
      </c>
    </row>
    <row r="1202" spans="1:6" hidden="1" x14ac:dyDescent="0.2">
      <c r="A1202" s="46">
        <v>45739</v>
      </c>
      <c r="B1202" s="49" t="s">
        <v>2071</v>
      </c>
      <c r="C1202" s="33">
        <v>12.57</v>
      </c>
      <c r="D1202" s="33" t="s">
        <v>639</v>
      </c>
      <c r="E1202" s="52" t="s">
        <v>6</v>
      </c>
      <c r="F1202" s="47" t="s">
        <v>2207</v>
      </c>
    </row>
    <row r="1203" spans="1:6" hidden="1" x14ac:dyDescent="0.2">
      <c r="A1203" s="44">
        <v>45739</v>
      </c>
      <c r="B1203" s="50" t="s">
        <v>2076</v>
      </c>
      <c r="C1203" s="42">
        <v>12.88</v>
      </c>
      <c r="D1203" s="42" t="s">
        <v>639</v>
      </c>
      <c r="E1203" s="51" t="s">
        <v>6</v>
      </c>
      <c r="F1203" s="45" t="s">
        <v>2207</v>
      </c>
    </row>
    <row r="1204" spans="1:6" hidden="1" x14ac:dyDescent="0.2">
      <c r="A1204" s="46">
        <v>45738</v>
      </c>
      <c r="B1204" s="48" t="s">
        <v>2078</v>
      </c>
      <c r="C1204" s="33">
        <v>16.54</v>
      </c>
      <c r="D1204" s="33" t="s">
        <v>639</v>
      </c>
      <c r="E1204" s="52" t="s">
        <v>6</v>
      </c>
      <c r="F1204" s="47" t="s">
        <v>2207</v>
      </c>
    </row>
    <row r="1205" spans="1:6" hidden="1" x14ac:dyDescent="0.2">
      <c r="A1205" s="44">
        <v>45726</v>
      </c>
      <c r="B1205" s="50" t="s">
        <v>2091</v>
      </c>
      <c r="C1205" s="42">
        <v>45.32</v>
      </c>
      <c r="D1205" s="42" t="s">
        <v>639</v>
      </c>
      <c r="E1205" s="51" t="s">
        <v>6</v>
      </c>
      <c r="F1205" s="45" t="s">
        <v>2207</v>
      </c>
    </row>
    <row r="1206" spans="1:6" hidden="1" x14ac:dyDescent="0.2">
      <c r="A1206" s="46">
        <v>45725</v>
      </c>
      <c r="B1206" s="48" t="s">
        <v>2095</v>
      </c>
      <c r="C1206" s="33">
        <v>3.3</v>
      </c>
      <c r="D1206" s="33" t="s">
        <v>639</v>
      </c>
      <c r="E1206" s="52" t="s">
        <v>6</v>
      </c>
      <c r="F1206" s="47" t="s">
        <v>2207</v>
      </c>
    </row>
    <row r="1207" spans="1:6" hidden="1" x14ac:dyDescent="0.2">
      <c r="A1207" s="44">
        <v>45721</v>
      </c>
      <c r="B1207" s="62" t="s">
        <v>2101</v>
      </c>
      <c r="C1207" s="42">
        <v>66.099999999999994</v>
      </c>
      <c r="D1207" s="42" t="s">
        <v>639</v>
      </c>
      <c r="E1207" s="51" t="s">
        <v>6</v>
      </c>
      <c r="F1207" s="45" t="s">
        <v>2207</v>
      </c>
    </row>
    <row r="1208" spans="1:6" hidden="1" x14ac:dyDescent="0.2">
      <c r="A1208" s="46">
        <v>45716</v>
      </c>
      <c r="B1208" s="33" t="s">
        <v>1656</v>
      </c>
      <c r="C1208" s="33">
        <v>8.44</v>
      </c>
      <c r="D1208" s="33" t="s">
        <v>639</v>
      </c>
      <c r="E1208" s="52" t="s">
        <v>6</v>
      </c>
      <c r="F1208" s="47" t="s">
        <v>2207</v>
      </c>
    </row>
    <row r="1209" spans="1:6" hidden="1" x14ac:dyDescent="0.2">
      <c r="A1209" s="44">
        <v>45715</v>
      </c>
      <c r="B1209" s="62" t="s">
        <v>2109</v>
      </c>
      <c r="C1209" s="42">
        <v>9.0399999999999991</v>
      </c>
      <c r="D1209" s="42" t="s">
        <v>639</v>
      </c>
      <c r="E1209" s="51" t="s">
        <v>6</v>
      </c>
      <c r="F1209" s="45" t="s">
        <v>2207</v>
      </c>
    </row>
    <row r="1210" spans="1:6" hidden="1" x14ac:dyDescent="0.2">
      <c r="A1210" s="46">
        <v>45715</v>
      </c>
      <c r="B1210" s="49" t="s">
        <v>2110</v>
      </c>
      <c r="C1210" s="33">
        <v>19.66</v>
      </c>
      <c r="D1210" s="33" t="s">
        <v>639</v>
      </c>
      <c r="E1210" s="52" t="s">
        <v>6</v>
      </c>
      <c r="F1210" s="47" t="s">
        <v>2207</v>
      </c>
    </row>
    <row r="1211" spans="1:6" hidden="1" x14ac:dyDescent="0.2">
      <c r="A1211" s="44">
        <v>45711</v>
      </c>
      <c r="B1211" s="42" t="s">
        <v>1656</v>
      </c>
      <c r="C1211" s="42">
        <v>39.11</v>
      </c>
      <c r="D1211" s="42" t="s">
        <v>639</v>
      </c>
      <c r="E1211" s="51" t="s">
        <v>6</v>
      </c>
      <c r="F1211" s="45" t="s">
        <v>2207</v>
      </c>
    </row>
    <row r="1212" spans="1:6" hidden="1" x14ac:dyDescent="0.2">
      <c r="A1212" s="46">
        <v>45710</v>
      </c>
      <c r="B1212" s="33" t="s">
        <v>2111</v>
      </c>
      <c r="C1212" s="33">
        <v>99.23</v>
      </c>
      <c r="D1212" s="33" t="s">
        <v>639</v>
      </c>
      <c r="E1212" s="52" t="s">
        <v>6</v>
      </c>
      <c r="F1212" s="47" t="s">
        <v>2207</v>
      </c>
    </row>
    <row r="1213" spans="1:6" hidden="1" x14ac:dyDescent="0.2">
      <c r="A1213" s="44">
        <v>45710</v>
      </c>
      <c r="B1213" s="62" t="s">
        <v>2112</v>
      </c>
      <c r="C1213" s="42">
        <v>16.54</v>
      </c>
      <c r="D1213" s="42" t="s">
        <v>639</v>
      </c>
      <c r="E1213" s="51" t="s">
        <v>6</v>
      </c>
      <c r="F1213" s="45" t="s">
        <v>2207</v>
      </c>
    </row>
    <row r="1214" spans="1:6" hidden="1" x14ac:dyDescent="0.2">
      <c r="A1214" s="46">
        <v>45708</v>
      </c>
      <c r="B1214" s="33" t="s">
        <v>2113</v>
      </c>
      <c r="C1214" s="33">
        <v>44.45</v>
      </c>
      <c r="D1214" s="33" t="s">
        <v>639</v>
      </c>
      <c r="E1214" s="52" t="s">
        <v>6</v>
      </c>
      <c r="F1214" s="47" t="s">
        <v>2207</v>
      </c>
    </row>
    <row r="1215" spans="1:6" hidden="1" x14ac:dyDescent="0.2">
      <c r="A1215" s="44">
        <v>45708</v>
      </c>
      <c r="B1215" s="42" t="s">
        <v>1985</v>
      </c>
      <c r="C1215" s="42">
        <v>38.78</v>
      </c>
      <c r="D1215" s="42" t="s">
        <v>639</v>
      </c>
      <c r="E1215" s="51" t="s">
        <v>6</v>
      </c>
      <c r="F1215" s="45" t="s">
        <v>2207</v>
      </c>
    </row>
    <row r="1216" spans="1:6" hidden="1" x14ac:dyDescent="0.2">
      <c r="A1216" s="46">
        <v>45708</v>
      </c>
      <c r="B1216" s="33" t="s">
        <v>1985</v>
      </c>
      <c r="C1216" s="33">
        <v>39.68</v>
      </c>
      <c r="D1216" s="33" t="s">
        <v>639</v>
      </c>
      <c r="E1216" s="52" t="s">
        <v>6</v>
      </c>
      <c r="F1216" s="47" t="s">
        <v>2207</v>
      </c>
    </row>
    <row r="1217" spans="1:6" hidden="1" x14ac:dyDescent="0.2">
      <c r="A1217" s="44">
        <v>45707</v>
      </c>
      <c r="B1217" s="42" t="s">
        <v>2115</v>
      </c>
      <c r="C1217" s="42">
        <v>32.99</v>
      </c>
      <c r="D1217" s="42" t="s">
        <v>639</v>
      </c>
      <c r="E1217" s="51" t="s">
        <v>6</v>
      </c>
      <c r="F1217" s="45" t="s">
        <v>2207</v>
      </c>
    </row>
    <row r="1218" spans="1:6" hidden="1" x14ac:dyDescent="0.2">
      <c r="A1218" s="46">
        <v>45706</v>
      </c>
      <c r="B1218" s="33" t="s">
        <v>1656</v>
      </c>
      <c r="C1218" s="33">
        <v>11.29</v>
      </c>
      <c r="D1218" s="33" t="s">
        <v>639</v>
      </c>
      <c r="E1218" s="52" t="s">
        <v>6</v>
      </c>
      <c r="F1218" s="47" t="s">
        <v>2207</v>
      </c>
    </row>
    <row r="1219" spans="1:6" hidden="1" x14ac:dyDescent="0.2">
      <c r="A1219" s="44">
        <v>45703</v>
      </c>
      <c r="B1219" s="62" t="s">
        <v>2121</v>
      </c>
      <c r="C1219" s="42">
        <v>110.34</v>
      </c>
      <c r="D1219" s="42" t="s">
        <v>639</v>
      </c>
      <c r="E1219" s="51" t="s">
        <v>6</v>
      </c>
      <c r="F1219" s="45" t="s">
        <v>2207</v>
      </c>
    </row>
    <row r="1220" spans="1:6" hidden="1" x14ac:dyDescent="0.2">
      <c r="A1220" s="46">
        <v>45703</v>
      </c>
      <c r="B1220" s="48" t="s">
        <v>2122</v>
      </c>
      <c r="C1220" s="33">
        <v>120.28</v>
      </c>
      <c r="D1220" s="33" t="s">
        <v>639</v>
      </c>
      <c r="E1220" s="52" t="s">
        <v>6</v>
      </c>
      <c r="F1220" s="47" t="s">
        <v>2207</v>
      </c>
    </row>
    <row r="1221" spans="1:6" hidden="1" x14ac:dyDescent="0.2">
      <c r="A1221" s="44">
        <v>45703</v>
      </c>
      <c r="B1221" s="50" t="s">
        <v>2123</v>
      </c>
      <c r="C1221" s="42">
        <v>40.71</v>
      </c>
      <c r="D1221" s="42" t="s">
        <v>639</v>
      </c>
      <c r="E1221" s="51" t="s">
        <v>6</v>
      </c>
      <c r="F1221" s="45" t="s">
        <v>2207</v>
      </c>
    </row>
    <row r="1222" spans="1:6" hidden="1" x14ac:dyDescent="0.2">
      <c r="A1222" s="46">
        <v>45703</v>
      </c>
      <c r="B1222" s="33" t="s">
        <v>2124</v>
      </c>
      <c r="C1222" s="33">
        <v>121.31</v>
      </c>
      <c r="D1222" s="33" t="s">
        <v>639</v>
      </c>
      <c r="E1222" s="52" t="s">
        <v>6</v>
      </c>
      <c r="F1222" s="47" t="s">
        <v>2207</v>
      </c>
    </row>
    <row r="1223" spans="1:6" hidden="1" x14ac:dyDescent="0.2">
      <c r="A1223" s="44">
        <v>45700</v>
      </c>
      <c r="B1223" s="42" t="s">
        <v>1636</v>
      </c>
      <c r="C1223" s="42">
        <v>27.11</v>
      </c>
      <c r="D1223" s="42" t="s">
        <v>639</v>
      </c>
      <c r="E1223" s="51" t="s">
        <v>6</v>
      </c>
      <c r="F1223" s="45" t="s">
        <v>2207</v>
      </c>
    </row>
    <row r="1224" spans="1:6" hidden="1" x14ac:dyDescent="0.2">
      <c r="A1224" s="46">
        <v>45697</v>
      </c>
      <c r="B1224" s="48" t="s">
        <v>2127</v>
      </c>
      <c r="C1224" s="33">
        <v>3.3</v>
      </c>
      <c r="D1224" s="33" t="s">
        <v>639</v>
      </c>
      <c r="E1224" s="52" t="s">
        <v>6</v>
      </c>
      <c r="F1224" s="47" t="s">
        <v>2207</v>
      </c>
    </row>
    <row r="1225" spans="1:6" hidden="1" x14ac:dyDescent="0.2">
      <c r="A1225" s="44">
        <v>45696</v>
      </c>
      <c r="B1225" s="62" t="s">
        <v>2128</v>
      </c>
      <c r="C1225" s="42">
        <v>39.700000000000003</v>
      </c>
      <c r="D1225" s="42" t="s">
        <v>639</v>
      </c>
      <c r="E1225" s="51" t="s">
        <v>6</v>
      </c>
      <c r="F1225" s="45" t="s">
        <v>2207</v>
      </c>
    </row>
    <row r="1226" spans="1:6" hidden="1" x14ac:dyDescent="0.2">
      <c r="A1226" s="46">
        <v>45695</v>
      </c>
      <c r="B1226" s="48" t="s">
        <v>2129</v>
      </c>
      <c r="C1226" s="33">
        <v>20.96</v>
      </c>
      <c r="D1226" s="33" t="s">
        <v>639</v>
      </c>
      <c r="E1226" s="52" t="s">
        <v>6</v>
      </c>
      <c r="F1226" s="47" t="s">
        <v>2207</v>
      </c>
    </row>
    <row r="1227" spans="1:6" hidden="1" x14ac:dyDescent="0.2">
      <c r="A1227" s="44">
        <v>45694</v>
      </c>
      <c r="B1227" s="42" t="s">
        <v>2131</v>
      </c>
      <c r="C1227" s="42">
        <v>29.76</v>
      </c>
      <c r="D1227" s="42" t="s">
        <v>639</v>
      </c>
      <c r="E1227" s="51" t="s">
        <v>6</v>
      </c>
      <c r="F1227" s="45" t="s">
        <v>2207</v>
      </c>
    </row>
    <row r="1228" spans="1:6" hidden="1" x14ac:dyDescent="0.2">
      <c r="A1228" s="46">
        <v>45692</v>
      </c>
      <c r="B1228" s="48" t="s">
        <v>2135</v>
      </c>
      <c r="C1228" s="33">
        <v>29.16</v>
      </c>
      <c r="D1228" s="33" t="s">
        <v>639</v>
      </c>
      <c r="E1228" s="52" t="s">
        <v>6</v>
      </c>
      <c r="F1228" s="47" t="s">
        <v>2207</v>
      </c>
    </row>
    <row r="1229" spans="1:6" hidden="1" x14ac:dyDescent="0.2">
      <c r="A1229" s="44">
        <v>45691</v>
      </c>
      <c r="B1229" s="62" t="s">
        <v>2137</v>
      </c>
      <c r="C1229" s="42">
        <v>17.48</v>
      </c>
      <c r="D1229" s="42" t="s">
        <v>639</v>
      </c>
      <c r="E1229" s="51" t="s">
        <v>6</v>
      </c>
      <c r="F1229" s="45" t="s">
        <v>2207</v>
      </c>
    </row>
    <row r="1230" spans="1:6" hidden="1" x14ac:dyDescent="0.2">
      <c r="A1230" s="46">
        <v>45689</v>
      </c>
      <c r="B1230" s="48" t="s">
        <v>2139</v>
      </c>
      <c r="C1230" s="33">
        <v>18.2</v>
      </c>
      <c r="D1230" s="33" t="s">
        <v>639</v>
      </c>
      <c r="E1230" s="52" t="s">
        <v>6</v>
      </c>
      <c r="F1230" s="47" t="s">
        <v>2207</v>
      </c>
    </row>
    <row r="1231" spans="1:6" hidden="1" x14ac:dyDescent="0.2">
      <c r="A1231" s="44">
        <v>45689</v>
      </c>
      <c r="B1231" s="62" t="s">
        <v>2141</v>
      </c>
      <c r="C1231" s="42">
        <v>33.65</v>
      </c>
      <c r="D1231" s="42" t="s">
        <v>639</v>
      </c>
      <c r="E1231" s="51" t="s">
        <v>6</v>
      </c>
      <c r="F1231" s="45" t="s">
        <v>2207</v>
      </c>
    </row>
    <row r="1232" spans="1:6" hidden="1" x14ac:dyDescent="0.2">
      <c r="A1232" s="46">
        <v>45688</v>
      </c>
      <c r="B1232" s="48" t="s">
        <v>2145</v>
      </c>
      <c r="C1232" s="33">
        <v>27.02</v>
      </c>
      <c r="D1232" s="33" t="s">
        <v>639</v>
      </c>
      <c r="E1232" s="52" t="s">
        <v>6</v>
      </c>
      <c r="F1232" s="47" t="s">
        <v>2207</v>
      </c>
    </row>
    <row r="1233" spans="1:6" hidden="1" x14ac:dyDescent="0.2">
      <c r="A1233" s="44">
        <v>45688</v>
      </c>
      <c r="B1233" s="50" t="s">
        <v>2146</v>
      </c>
      <c r="C1233" s="42">
        <v>20.97</v>
      </c>
      <c r="D1233" s="42" t="s">
        <v>639</v>
      </c>
      <c r="E1233" s="51" t="s">
        <v>6</v>
      </c>
      <c r="F1233" s="45" t="s">
        <v>2207</v>
      </c>
    </row>
    <row r="1234" spans="1:6" hidden="1" x14ac:dyDescent="0.2">
      <c r="A1234" s="46">
        <v>45683</v>
      </c>
      <c r="B1234" s="48" t="s">
        <v>2150</v>
      </c>
      <c r="C1234" s="33">
        <v>5.07</v>
      </c>
      <c r="D1234" s="33" t="s">
        <v>639</v>
      </c>
      <c r="E1234" s="52" t="s">
        <v>6</v>
      </c>
      <c r="F1234" s="47" t="s">
        <v>2207</v>
      </c>
    </row>
    <row r="1235" spans="1:6" hidden="1" x14ac:dyDescent="0.2">
      <c r="A1235" s="44">
        <v>45683</v>
      </c>
      <c r="B1235" s="62" t="s">
        <v>2151</v>
      </c>
      <c r="C1235" s="42">
        <v>38.49</v>
      </c>
      <c r="D1235" s="42" t="s">
        <v>639</v>
      </c>
      <c r="E1235" s="51" t="s">
        <v>6</v>
      </c>
      <c r="F1235" s="45" t="s">
        <v>2207</v>
      </c>
    </row>
    <row r="1236" spans="1:6" hidden="1" x14ac:dyDescent="0.2">
      <c r="A1236" s="46">
        <v>45680</v>
      </c>
      <c r="B1236" s="48" t="s">
        <v>2155</v>
      </c>
      <c r="C1236" s="33">
        <v>10.92</v>
      </c>
      <c r="D1236" s="33" t="s">
        <v>639</v>
      </c>
      <c r="E1236" s="52" t="s">
        <v>6</v>
      </c>
      <c r="F1236" s="47" t="s">
        <v>2207</v>
      </c>
    </row>
    <row r="1237" spans="1:6" hidden="1" x14ac:dyDescent="0.2">
      <c r="A1237" s="44">
        <v>45679</v>
      </c>
      <c r="B1237" s="62" t="s">
        <v>2156</v>
      </c>
      <c r="C1237" s="42">
        <v>16.54</v>
      </c>
      <c r="D1237" s="42" t="s">
        <v>639</v>
      </c>
      <c r="E1237" s="51" t="s">
        <v>6</v>
      </c>
      <c r="F1237" s="45" t="s">
        <v>2207</v>
      </c>
    </row>
    <row r="1238" spans="1:6" hidden="1" x14ac:dyDescent="0.2">
      <c r="A1238" s="46">
        <v>45678</v>
      </c>
      <c r="B1238" s="48" t="s">
        <v>2157</v>
      </c>
      <c r="C1238" s="33">
        <v>104.83</v>
      </c>
      <c r="D1238" s="33" t="s">
        <v>639</v>
      </c>
      <c r="E1238" s="52" t="s">
        <v>6</v>
      </c>
      <c r="F1238" s="47" t="s">
        <v>2207</v>
      </c>
    </row>
    <row r="1239" spans="1:6" hidden="1" x14ac:dyDescent="0.2">
      <c r="A1239" s="44">
        <v>45678</v>
      </c>
      <c r="B1239" s="62" t="s">
        <v>2158</v>
      </c>
      <c r="C1239" s="42">
        <v>209.65</v>
      </c>
      <c r="D1239" s="42" t="s">
        <v>639</v>
      </c>
      <c r="E1239" s="51" t="s">
        <v>6</v>
      </c>
      <c r="F1239" s="45" t="s">
        <v>2207</v>
      </c>
    </row>
    <row r="1240" spans="1:6" hidden="1" x14ac:dyDescent="0.2">
      <c r="A1240" s="46">
        <v>45675</v>
      </c>
      <c r="B1240" s="33" t="s">
        <v>2124</v>
      </c>
      <c r="C1240" s="33">
        <v>13.74</v>
      </c>
      <c r="D1240" s="33" t="s">
        <v>639</v>
      </c>
      <c r="E1240" s="52" t="s">
        <v>6</v>
      </c>
      <c r="F1240" s="47" t="s">
        <v>2207</v>
      </c>
    </row>
    <row r="1241" spans="1:6" hidden="1" x14ac:dyDescent="0.2">
      <c r="A1241" s="44">
        <v>45673</v>
      </c>
      <c r="B1241" s="62" t="s">
        <v>2164</v>
      </c>
      <c r="C1241" s="42">
        <v>8.82</v>
      </c>
      <c r="D1241" s="42" t="s">
        <v>639</v>
      </c>
      <c r="E1241" s="51" t="s">
        <v>6</v>
      </c>
      <c r="F1241" s="45" t="s">
        <v>2207</v>
      </c>
    </row>
    <row r="1242" spans="1:6" hidden="1" x14ac:dyDescent="0.2">
      <c r="A1242" s="46">
        <v>45670</v>
      </c>
      <c r="B1242" s="48" t="s">
        <v>2167</v>
      </c>
      <c r="C1242" s="33">
        <v>208.97</v>
      </c>
      <c r="D1242" s="33" t="s">
        <v>639</v>
      </c>
      <c r="E1242" s="52" t="s">
        <v>6</v>
      </c>
      <c r="F1242" s="47" t="s">
        <v>2207</v>
      </c>
    </row>
    <row r="1243" spans="1:6" hidden="1" x14ac:dyDescent="0.2">
      <c r="A1243" s="44">
        <v>45668</v>
      </c>
      <c r="B1243" s="62" t="s">
        <v>2172</v>
      </c>
      <c r="C1243" s="42">
        <v>25.91</v>
      </c>
      <c r="D1243" s="42" t="s">
        <v>639</v>
      </c>
      <c r="E1243" s="51" t="s">
        <v>6</v>
      </c>
      <c r="F1243" s="45" t="s">
        <v>2207</v>
      </c>
    </row>
    <row r="1244" spans="1:6" hidden="1" x14ac:dyDescent="0.2">
      <c r="A1244" s="46">
        <v>45666</v>
      </c>
      <c r="B1244" s="48" t="s">
        <v>2174</v>
      </c>
      <c r="C1244" s="33">
        <v>3.3</v>
      </c>
      <c r="D1244" s="33" t="s">
        <v>639</v>
      </c>
      <c r="E1244" s="52" t="s">
        <v>6</v>
      </c>
      <c r="F1244" s="47" t="s">
        <v>2207</v>
      </c>
    </row>
    <row r="1245" spans="1:6" hidden="1" x14ac:dyDescent="0.2">
      <c r="A1245" s="44">
        <v>45666</v>
      </c>
      <c r="B1245" s="50" t="s">
        <v>2177</v>
      </c>
      <c r="C1245" s="42">
        <v>42.9</v>
      </c>
      <c r="D1245" s="42" t="s">
        <v>639</v>
      </c>
      <c r="E1245" s="51" t="s">
        <v>6</v>
      </c>
      <c r="F1245" s="45" t="s">
        <v>2207</v>
      </c>
    </row>
    <row r="1246" spans="1:6" hidden="1" x14ac:dyDescent="0.2">
      <c r="A1246" s="46">
        <v>45663</v>
      </c>
      <c r="B1246" s="33" t="s">
        <v>2179</v>
      </c>
      <c r="C1246" s="33">
        <v>59.57</v>
      </c>
      <c r="D1246" s="33" t="s">
        <v>639</v>
      </c>
      <c r="E1246" s="52" t="s">
        <v>6</v>
      </c>
      <c r="F1246" s="47" t="s">
        <v>2207</v>
      </c>
    </row>
    <row r="1247" spans="1:6" hidden="1" x14ac:dyDescent="0.2">
      <c r="A1247" s="44">
        <v>45662</v>
      </c>
      <c r="B1247" s="42" t="s">
        <v>2189</v>
      </c>
      <c r="C1247" s="42">
        <v>55.16</v>
      </c>
      <c r="D1247" s="42" t="s">
        <v>639</v>
      </c>
      <c r="E1247" s="51" t="s">
        <v>6</v>
      </c>
      <c r="F1247" s="45" t="s">
        <v>2207</v>
      </c>
    </row>
    <row r="1248" spans="1:6" hidden="1" x14ac:dyDescent="0.2">
      <c r="A1248" s="46">
        <v>45659</v>
      </c>
      <c r="B1248" s="49" t="s">
        <v>2198</v>
      </c>
      <c r="C1248" s="33">
        <v>59.53</v>
      </c>
      <c r="D1248" s="33" t="s">
        <v>639</v>
      </c>
      <c r="E1248" s="52" t="s">
        <v>6</v>
      </c>
      <c r="F1248" s="47" t="s">
        <v>2207</v>
      </c>
    </row>
    <row r="1249" spans="1:6" hidden="1" x14ac:dyDescent="0.2">
      <c r="A1249" s="44">
        <v>45976</v>
      </c>
      <c r="B1249" s="42" t="s">
        <v>750</v>
      </c>
      <c r="C1249" s="42">
        <v>109.25</v>
      </c>
      <c r="D1249" s="42" t="s">
        <v>639</v>
      </c>
      <c r="E1249" s="51" t="s">
        <v>6</v>
      </c>
      <c r="F1249" s="45" t="s">
        <v>2207</v>
      </c>
    </row>
    <row r="1250" spans="1:6" hidden="1" x14ac:dyDescent="0.2">
      <c r="A1250" s="46">
        <v>45943</v>
      </c>
      <c r="B1250" s="33" t="s">
        <v>761</v>
      </c>
      <c r="C1250" s="33">
        <v>27.53</v>
      </c>
      <c r="D1250" s="33" t="s">
        <v>639</v>
      </c>
      <c r="E1250" s="52" t="s">
        <v>6</v>
      </c>
      <c r="F1250" s="47" t="s">
        <v>2207</v>
      </c>
    </row>
    <row r="1251" spans="1:6" hidden="1" x14ac:dyDescent="0.2">
      <c r="A1251" s="44">
        <v>45953</v>
      </c>
      <c r="B1251" s="42" t="s">
        <v>760</v>
      </c>
      <c r="C1251" s="42">
        <v>54.08</v>
      </c>
      <c r="D1251" s="42" t="s">
        <v>639</v>
      </c>
      <c r="E1251" s="51" t="s">
        <v>6</v>
      </c>
      <c r="F1251" s="45" t="s">
        <v>2207</v>
      </c>
    </row>
    <row r="1252" spans="1:6" hidden="1" x14ac:dyDescent="0.2">
      <c r="A1252" s="46">
        <v>45949</v>
      </c>
      <c r="B1252" s="33" t="s">
        <v>712</v>
      </c>
      <c r="C1252" s="33">
        <v>44</v>
      </c>
      <c r="D1252" s="33" t="s">
        <v>639</v>
      </c>
      <c r="E1252" s="52" t="s">
        <v>45</v>
      </c>
      <c r="F1252" s="47" t="s">
        <v>2207</v>
      </c>
    </row>
    <row r="1253" spans="1:6" hidden="1" x14ac:dyDescent="0.2">
      <c r="A1253" s="44">
        <v>45957</v>
      </c>
      <c r="B1253" s="42" t="s">
        <v>708</v>
      </c>
      <c r="C1253" s="42">
        <v>72.27</v>
      </c>
      <c r="D1253" s="42" t="s">
        <v>639</v>
      </c>
      <c r="E1253" s="51" t="s">
        <v>6</v>
      </c>
      <c r="F1253" s="45" t="s">
        <v>2207</v>
      </c>
    </row>
    <row r="1254" spans="1:6" hidden="1" x14ac:dyDescent="0.2">
      <c r="A1254" s="46">
        <v>45918</v>
      </c>
      <c r="B1254" s="33" t="s">
        <v>1644</v>
      </c>
      <c r="C1254" s="33">
        <v>388.25</v>
      </c>
      <c r="D1254" s="33" t="s">
        <v>781</v>
      </c>
      <c r="E1254" s="52" t="s">
        <v>6</v>
      </c>
      <c r="F1254" s="47" t="s">
        <v>2207</v>
      </c>
    </row>
    <row r="1255" spans="1:6" hidden="1" x14ac:dyDescent="0.2">
      <c r="A1255" s="44">
        <v>45915</v>
      </c>
      <c r="B1255" s="62" t="s">
        <v>1560</v>
      </c>
      <c r="C1255" s="42">
        <v>1233.43</v>
      </c>
      <c r="D1255" s="42" t="s">
        <v>781</v>
      </c>
      <c r="E1255" s="51" t="s">
        <v>6</v>
      </c>
      <c r="F1255" s="45" t="s">
        <v>2207</v>
      </c>
    </row>
    <row r="1256" spans="1:6" hidden="1" x14ac:dyDescent="0.2">
      <c r="A1256" s="46">
        <v>45912</v>
      </c>
      <c r="B1256" s="33" t="s">
        <v>1651</v>
      </c>
      <c r="C1256" s="33">
        <v>122.54</v>
      </c>
      <c r="D1256" s="33" t="s">
        <v>781</v>
      </c>
      <c r="E1256" s="52" t="s">
        <v>45</v>
      </c>
      <c r="F1256" s="47" t="s">
        <v>2207</v>
      </c>
    </row>
    <row r="1257" spans="1:6" hidden="1" x14ac:dyDescent="0.2">
      <c r="A1257" s="44">
        <v>45908</v>
      </c>
      <c r="B1257" s="42" t="s">
        <v>1651</v>
      </c>
      <c r="C1257" s="42">
        <v>45.02</v>
      </c>
      <c r="D1257" s="42" t="s">
        <v>781</v>
      </c>
      <c r="E1257" s="51" t="s">
        <v>45</v>
      </c>
      <c r="F1257" s="45" t="s">
        <v>2207</v>
      </c>
    </row>
    <row r="1258" spans="1:6" hidden="1" x14ac:dyDescent="0.2">
      <c r="A1258" s="46">
        <v>45887</v>
      </c>
      <c r="B1258" s="33" t="s">
        <v>1644</v>
      </c>
      <c r="C1258" s="33">
        <v>761.5</v>
      </c>
      <c r="D1258" s="33" t="s">
        <v>781</v>
      </c>
      <c r="E1258" s="52" t="s">
        <v>6</v>
      </c>
      <c r="F1258" s="47" t="s">
        <v>2207</v>
      </c>
    </row>
    <row r="1259" spans="1:6" hidden="1" x14ac:dyDescent="0.2">
      <c r="A1259" s="44">
        <v>45884</v>
      </c>
      <c r="B1259" s="62" t="s">
        <v>1560</v>
      </c>
      <c r="C1259" s="42">
        <v>1233.43</v>
      </c>
      <c r="D1259" s="42" t="s">
        <v>781</v>
      </c>
      <c r="E1259" s="51" t="s">
        <v>6</v>
      </c>
      <c r="F1259" s="45" t="s">
        <v>2207</v>
      </c>
    </row>
    <row r="1260" spans="1:6" hidden="1" x14ac:dyDescent="0.2">
      <c r="A1260" s="46">
        <v>45881</v>
      </c>
      <c r="B1260" s="33" t="s">
        <v>1651</v>
      </c>
      <c r="C1260" s="33">
        <v>122.54</v>
      </c>
      <c r="D1260" s="33" t="s">
        <v>781</v>
      </c>
      <c r="E1260" s="52" t="s">
        <v>45</v>
      </c>
      <c r="F1260" s="47" t="s">
        <v>2207</v>
      </c>
    </row>
    <row r="1261" spans="1:6" hidden="1" x14ac:dyDescent="0.2">
      <c r="A1261" s="44">
        <v>45877</v>
      </c>
      <c r="B1261" s="42" t="s">
        <v>1651</v>
      </c>
      <c r="C1261" s="42">
        <v>45.02</v>
      </c>
      <c r="D1261" s="42" t="s">
        <v>781</v>
      </c>
      <c r="E1261" s="51" t="s">
        <v>45</v>
      </c>
      <c r="F1261" s="45" t="s">
        <v>2207</v>
      </c>
    </row>
    <row r="1262" spans="1:6" hidden="1" x14ac:dyDescent="0.2">
      <c r="A1262" s="46">
        <v>45853</v>
      </c>
      <c r="B1262" s="48" t="s">
        <v>1560</v>
      </c>
      <c r="C1262" s="33">
        <v>1288.96</v>
      </c>
      <c r="D1262" s="33" t="s">
        <v>781</v>
      </c>
      <c r="E1262" s="52" t="s">
        <v>6</v>
      </c>
      <c r="F1262" s="47" t="s">
        <v>2207</v>
      </c>
    </row>
    <row r="1263" spans="1:6" hidden="1" x14ac:dyDescent="0.2">
      <c r="A1263" s="44">
        <v>45850</v>
      </c>
      <c r="B1263" s="42" t="s">
        <v>1651</v>
      </c>
      <c r="C1263" s="42">
        <v>122.54</v>
      </c>
      <c r="D1263" s="42" t="s">
        <v>781</v>
      </c>
      <c r="E1263" s="51" t="s">
        <v>45</v>
      </c>
      <c r="F1263" s="45" t="s">
        <v>2207</v>
      </c>
    </row>
    <row r="1264" spans="1:6" hidden="1" x14ac:dyDescent="0.2">
      <c r="A1264" s="46">
        <v>45846</v>
      </c>
      <c r="B1264" s="33" t="s">
        <v>1651</v>
      </c>
      <c r="C1264" s="33">
        <v>45.02</v>
      </c>
      <c r="D1264" s="33" t="s">
        <v>781</v>
      </c>
      <c r="E1264" s="52" t="s">
        <v>45</v>
      </c>
      <c r="F1264" s="47" t="s">
        <v>2207</v>
      </c>
    </row>
    <row r="1265" spans="1:6" hidden="1" x14ac:dyDescent="0.2">
      <c r="A1265" s="44">
        <v>45823</v>
      </c>
      <c r="B1265" s="62" t="s">
        <v>1560</v>
      </c>
      <c r="C1265" s="42">
        <v>1255.5899999999999</v>
      </c>
      <c r="D1265" s="42" t="s">
        <v>781</v>
      </c>
      <c r="E1265" s="51" t="s">
        <v>6</v>
      </c>
      <c r="F1265" s="45" t="s">
        <v>2207</v>
      </c>
    </row>
    <row r="1266" spans="1:6" hidden="1" x14ac:dyDescent="0.2">
      <c r="A1266" s="46">
        <v>45820</v>
      </c>
      <c r="B1266" s="33" t="s">
        <v>1948</v>
      </c>
      <c r="C1266" s="33">
        <v>118.98</v>
      </c>
      <c r="D1266" s="33" t="s">
        <v>781</v>
      </c>
      <c r="E1266" s="52" t="s">
        <v>45</v>
      </c>
      <c r="F1266" s="47" t="s">
        <v>2207</v>
      </c>
    </row>
    <row r="1267" spans="1:6" hidden="1" x14ac:dyDescent="0.2">
      <c r="A1267" s="44">
        <v>45817</v>
      </c>
      <c r="B1267" s="42" t="s">
        <v>1644</v>
      </c>
      <c r="C1267" s="42">
        <v>378.25</v>
      </c>
      <c r="D1267" s="42" t="s">
        <v>781</v>
      </c>
      <c r="E1267" s="51" t="s">
        <v>6</v>
      </c>
      <c r="F1267" s="45" t="s">
        <v>2207</v>
      </c>
    </row>
    <row r="1268" spans="1:6" hidden="1" x14ac:dyDescent="0.2">
      <c r="A1268" s="46">
        <v>45816</v>
      </c>
      <c r="B1268" s="33" t="s">
        <v>1948</v>
      </c>
      <c r="C1268" s="33">
        <v>43.71</v>
      </c>
      <c r="D1268" s="33" t="s">
        <v>781</v>
      </c>
      <c r="E1268" s="52" t="s">
        <v>45</v>
      </c>
      <c r="F1268" s="47" t="s">
        <v>2207</v>
      </c>
    </row>
    <row r="1269" spans="1:6" hidden="1" x14ac:dyDescent="0.2">
      <c r="A1269" s="44">
        <v>45792</v>
      </c>
      <c r="B1269" s="62" t="s">
        <v>1560</v>
      </c>
      <c r="C1269" s="42">
        <v>1255.6500000000001</v>
      </c>
      <c r="D1269" s="42" t="s">
        <v>781</v>
      </c>
      <c r="E1269" s="51" t="s">
        <v>6</v>
      </c>
      <c r="F1269" s="45" t="s">
        <v>2207</v>
      </c>
    </row>
    <row r="1270" spans="1:6" hidden="1" x14ac:dyDescent="0.2">
      <c r="A1270" s="46">
        <v>45762</v>
      </c>
      <c r="B1270" s="48" t="s">
        <v>1560</v>
      </c>
      <c r="C1270" s="33">
        <v>1255.6500000000001</v>
      </c>
      <c r="D1270" s="33" t="s">
        <v>781</v>
      </c>
      <c r="E1270" s="52" t="s">
        <v>6</v>
      </c>
      <c r="F1270" s="47" t="s">
        <v>2207</v>
      </c>
    </row>
    <row r="1271" spans="1:6" hidden="1" x14ac:dyDescent="0.2">
      <c r="A1271" s="44">
        <v>45731</v>
      </c>
      <c r="B1271" s="62" t="s">
        <v>1560</v>
      </c>
      <c r="C1271" s="42">
        <v>1255.6500000000001</v>
      </c>
      <c r="D1271" s="42" t="s">
        <v>781</v>
      </c>
      <c r="E1271" s="51" t="s">
        <v>6</v>
      </c>
      <c r="F1271" s="45" t="s">
        <v>2207</v>
      </c>
    </row>
    <row r="1272" spans="1:6" hidden="1" x14ac:dyDescent="0.2">
      <c r="A1272" s="46">
        <v>45703</v>
      </c>
      <c r="B1272" s="48" t="s">
        <v>1560</v>
      </c>
      <c r="C1272" s="33">
        <v>1255.6500000000001</v>
      </c>
      <c r="D1272" s="33" t="s">
        <v>781</v>
      </c>
      <c r="E1272" s="52" t="s">
        <v>6</v>
      </c>
      <c r="F1272" s="47" t="s">
        <v>2207</v>
      </c>
    </row>
    <row r="1273" spans="1:6" hidden="1" x14ac:dyDescent="0.2">
      <c r="A1273" s="44">
        <v>45672</v>
      </c>
      <c r="B1273" s="62" t="s">
        <v>1560</v>
      </c>
      <c r="C1273" s="42">
        <v>1418.43</v>
      </c>
      <c r="D1273" s="42" t="s">
        <v>781</v>
      </c>
      <c r="E1273" s="51" t="s">
        <v>6</v>
      </c>
      <c r="F1273" s="45" t="s">
        <v>2207</v>
      </c>
    </row>
    <row r="1274" spans="1:6" hidden="1" x14ac:dyDescent="0.2">
      <c r="A1274" s="46">
        <v>45977</v>
      </c>
      <c r="B1274" s="33" t="s">
        <v>791</v>
      </c>
      <c r="C1274" s="33">
        <v>1233.47</v>
      </c>
      <c r="D1274" s="33" t="s">
        <v>781</v>
      </c>
      <c r="E1274" s="52" t="s">
        <v>6</v>
      </c>
      <c r="F1274" s="47" t="s">
        <v>2207</v>
      </c>
    </row>
    <row r="1275" spans="1:6" hidden="1" x14ac:dyDescent="0.2">
      <c r="A1275" s="44">
        <v>45945</v>
      </c>
      <c r="B1275" s="42" t="s">
        <v>791</v>
      </c>
      <c r="C1275" s="42">
        <v>1233.43</v>
      </c>
      <c r="D1275" s="42" t="s">
        <v>781</v>
      </c>
      <c r="E1275" s="51" t="s">
        <v>6</v>
      </c>
      <c r="F1275" s="45" t="s">
        <v>2207</v>
      </c>
    </row>
    <row r="1276" spans="1:6" hidden="1" x14ac:dyDescent="0.2">
      <c r="A1276" s="46">
        <v>45922</v>
      </c>
      <c r="B1276" s="48" t="s">
        <v>1548</v>
      </c>
      <c r="C1276" s="33">
        <v>66.150000000000006</v>
      </c>
      <c r="D1276" s="33" t="s">
        <v>796</v>
      </c>
      <c r="E1276" s="52" t="s">
        <v>45</v>
      </c>
      <c r="F1276" s="47" t="s">
        <v>2207</v>
      </c>
    </row>
    <row r="1277" spans="1:6" hidden="1" x14ac:dyDescent="0.2">
      <c r="A1277" s="44">
        <v>45891</v>
      </c>
      <c r="B1277" s="62" t="s">
        <v>1548</v>
      </c>
      <c r="C1277" s="42">
        <v>66.150000000000006</v>
      </c>
      <c r="D1277" s="42" t="s">
        <v>796</v>
      </c>
      <c r="E1277" s="51" t="s">
        <v>45</v>
      </c>
      <c r="F1277" s="45" t="s">
        <v>2207</v>
      </c>
    </row>
    <row r="1278" spans="1:6" hidden="1" x14ac:dyDescent="0.2">
      <c r="A1278" s="46">
        <v>45860</v>
      </c>
      <c r="B1278" s="48" t="s">
        <v>1548</v>
      </c>
      <c r="C1278" s="33">
        <v>66.150000000000006</v>
      </c>
      <c r="D1278" s="33" t="s">
        <v>796</v>
      </c>
      <c r="E1278" s="52" t="s">
        <v>45</v>
      </c>
      <c r="F1278" s="47" t="s">
        <v>2207</v>
      </c>
    </row>
    <row r="1279" spans="1:6" hidden="1" x14ac:dyDescent="0.2">
      <c r="A1279" s="44">
        <v>45839</v>
      </c>
      <c r="B1279" s="42" t="s">
        <v>797</v>
      </c>
      <c r="C1279" s="42">
        <v>49</v>
      </c>
      <c r="D1279" s="42" t="s">
        <v>796</v>
      </c>
      <c r="E1279" s="51" t="s">
        <v>6</v>
      </c>
      <c r="F1279" s="45" t="s">
        <v>2207</v>
      </c>
    </row>
    <row r="1280" spans="1:6" hidden="1" x14ac:dyDescent="0.2">
      <c r="A1280" s="46">
        <v>45838</v>
      </c>
      <c r="B1280" s="33" t="s">
        <v>1872</v>
      </c>
      <c r="C1280" s="33">
        <v>30</v>
      </c>
      <c r="D1280" s="33" t="s">
        <v>796</v>
      </c>
      <c r="E1280" s="52" t="s">
        <v>45</v>
      </c>
      <c r="F1280" s="47" t="s">
        <v>2207</v>
      </c>
    </row>
    <row r="1281" spans="1:6" hidden="1" x14ac:dyDescent="0.2">
      <c r="A1281" s="44">
        <v>45830</v>
      </c>
      <c r="B1281" s="62" t="s">
        <v>1548</v>
      </c>
      <c r="C1281" s="42">
        <v>66.150000000000006</v>
      </c>
      <c r="D1281" s="42" t="s">
        <v>796</v>
      </c>
      <c r="E1281" s="51" t="s">
        <v>45</v>
      </c>
      <c r="F1281" s="45" t="s">
        <v>2207</v>
      </c>
    </row>
    <row r="1282" spans="1:6" hidden="1" x14ac:dyDescent="0.2">
      <c r="A1282" s="46">
        <v>45816</v>
      </c>
      <c r="B1282" s="33" t="s">
        <v>1956</v>
      </c>
      <c r="C1282" s="33">
        <v>852.01</v>
      </c>
      <c r="D1282" s="33" t="s">
        <v>796</v>
      </c>
      <c r="E1282" s="52" t="s">
        <v>45</v>
      </c>
      <c r="F1282" s="47" t="s">
        <v>2207</v>
      </c>
    </row>
    <row r="1283" spans="1:6" hidden="1" x14ac:dyDescent="0.2">
      <c r="A1283" s="44">
        <v>45799</v>
      </c>
      <c r="B1283" s="62" t="s">
        <v>1548</v>
      </c>
      <c r="C1283" s="42">
        <v>66.150000000000006</v>
      </c>
      <c r="D1283" s="42" t="s">
        <v>796</v>
      </c>
      <c r="E1283" s="51" t="s">
        <v>45</v>
      </c>
      <c r="F1283" s="45" t="s">
        <v>2207</v>
      </c>
    </row>
    <row r="1284" spans="1:6" hidden="1" x14ac:dyDescent="0.2">
      <c r="A1284" s="46">
        <v>45769</v>
      </c>
      <c r="B1284" s="48" t="s">
        <v>1548</v>
      </c>
      <c r="C1284" s="33">
        <v>66.150000000000006</v>
      </c>
      <c r="D1284" s="33" t="s">
        <v>796</v>
      </c>
      <c r="E1284" s="52" t="s">
        <v>45</v>
      </c>
      <c r="F1284" s="47" t="s">
        <v>2207</v>
      </c>
    </row>
    <row r="1285" spans="1:6" hidden="1" x14ac:dyDescent="0.2">
      <c r="A1285" s="44">
        <v>45738</v>
      </c>
      <c r="B1285" s="62" t="s">
        <v>1548</v>
      </c>
      <c r="C1285" s="42">
        <v>66.150000000000006</v>
      </c>
      <c r="D1285" s="42" t="s">
        <v>796</v>
      </c>
      <c r="E1285" s="51" t="s">
        <v>45</v>
      </c>
      <c r="F1285" s="45" t="s">
        <v>2207</v>
      </c>
    </row>
    <row r="1286" spans="1:6" hidden="1" x14ac:dyDescent="0.2">
      <c r="A1286" s="46">
        <v>45732</v>
      </c>
      <c r="B1286" s="33" t="s">
        <v>2081</v>
      </c>
      <c r="C1286" s="33">
        <v>9.1</v>
      </c>
      <c r="D1286" s="33" t="s">
        <v>796</v>
      </c>
      <c r="E1286" s="52" t="s">
        <v>45</v>
      </c>
      <c r="F1286" s="47" t="s">
        <v>2207</v>
      </c>
    </row>
    <row r="1287" spans="1:6" hidden="1" x14ac:dyDescent="0.2">
      <c r="A1287" s="44">
        <v>45730</v>
      </c>
      <c r="B1287" s="42" t="s">
        <v>2081</v>
      </c>
      <c r="C1287" s="42">
        <v>6.29</v>
      </c>
      <c r="D1287" s="42" t="s">
        <v>796</v>
      </c>
      <c r="E1287" s="51" t="s">
        <v>45</v>
      </c>
      <c r="F1287" s="45" t="s">
        <v>2207</v>
      </c>
    </row>
    <row r="1288" spans="1:6" hidden="1" x14ac:dyDescent="0.2">
      <c r="A1288" s="46">
        <v>45710</v>
      </c>
      <c r="B1288" s="48" t="s">
        <v>1548</v>
      </c>
      <c r="C1288" s="33">
        <v>66.150000000000006</v>
      </c>
      <c r="D1288" s="33" t="s">
        <v>796</v>
      </c>
      <c r="E1288" s="52" t="s">
        <v>45</v>
      </c>
      <c r="F1288" s="47" t="s">
        <v>2207</v>
      </c>
    </row>
    <row r="1289" spans="1:6" hidden="1" x14ac:dyDescent="0.2">
      <c r="A1289" s="44">
        <v>45679</v>
      </c>
      <c r="B1289" s="62" t="s">
        <v>1548</v>
      </c>
      <c r="C1289" s="42">
        <v>66.150000000000006</v>
      </c>
      <c r="D1289" s="42" t="s">
        <v>796</v>
      </c>
      <c r="E1289" s="51" t="s">
        <v>45</v>
      </c>
      <c r="F1289" s="45" t="s">
        <v>2207</v>
      </c>
    </row>
    <row r="1290" spans="1:6" hidden="1" x14ac:dyDescent="0.2">
      <c r="A1290" s="46">
        <v>45878</v>
      </c>
      <c r="B1290" s="33" t="s">
        <v>1746</v>
      </c>
      <c r="C1290" s="33">
        <v>7.16</v>
      </c>
      <c r="D1290" s="33" t="s">
        <v>810</v>
      </c>
      <c r="E1290" s="52" t="s">
        <v>6</v>
      </c>
      <c r="F1290" s="47" t="s">
        <v>2207</v>
      </c>
    </row>
    <row r="1291" spans="1:6" hidden="1" x14ac:dyDescent="0.2">
      <c r="A1291" s="44">
        <v>45847</v>
      </c>
      <c r="B1291" s="42" t="s">
        <v>1847</v>
      </c>
      <c r="C1291" s="42">
        <v>1.47</v>
      </c>
      <c r="D1291" s="42" t="s">
        <v>810</v>
      </c>
      <c r="E1291" s="51" t="s">
        <v>6</v>
      </c>
      <c r="F1291" s="45" t="s">
        <v>2207</v>
      </c>
    </row>
    <row r="1292" spans="1:6" hidden="1" x14ac:dyDescent="0.2">
      <c r="A1292" s="46">
        <v>45847</v>
      </c>
      <c r="B1292" s="33" t="s">
        <v>1847</v>
      </c>
      <c r="C1292" s="33">
        <v>6</v>
      </c>
      <c r="D1292" s="33" t="s">
        <v>810</v>
      </c>
      <c r="E1292" s="52" t="s">
        <v>6</v>
      </c>
      <c r="F1292" s="47" t="s">
        <v>2207</v>
      </c>
    </row>
    <row r="1293" spans="1:6" hidden="1" x14ac:dyDescent="0.2">
      <c r="A1293" s="44">
        <v>45840</v>
      </c>
      <c r="B1293" s="42" t="s">
        <v>1847</v>
      </c>
      <c r="C1293" s="42">
        <v>6.5</v>
      </c>
      <c r="D1293" s="42" t="s">
        <v>810</v>
      </c>
      <c r="E1293" s="51" t="s">
        <v>6</v>
      </c>
      <c r="F1293" s="45" t="s">
        <v>2207</v>
      </c>
    </row>
    <row r="1294" spans="1:6" hidden="1" x14ac:dyDescent="0.2">
      <c r="A1294" s="46">
        <v>45835</v>
      </c>
      <c r="B1294" s="33" t="s">
        <v>1847</v>
      </c>
      <c r="C1294" s="33">
        <v>1.5</v>
      </c>
      <c r="D1294" s="33" t="s">
        <v>810</v>
      </c>
      <c r="E1294" s="52" t="s">
        <v>6</v>
      </c>
      <c r="F1294" s="47" t="s">
        <v>2207</v>
      </c>
    </row>
    <row r="1295" spans="1:6" hidden="1" x14ac:dyDescent="0.2">
      <c r="A1295" s="44">
        <v>45835</v>
      </c>
      <c r="B1295" s="42" t="s">
        <v>1847</v>
      </c>
      <c r="C1295" s="42">
        <v>1.5</v>
      </c>
      <c r="D1295" s="42" t="s">
        <v>810</v>
      </c>
      <c r="E1295" s="51" t="s">
        <v>6</v>
      </c>
      <c r="F1295" s="45" t="s">
        <v>2207</v>
      </c>
    </row>
    <row r="1296" spans="1:6" hidden="1" x14ac:dyDescent="0.2">
      <c r="A1296" s="46">
        <v>45834</v>
      </c>
      <c r="B1296" s="33" t="s">
        <v>1847</v>
      </c>
      <c r="C1296" s="33">
        <v>2.25</v>
      </c>
      <c r="D1296" s="33" t="s">
        <v>810</v>
      </c>
      <c r="E1296" s="52" t="s">
        <v>6</v>
      </c>
      <c r="F1296" s="47" t="s">
        <v>2207</v>
      </c>
    </row>
    <row r="1297" spans="1:6" hidden="1" x14ac:dyDescent="0.2">
      <c r="A1297" s="44">
        <v>45831</v>
      </c>
      <c r="B1297" s="42" t="s">
        <v>1847</v>
      </c>
      <c r="C1297" s="42">
        <v>2</v>
      </c>
      <c r="D1297" s="42" t="s">
        <v>810</v>
      </c>
      <c r="E1297" s="51" t="s">
        <v>6</v>
      </c>
      <c r="F1297" s="45" t="s">
        <v>2207</v>
      </c>
    </row>
    <row r="1298" spans="1:6" hidden="1" x14ac:dyDescent="0.2">
      <c r="A1298" s="46">
        <v>45825</v>
      </c>
      <c r="B1298" s="33" t="s">
        <v>1847</v>
      </c>
      <c r="C1298" s="33">
        <v>1.38</v>
      </c>
      <c r="D1298" s="33" t="s">
        <v>810</v>
      </c>
      <c r="E1298" s="52" t="s">
        <v>6</v>
      </c>
      <c r="F1298" s="47" t="s">
        <v>2207</v>
      </c>
    </row>
    <row r="1299" spans="1:6" hidden="1" x14ac:dyDescent="0.2">
      <c r="A1299" s="44">
        <v>45824</v>
      </c>
      <c r="B1299" s="42" t="s">
        <v>1847</v>
      </c>
      <c r="C1299" s="42">
        <v>5.5</v>
      </c>
      <c r="D1299" s="42" t="s">
        <v>810</v>
      </c>
      <c r="E1299" s="51" t="s">
        <v>6</v>
      </c>
      <c r="F1299" s="45" t="s">
        <v>2207</v>
      </c>
    </row>
    <row r="1300" spans="1:6" hidden="1" x14ac:dyDescent="0.2">
      <c r="A1300" s="46">
        <v>45818</v>
      </c>
      <c r="B1300" s="33" t="s">
        <v>1950</v>
      </c>
      <c r="C1300" s="33">
        <v>18.48</v>
      </c>
      <c r="D1300" s="33" t="s">
        <v>810</v>
      </c>
      <c r="E1300" s="52" t="s">
        <v>6</v>
      </c>
      <c r="F1300" s="47" t="s">
        <v>2207</v>
      </c>
    </row>
    <row r="1301" spans="1:6" hidden="1" x14ac:dyDescent="0.2">
      <c r="A1301" s="44">
        <v>45817</v>
      </c>
      <c r="B1301" s="42" t="s">
        <v>1950</v>
      </c>
      <c r="C1301" s="42">
        <v>18.48</v>
      </c>
      <c r="D1301" s="42" t="s">
        <v>810</v>
      </c>
      <c r="E1301" s="51" t="s">
        <v>6</v>
      </c>
      <c r="F1301" s="45" t="s">
        <v>2207</v>
      </c>
    </row>
    <row r="1302" spans="1:6" hidden="1" x14ac:dyDescent="0.2">
      <c r="A1302" s="46">
        <v>45815</v>
      </c>
      <c r="B1302" s="33" t="s">
        <v>1950</v>
      </c>
      <c r="C1302" s="33">
        <v>18.48</v>
      </c>
      <c r="D1302" s="33" t="s">
        <v>810</v>
      </c>
      <c r="E1302" s="52" t="s">
        <v>6</v>
      </c>
      <c r="F1302" s="47" t="s">
        <v>2207</v>
      </c>
    </row>
    <row r="1303" spans="1:6" hidden="1" x14ac:dyDescent="0.2">
      <c r="A1303" s="44">
        <v>45815</v>
      </c>
      <c r="B1303" s="42" t="s">
        <v>1746</v>
      </c>
      <c r="C1303" s="42">
        <v>6.91</v>
      </c>
      <c r="D1303" s="42" t="s">
        <v>810</v>
      </c>
      <c r="E1303" s="51" t="s">
        <v>6</v>
      </c>
      <c r="F1303" s="45" t="s">
        <v>2207</v>
      </c>
    </row>
    <row r="1304" spans="1:6" hidden="1" x14ac:dyDescent="0.2">
      <c r="A1304" s="46">
        <v>45815</v>
      </c>
      <c r="B1304" s="33" t="s">
        <v>1950</v>
      </c>
      <c r="C1304" s="33">
        <v>18.48</v>
      </c>
      <c r="D1304" s="33" t="s">
        <v>810</v>
      </c>
      <c r="E1304" s="52" t="s">
        <v>6</v>
      </c>
      <c r="F1304" s="47" t="s">
        <v>2207</v>
      </c>
    </row>
    <row r="1305" spans="1:6" hidden="1" x14ac:dyDescent="0.2">
      <c r="A1305" s="44">
        <v>45811</v>
      </c>
      <c r="B1305" s="42" t="s">
        <v>1950</v>
      </c>
      <c r="C1305" s="42">
        <v>18.48</v>
      </c>
      <c r="D1305" s="42" t="s">
        <v>810</v>
      </c>
      <c r="E1305" s="51" t="s">
        <v>6</v>
      </c>
      <c r="F1305" s="45" t="s">
        <v>2207</v>
      </c>
    </row>
    <row r="1306" spans="1:6" hidden="1" x14ac:dyDescent="0.2">
      <c r="A1306" s="46">
        <v>45810</v>
      </c>
      <c r="B1306" s="33" t="s">
        <v>1950</v>
      </c>
      <c r="C1306" s="33">
        <v>18.48</v>
      </c>
      <c r="D1306" s="33" t="s">
        <v>810</v>
      </c>
      <c r="E1306" s="52" t="s">
        <v>6</v>
      </c>
      <c r="F1306" s="47" t="s">
        <v>2207</v>
      </c>
    </row>
    <row r="1307" spans="1:6" hidden="1" x14ac:dyDescent="0.2">
      <c r="A1307" s="44">
        <v>45808</v>
      </c>
      <c r="B1307" s="42" t="s">
        <v>1847</v>
      </c>
      <c r="C1307" s="42">
        <v>5.63</v>
      </c>
      <c r="D1307" s="42" t="s">
        <v>810</v>
      </c>
      <c r="E1307" s="51" t="s">
        <v>6</v>
      </c>
      <c r="F1307" s="45" t="s">
        <v>2207</v>
      </c>
    </row>
    <row r="1308" spans="1:6" hidden="1" x14ac:dyDescent="0.2">
      <c r="A1308" s="46">
        <v>45807</v>
      </c>
      <c r="B1308" s="33" t="s">
        <v>1950</v>
      </c>
      <c r="C1308" s="33">
        <v>18.48</v>
      </c>
      <c r="D1308" s="33" t="s">
        <v>810</v>
      </c>
      <c r="E1308" s="52" t="s">
        <v>6</v>
      </c>
      <c r="F1308" s="47" t="s">
        <v>2207</v>
      </c>
    </row>
    <row r="1309" spans="1:6" hidden="1" x14ac:dyDescent="0.2">
      <c r="A1309" s="44">
        <v>45806</v>
      </c>
      <c r="B1309" s="42" t="s">
        <v>1950</v>
      </c>
      <c r="C1309" s="42">
        <v>18.68</v>
      </c>
      <c r="D1309" s="42" t="s">
        <v>810</v>
      </c>
      <c r="E1309" s="51" t="s">
        <v>6</v>
      </c>
      <c r="F1309" s="45" t="s">
        <v>2207</v>
      </c>
    </row>
    <row r="1310" spans="1:6" hidden="1" x14ac:dyDescent="0.2">
      <c r="A1310" s="46">
        <v>45805</v>
      </c>
      <c r="B1310" s="33" t="s">
        <v>1974</v>
      </c>
      <c r="C1310" s="33">
        <v>20.98</v>
      </c>
      <c r="D1310" s="33" t="s">
        <v>810</v>
      </c>
      <c r="E1310" s="52" t="s">
        <v>6</v>
      </c>
      <c r="F1310" s="47" t="s">
        <v>2207</v>
      </c>
    </row>
    <row r="1311" spans="1:6" hidden="1" x14ac:dyDescent="0.2">
      <c r="A1311" s="44">
        <v>45804</v>
      </c>
      <c r="B1311" s="42" t="s">
        <v>1950</v>
      </c>
      <c r="C1311" s="42">
        <v>18.48</v>
      </c>
      <c r="D1311" s="42" t="s">
        <v>810</v>
      </c>
      <c r="E1311" s="51" t="s">
        <v>6</v>
      </c>
      <c r="F1311" s="45" t="s">
        <v>2207</v>
      </c>
    </row>
    <row r="1312" spans="1:6" hidden="1" x14ac:dyDescent="0.2">
      <c r="A1312" s="46">
        <v>45800</v>
      </c>
      <c r="B1312" s="33" t="s">
        <v>1950</v>
      </c>
      <c r="C1312" s="33">
        <v>18.48</v>
      </c>
      <c r="D1312" s="33" t="s">
        <v>810</v>
      </c>
      <c r="E1312" s="52" t="s">
        <v>6</v>
      </c>
      <c r="F1312" s="47" t="s">
        <v>2207</v>
      </c>
    </row>
    <row r="1313" spans="1:6" hidden="1" x14ac:dyDescent="0.2">
      <c r="A1313" s="44">
        <v>45800</v>
      </c>
      <c r="B1313" s="42" t="s">
        <v>1746</v>
      </c>
      <c r="C1313" s="42">
        <v>6.91</v>
      </c>
      <c r="D1313" s="42" t="s">
        <v>810</v>
      </c>
      <c r="E1313" s="51" t="s">
        <v>6</v>
      </c>
      <c r="F1313" s="45" t="s">
        <v>2207</v>
      </c>
    </row>
    <row r="1314" spans="1:6" hidden="1" x14ac:dyDescent="0.2">
      <c r="A1314" s="46">
        <v>45799</v>
      </c>
      <c r="B1314" s="33" t="s">
        <v>1950</v>
      </c>
      <c r="C1314" s="33">
        <v>18.48</v>
      </c>
      <c r="D1314" s="33" t="s">
        <v>810</v>
      </c>
      <c r="E1314" s="52" t="s">
        <v>6</v>
      </c>
      <c r="F1314" s="47" t="s">
        <v>2207</v>
      </c>
    </row>
    <row r="1315" spans="1:6" hidden="1" x14ac:dyDescent="0.2">
      <c r="A1315" s="44">
        <v>45798</v>
      </c>
      <c r="B1315" s="42" t="s">
        <v>1974</v>
      </c>
      <c r="C1315" s="42">
        <v>20.98</v>
      </c>
      <c r="D1315" s="42" t="s">
        <v>810</v>
      </c>
      <c r="E1315" s="51" t="s">
        <v>6</v>
      </c>
      <c r="F1315" s="45" t="s">
        <v>2207</v>
      </c>
    </row>
    <row r="1316" spans="1:6" hidden="1" x14ac:dyDescent="0.2">
      <c r="A1316" s="46">
        <v>45798</v>
      </c>
      <c r="B1316" s="33" t="s">
        <v>811</v>
      </c>
      <c r="C1316" s="33">
        <v>76.5</v>
      </c>
      <c r="D1316" s="33" t="s">
        <v>810</v>
      </c>
      <c r="E1316" s="52" t="s">
        <v>6</v>
      </c>
      <c r="F1316" s="47" t="s">
        <v>2207</v>
      </c>
    </row>
    <row r="1317" spans="1:6" hidden="1" x14ac:dyDescent="0.2">
      <c r="A1317" s="44">
        <v>45796</v>
      </c>
      <c r="B1317" s="42" t="s">
        <v>1950</v>
      </c>
      <c r="C1317" s="42">
        <v>18.48</v>
      </c>
      <c r="D1317" s="42" t="s">
        <v>810</v>
      </c>
      <c r="E1317" s="51" t="s">
        <v>6</v>
      </c>
      <c r="F1317" s="45" t="s">
        <v>2207</v>
      </c>
    </row>
    <row r="1318" spans="1:6" hidden="1" x14ac:dyDescent="0.2">
      <c r="A1318" s="46">
        <v>45793</v>
      </c>
      <c r="B1318" s="33" t="s">
        <v>1950</v>
      </c>
      <c r="C1318" s="33">
        <v>18.48</v>
      </c>
      <c r="D1318" s="33" t="s">
        <v>810</v>
      </c>
      <c r="E1318" s="52" t="s">
        <v>6</v>
      </c>
      <c r="F1318" s="47" t="s">
        <v>2207</v>
      </c>
    </row>
    <row r="1319" spans="1:6" hidden="1" x14ac:dyDescent="0.2">
      <c r="A1319" s="44">
        <v>45792</v>
      </c>
      <c r="B1319" s="42" t="s">
        <v>1950</v>
      </c>
      <c r="C1319" s="42">
        <v>18.48</v>
      </c>
      <c r="D1319" s="42" t="s">
        <v>810</v>
      </c>
      <c r="E1319" s="51" t="s">
        <v>6</v>
      </c>
      <c r="F1319" s="45" t="s">
        <v>2207</v>
      </c>
    </row>
    <row r="1320" spans="1:6" hidden="1" x14ac:dyDescent="0.2">
      <c r="A1320" s="46">
        <v>45791</v>
      </c>
      <c r="B1320" s="33" t="s">
        <v>1950</v>
      </c>
      <c r="C1320" s="33">
        <v>18.48</v>
      </c>
      <c r="D1320" s="33" t="s">
        <v>810</v>
      </c>
      <c r="E1320" s="52" t="s">
        <v>6</v>
      </c>
      <c r="F1320" s="47" t="s">
        <v>2207</v>
      </c>
    </row>
    <row r="1321" spans="1:6" hidden="1" x14ac:dyDescent="0.2">
      <c r="A1321" s="44">
        <v>45790</v>
      </c>
      <c r="B1321" s="42" t="s">
        <v>1950</v>
      </c>
      <c r="C1321" s="42">
        <v>18.48</v>
      </c>
      <c r="D1321" s="42" t="s">
        <v>810</v>
      </c>
      <c r="E1321" s="51" t="s">
        <v>6</v>
      </c>
      <c r="F1321" s="45" t="s">
        <v>2207</v>
      </c>
    </row>
    <row r="1322" spans="1:6" hidden="1" x14ac:dyDescent="0.2">
      <c r="A1322" s="46">
        <v>45789</v>
      </c>
      <c r="B1322" s="33" t="s">
        <v>1746</v>
      </c>
      <c r="C1322" s="33">
        <v>6.91</v>
      </c>
      <c r="D1322" s="33" t="s">
        <v>810</v>
      </c>
      <c r="E1322" s="52" t="s">
        <v>6</v>
      </c>
      <c r="F1322" s="47" t="s">
        <v>2207</v>
      </c>
    </row>
    <row r="1323" spans="1:6" hidden="1" x14ac:dyDescent="0.2">
      <c r="A1323" s="44">
        <v>45789</v>
      </c>
      <c r="B1323" s="42" t="s">
        <v>1950</v>
      </c>
      <c r="C1323" s="42">
        <v>18.48</v>
      </c>
      <c r="D1323" s="42" t="s">
        <v>810</v>
      </c>
      <c r="E1323" s="51" t="s">
        <v>6</v>
      </c>
      <c r="F1323" s="45" t="s">
        <v>2207</v>
      </c>
    </row>
    <row r="1324" spans="1:6" hidden="1" x14ac:dyDescent="0.2">
      <c r="A1324" s="46">
        <v>45787</v>
      </c>
      <c r="B1324" s="33" t="s">
        <v>811</v>
      </c>
      <c r="C1324" s="33">
        <v>76.5</v>
      </c>
      <c r="D1324" s="33" t="s">
        <v>810</v>
      </c>
      <c r="E1324" s="52" t="s">
        <v>6</v>
      </c>
      <c r="F1324" s="47" t="s">
        <v>2207</v>
      </c>
    </row>
    <row r="1325" spans="1:6" hidden="1" x14ac:dyDescent="0.2">
      <c r="A1325" s="44">
        <v>45786</v>
      </c>
      <c r="B1325" s="42" t="s">
        <v>1950</v>
      </c>
      <c r="C1325" s="42">
        <v>18.48</v>
      </c>
      <c r="D1325" s="42" t="s">
        <v>810</v>
      </c>
      <c r="E1325" s="51" t="s">
        <v>6</v>
      </c>
      <c r="F1325" s="45" t="s">
        <v>2207</v>
      </c>
    </row>
    <row r="1326" spans="1:6" hidden="1" x14ac:dyDescent="0.2">
      <c r="A1326" s="46">
        <v>45786</v>
      </c>
      <c r="B1326" s="33" t="s">
        <v>1950</v>
      </c>
      <c r="C1326" s="33">
        <v>18.48</v>
      </c>
      <c r="D1326" s="33" t="s">
        <v>810</v>
      </c>
      <c r="E1326" s="52" t="s">
        <v>6</v>
      </c>
      <c r="F1326" s="47" t="s">
        <v>2207</v>
      </c>
    </row>
    <row r="1327" spans="1:6" hidden="1" x14ac:dyDescent="0.2">
      <c r="A1327" s="44">
        <v>45783</v>
      </c>
      <c r="B1327" s="42" t="s">
        <v>1950</v>
      </c>
      <c r="C1327" s="42">
        <v>18.48</v>
      </c>
      <c r="D1327" s="42" t="s">
        <v>810</v>
      </c>
      <c r="E1327" s="51" t="s">
        <v>6</v>
      </c>
      <c r="F1327" s="45" t="s">
        <v>2207</v>
      </c>
    </row>
    <row r="1328" spans="1:6" hidden="1" x14ac:dyDescent="0.2">
      <c r="A1328" s="46">
        <v>45782</v>
      </c>
      <c r="B1328" s="33" t="s">
        <v>1950</v>
      </c>
      <c r="C1328" s="33">
        <v>18.48</v>
      </c>
      <c r="D1328" s="33" t="s">
        <v>810</v>
      </c>
      <c r="E1328" s="52" t="s">
        <v>6</v>
      </c>
      <c r="F1328" s="47" t="s">
        <v>2207</v>
      </c>
    </row>
    <row r="1329" spans="1:6" hidden="1" x14ac:dyDescent="0.2">
      <c r="A1329" s="44">
        <v>45779</v>
      </c>
      <c r="B1329" s="42" t="s">
        <v>1746</v>
      </c>
      <c r="C1329" s="42">
        <v>6.91</v>
      </c>
      <c r="D1329" s="42" t="s">
        <v>810</v>
      </c>
      <c r="E1329" s="51" t="s">
        <v>6</v>
      </c>
      <c r="F1329" s="45" t="s">
        <v>2207</v>
      </c>
    </row>
    <row r="1330" spans="1:6" hidden="1" x14ac:dyDescent="0.2">
      <c r="A1330" s="46">
        <v>45778</v>
      </c>
      <c r="B1330" s="33" t="s">
        <v>1950</v>
      </c>
      <c r="C1330" s="33">
        <v>18.48</v>
      </c>
      <c r="D1330" s="33" t="s">
        <v>810</v>
      </c>
      <c r="E1330" s="52" t="s">
        <v>6</v>
      </c>
      <c r="F1330" s="47" t="s">
        <v>2207</v>
      </c>
    </row>
    <row r="1331" spans="1:6" hidden="1" x14ac:dyDescent="0.2">
      <c r="A1331" s="44">
        <v>45777</v>
      </c>
      <c r="B1331" s="42" t="s">
        <v>1950</v>
      </c>
      <c r="C1331" s="42">
        <v>18.48</v>
      </c>
      <c r="D1331" s="42" t="s">
        <v>810</v>
      </c>
      <c r="E1331" s="51" t="s">
        <v>6</v>
      </c>
      <c r="F1331" s="45" t="s">
        <v>2207</v>
      </c>
    </row>
    <row r="1332" spans="1:6" hidden="1" x14ac:dyDescent="0.2">
      <c r="A1332" s="46">
        <v>45775</v>
      </c>
      <c r="B1332" s="33" t="s">
        <v>1950</v>
      </c>
      <c r="C1332" s="33">
        <v>18.48</v>
      </c>
      <c r="D1332" s="33" t="s">
        <v>810</v>
      </c>
      <c r="E1332" s="52" t="s">
        <v>6</v>
      </c>
      <c r="F1332" s="47" t="s">
        <v>2207</v>
      </c>
    </row>
    <row r="1333" spans="1:6" hidden="1" x14ac:dyDescent="0.2">
      <c r="A1333" s="44">
        <v>45772</v>
      </c>
      <c r="B1333" s="42" t="s">
        <v>2020</v>
      </c>
      <c r="C1333" s="42">
        <v>9</v>
      </c>
      <c r="D1333" s="42" t="s">
        <v>810</v>
      </c>
      <c r="E1333" s="51" t="s">
        <v>6</v>
      </c>
      <c r="F1333" s="45" t="s">
        <v>2207</v>
      </c>
    </row>
    <row r="1334" spans="1:6" hidden="1" x14ac:dyDescent="0.2">
      <c r="A1334" s="46">
        <v>45772</v>
      </c>
      <c r="B1334" s="33" t="s">
        <v>1746</v>
      </c>
      <c r="C1334" s="33">
        <v>6.91</v>
      </c>
      <c r="D1334" s="33" t="s">
        <v>810</v>
      </c>
      <c r="E1334" s="52" t="s">
        <v>6</v>
      </c>
      <c r="F1334" s="47" t="s">
        <v>2207</v>
      </c>
    </row>
    <row r="1335" spans="1:6" hidden="1" x14ac:dyDescent="0.2">
      <c r="A1335" s="44">
        <v>45772</v>
      </c>
      <c r="B1335" s="42" t="s">
        <v>1847</v>
      </c>
      <c r="C1335" s="42">
        <v>5.59</v>
      </c>
      <c r="D1335" s="42" t="s">
        <v>810</v>
      </c>
      <c r="E1335" s="51" t="s">
        <v>6</v>
      </c>
      <c r="F1335" s="45" t="s">
        <v>2207</v>
      </c>
    </row>
    <row r="1336" spans="1:6" hidden="1" x14ac:dyDescent="0.2">
      <c r="A1336" s="46">
        <v>45772</v>
      </c>
      <c r="B1336" s="33" t="s">
        <v>1950</v>
      </c>
      <c r="C1336" s="33">
        <v>18.48</v>
      </c>
      <c r="D1336" s="33" t="s">
        <v>810</v>
      </c>
      <c r="E1336" s="52" t="s">
        <v>6</v>
      </c>
      <c r="F1336" s="47" t="s">
        <v>2207</v>
      </c>
    </row>
    <row r="1337" spans="1:6" hidden="1" x14ac:dyDescent="0.2">
      <c r="A1337" s="44">
        <v>45771</v>
      </c>
      <c r="B1337" s="42" t="s">
        <v>1950</v>
      </c>
      <c r="C1337" s="42">
        <v>19.73</v>
      </c>
      <c r="D1337" s="42" t="s">
        <v>810</v>
      </c>
      <c r="E1337" s="51" t="s">
        <v>6</v>
      </c>
      <c r="F1337" s="45" t="s">
        <v>2207</v>
      </c>
    </row>
    <row r="1338" spans="1:6" hidden="1" x14ac:dyDescent="0.2">
      <c r="A1338" s="46">
        <v>45770</v>
      </c>
      <c r="B1338" s="33" t="s">
        <v>1847</v>
      </c>
      <c r="C1338" s="33">
        <v>5</v>
      </c>
      <c r="D1338" s="33" t="s">
        <v>810</v>
      </c>
      <c r="E1338" s="52" t="s">
        <v>6</v>
      </c>
      <c r="F1338" s="47" t="s">
        <v>2207</v>
      </c>
    </row>
    <row r="1339" spans="1:6" hidden="1" x14ac:dyDescent="0.2">
      <c r="A1339" s="44">
        <v>45770</v>
      </c>
      <c r="B1339" s="42" t="s">
        <v>1847</v>
      </c>
      <c r="C1339" s="42">
        <v>3.09</v>
      </c>
      <c r="D1339" s="42" t="s">
        <v>810</v>
      </c>
      <c r="E1339" s="51" t="s">
        <v>6</v>
      </c>
      <c r="F1339" s="45" t="s">
        <v>2207</v>
      </c>
    </row>
    <row r="1340" spans="1:6" hidden="1" x14ac:dyDescent="0.2">
      <c r="A1340" s="46">
        <v>45769</v>
      </c>
      <c r="B1340" s="33" t="s">
        <v>1950</v>
      </c>
      <c r="C1340" s="33">
        <v>18.48</v>
      </c>
      <c r="D1340" s="33" t="s">
        <v>810</v>
      </c>
      <c r="E1340" s="52" t="s">
        <v>6</v>
      </c>
      <c r="F1340" s="47" t="s">
        <v>2207</v>
      </c>
    </row>
    <row r="1341" spans="1:6" hidden="1" x14ac:dyDescent="0.2">
      <c r="A1341" s="44">
        <v>45768</v>
      </c>
      <c r="B1341" s="42" t="s">
        <v>1950</v>
      </c>
      <c r="C1341" s="42">
        <v>10.99</v>
      </c>
      <c r="D1341" s="42" t="s">
        <v>810</v>
      </c>
      <c r="E1341" s="51" t="s">
        <v>6</v>
      </c>
      <c r="F1341" s="45" t="s">
        <v>2207</v>
      </c>
    </row>
    <row r="1342" spans="1:6" hidden="1" x14ac:dyDescent="0.2">
      <c r="A1342" s="46">
        <v>45762</v>
      </c>
      <c r="B1342" s="33" t="s">
        <v>1847</v>
      </c>
      <c r="C1342" s="33">
        <v>0.5</v>
      </c>
      <c r="D1342" s="33" t="s">
        <v>810</v>
      </c>
      <c r="E1342" s="52" t="s">
        <v>6</v>
      </c>
      <c r="F1342" s="47" t="s">
        <v>2207</v>
      </c>
    </row>
    <row r="1343" spans="1:6" hidden="1" x14ac:dyDescent="0.2">
      <c r="A1343" s="44">
        <v>45761</v>
      </c>
      <c r="B1343" s="42" t="s">
        <v>1847</v>
      </c>
      <c r="C1343" s="42">
        <v>4</v>
      </c>
      <c r="D1343" s="42" t="s">
        <v>810</v>
      </c>
      <c r="E1343" s="51" t="s">
        <v>6</v>
      </c>
      <c r="F1343" s="45" t="s">
        <v>2207</v>
      </c>
    </row>
    <row r="1344" spans="1:6" hidden="1" x14ac:dyDescent="0.2">
      <c r="A1344" s="46">
        <v>45761</v>
      </c>
      <c r="B1344" s="33" t="s">
        <v>1847</v>
      </c>
      <c r="C1344" s="33">
        <v>1.08</v>
      </c>
      <c r="D1344" s="33" t="s">
        <v>810</v>
      </c>
      <c r="E1344" s="52" t="s">
        <v>6</v>
      </c>
      <c r="F1344" s="47" t="s">
        <v>2207</v>
      </c>
    </row>
    <row r="1345" spans="1:6" hidden="1" x14ac:dyDescent="0.2">
      <c r="A1345" s="44">
        <v>45761</v>
      </c>
      <c r="B1345" s="42" t="s">
        <v>1847</v>
      </c>
      <c r="C1345" s="42">
        <v>3.25</v>
      </c>
      <c r="D1345" s="42" t="s">
        <v>810</v>
      </c>
      <c r="E1345" s="51" t="s">
        <v>6</v>
      </c>
      <c r="F1345" s="45" t="s">
        <v>2207</v>
      </c>
    </row>
    <row r="1346" spans="1:6" hidden="1" x14ac:dyDescent="0.2">
      <c r="A1346" s="46">
        <v>45761</v>
      </c>
      <c r="B1346" s="33" t="s">
        <v>1847</v>
      </c>
      <c r="C1346" s="33">
        <v>6</v>
      </c>
      <c r="D1346" s="33" t="s">
        <v>810</v>
      </c>
      <c r="E1346" s="52" t="s">
        <v>6</v>
      </c>
      <c r="F1346" s="47" t="s">
        <v>2207</v>
      </c>
    </row>
    <row r="1347" spans="1:6" hidden="1" x14ac:dyDescent="0.2">
      <c r="A1347" s="44">
        <v>45761</v>
      </c>
      <c r="B1347" s="42" t="s">
        <v>1847</v>
      </c>
      <c r="C1347" s="42">
        <v>1.63</v>
      </c>
      <c r="D1347" s="42" t="s">
        <v>810</v>
      </c>
      <c r="E1347" s="51" t="s">
        <v>6</v>
      </c>
      <c r="F1347" s="45" t="s">
        <v>2207</v>
      </c>
    </row>
    <row r="1348" spans="1:6" hidden="1" x14ac:dyDescent="0.2">
      <c r="A1348" s="46">
        <v>45759</v>
      </c>
      <c r="B1348" s="33" t="s">
        <v>1847</v>
      </c>
      <c r="C1348" s="33">
        <v>6.03</v>
      </c>
      <c r="D1348" s="33" t="s">
        <v>810</v>
      </c>
      <c r="E1348" s="52" t="s">
        <v>6</v>
      </c>
      <c r="F1348" s="47" t="s">
        <v>2207</v>
      </c>
    </row>
    <row r="1349" spans="1:6" hidden="1" x14ac:dyDescent="0.2">
      <c r="A1349" s="44">
        <v>45759</v>
      </c>
      <c r="B1349" s="42" t="s">
        <v>1847</v>
      </c>
      <c r="C1349" s="42">
        <v>2</v>
      </c>
      <c r="D1349" s="42" t="s">
        <v>810</v>
      </c>
      <c r="E1349" s="51" t="s">
        <v>6</v>
      </c>
      <c r="F1349" s="45" t="s">
        <v>2207</v>
      </c>
    </row>
    <row r="1350" spans="1:6" hidden="1" x14ac:dyDescent="0.2">
      <c r="A1350" s="46">
        <v>45758</v>
      </c>
      <c r="B1350" s="33" t="s">
        <v>1847</v>
      </c>
      <c r="C1350" s="33">
        <v>3</v>
      </c>
      <c r="D1350" s="33" t="s">
        <v>810</v>
      </c>
      <c r="E1350" s="52" t="s">
        <v>6</v>
      </c>
      <c r="F1350" s="47" t="s">
        <v>2207</v>
      </c>
    </row>
    <row r="1351" spans="1:6" hidden="1" x14ac:dyDescent="0.2">
      <c r="A1351" s="44">
        <v>45757</v>
      </c>
      <c r="B1351" s="42" t="s">
        <v>2041</v>
      </c>
      <c r="C1351" s="42">
        <v>8</v>
      </c>
      <c r="D1351" s="42" t="s">
        <v>810</v>
      </c>
      <c r="E1351" s="51" t="s">
        <v>6</v>
      </c>
      <c r="F1351" s="45" t="s">
        <v>2207</v>
      </c>
    </row>
    <row r="1352" spans="1:6" hidden="1" x14ac:dyDescent="0.2">
      <c r="A1352" s="46">
        <v>45756</v>
      </c>
      <c r="B1352" s="33" t="s">
        <v>1950</v>
      </c>
      <c r="C1352" s="33">
        <v>15.98</v>
      </c>
      <c r="D1352" s="33" t="s">
        <v>810</v>
      </c>
      <c r="E1352" s="52" t="s">
        <v>6</v>
      </c>
      <c r="F1352" s="47" t="s">
        <v>2207</v>
      </c>
    </row>
    <row r="1353" spans="1:6" hidden="1" x14ac:dyDescent="0.2">
      <c r="A1353" s="44">
        <v>45755</v>
      </c>
      <c r="B1353" s="42" t="s">
        <v>1950</v>
      </c>
      <c r="C1353" s="42">
        <v>15.98</v>
      </c>
      <c r="D1353" s="42" t="s">
        <v>810</v>
      </c>
      <c r="E1353" s="51" t="s">
        <v>6</v>
      </c>
      <c r="F1353" s="45" t="s">
        <v>2207</v>
      </c>
    </row>
    <row r="1354" spans="1:6" hidden="1" x14ac:dyDescent="0.2">
      <c r="A1354" s="46">
        <v>45755</v>
      </c>
      <c r="B1354" s="33" t="s">
        <v>1847</v>
      </c>
      <c r="C1354" s="33">
        <v>3.5</v>
      </c>
      <c r="D1354" s="33" t="s">
        <v>810</v>
      </c>
      <c r="E1354" s="52" t="s">
        <v>6</v>
      </c>
      <c r="F1354" s="47" t="s">
        <v>2207</v>
      </c>
    </row>
    <row r="1355" spans="1:6" hidden="1" x14ac:dyDescent="0.2">
      <c r="A1355" s="44">
        <v>45755</v>
      </c>
      <c r="B1355" s="42" t="s">
        <v>1950</v>
      </c>
      <c r="C1355" s="42">
        <v>15.98</v>
      </c>
      <c r="D1355" s="42" t="s">
        <v>810</v>
      </c>
      <c r="E1355" s="51" t="s">
        <v>6</v>
      </c>
      <c r="F1355" s="45" t="s">
        <v>2207</v>
      </c>
    </row>
    <row r="1356" spans="1:6" hidden="1" x14ac:dyDescent="0.2">
      <c r="A1356" s="46">
        <v>45751</v>
      </c>
      <c r="B1356" s="33" t="s">
        <v>1950</v>
      </c>
      <c r="C1356" s="33">
        <v>16.18</v>
      </c>
      <c r="D1356" s="33" t="s">
        <v>810</v>
      </c>
      <c r="E1356" s="52" t="s">
        <v>6</v>
      </c>
      <c r="F1356" s="47" t="s">
        <v>2207</v>
      </c>
    </row>
    <row r="1357" spans="1:6" hidden="1" x14ac:dyDescent="0.2">
      <c r="A1357" s="44">
        <v>45750</v>
      </c>
      <c r="B1357" s="42" t="s">
        <v>1847</v>
      </c>
      <c r="C1357" s="42">
        <v>3.05</v>
      </c>
      <c r="D1357" s="42" t="s">
        <v>810</v>
      </c>
      <c r="E1357" s="51" t="s">
        <v>6</v>
      </c>
      <c r="F1357" s="45" t="s">
        <v>2207</v>
      </c>
    </row>
    <row r="1358" spans="1:6" hidden="1" x14ac:dyDescent="0.2">
      <c r="A1358" s="46">
        <v>45750</v>
      </c>
      <c r="B1358" s="33" t="s">
        <v>1950</v>
      </c>
      <c r="C1358" s="33">
        <v>16.18</v>
      </c>
      <c r="D1358" s="33" t="s">
        <v>810</v>
      </c>
      <c r="E1358" s="52" t="s">
        <v>6</v>
      </c>
      <c r="F1358" s="47" t="s">
        <v>2207</v>
      </c>
    </row>
    <row r="1359" spans="1:6" hidden="1" x14ac:dyDescent="0.2">
      <c r="A1359" s="44">
        <v>45748</v>
      </c>
      <c r="B1359" s="42" t="s">
        <v>1950</v>
      </c>
      <c r="C1359" s="42">
        <v>16.18</v>
      </c>
      <c r="D1359" s="42" t="s">
        <v>810</v>
      </c>
      <c r="E1359" s="51" t="s">
        <v>6</v>
      </c>
      <c r="F1359" s="45" t="s">
        <v>2207</v>
      </c>
    </row>
    <row r="1360" spans="1:6" hidden="1" x14ac:dyDescent="0.2">
      <c r="A1360" s="46">
        <v>45747</v>
      </c>
      <c r="B1360" s="33" t="s">
        <v>1950</v>
      </c>
      <c r="C1360" s="33">
        <v>11.19</v>
      </c>
      <c r="D1360" s="33" t="s">
        <v>810</v>
      </c>
      <c r="E1360" s="52" t="s">
        <v>6</v>
      </c>
      <c r="F1360" s="47" t="s">
        <v>2207</v>
      </c>
    </row>
    <row r="1361" spans="1:6" hidden="1" x14ac:dyDescent="0.2">
      <c r="A1361" s="44">
        <v>45747</v>
      </c>
      <c r="B1361" s="42" t="s">
        <v>1847</v>
      </c>
      <c r="C1361" s="42">
        <v>2.0699999999999998</v>
      </c>
      <c r="D1361" s="42" t="s">
        <v>810</v>
      </c>
      <c r="E1361" s="51" t="s">
        <v>6</v>
      </c>
      <c r="F1361" s="45" t="s">
        <v>2207</v>
      </c>
    </row>
    <row r="1362" spans="1:6" hidden="1" x14ac:dyDescent="0.2">
      <c r="A1362" s="46">
        <v>45745</v>
      </c>
      <c r="B1362" s="48" t="s">
        <v>2057</v>
      </c>
      <c r="C1362" s="33">
        <v>9.01</v>
      </c>
      <c r="D1362" s="33" t="s">
        <v>810</v>
      </c>
      <c r="E1362" s="52" t="s">
        <v>6</v>
      </c>
      <c r="F1362" s="47" t="s">
        <v>2207</v>
      </c>
    </row>
    <row r="1363" spans="1:6" hidden="1" x14ac:dyDescent="0.2">
      <c r="A1363" s="44">
        <v>45744</v>
      </c>
      <c r="B1363" s="42" t="s">
        <v>1950</v>
      </c>
      <c r="C1363" s="42">
        <v>11.19</v>
      </c>
      <c r="D1363" s="42" t="s">
        <v>810</v>
      </c>
      <c r="E1363" s="51" t="s">
        <v>6</v>
      </c>
      <c r="F1363" s="45" t="s">
        <v>2207</v>
      </c>
    </row>
    <row r="1364" spans="1:6" hidden="1" x14ac:dyDescent="0.2">
      <c r="A1364" s="46">
        <v>45744</v>
      </c>
      <c r="B1364" s="33" t="s">
        <v>1950</v>
      </c>
      <c r="C1364" s="33">
        <v>16.18</v>
      </c>
      <c r="D1364" s="33" t="s">
        <v>810</v>
      </c>
      <c r="E1364" s="52" t="s">
        <v>6</v>
      </c>
      <c r="F1364" s="47" t="s">
        <v>2207</v>
      </c>
    </row>
    <row r="1365" spans="1:6" hidden="1" x14ac:dyDescent="0.2">
      <c r="A1365" s="44">
        <v>45743</v>
      </c>
      <c r="B1365" s="42" t="s">
        <v>1950</v>
      </c>
      <c r="C1365" s="42">
        <v>16.18</v>
      </c>
      <c r="D1365" s="42" t="s">
        <v>810</v>
      </c>
      <c r="E1365" s="51" t="s">
        <v>6</v>
      </c>
      <c r="F1365" s="45" t="s">
        <v>2207</v>
      </c>
    </row>
    <row r="1366" spans="1:6" hidden="1" x14ac:dyDescent="0.2">
      <c r="A1366" s="46">
        <v>45742</v>
      </c>
      <c r="B1366" s="33" t="s">
        <v>1950</v>
      </c>
      <c r="C1366" s="33">
        <v>16.18</v>
      </c>
      <c r="D1366" s="33" t="s">
        <v>810</v>
      </c>
      <c r="E1366" s="52" t="s">
        <v>6</v>
      </c>
      <c r="F1366" s="47" t="s">
        <v>2207</v>
      </c>
    </row>
    <row r="1367" spans="1:6" hidden="1" x14ac:dyDescent="0.2">
      <c r="A1367" s="44">
        <v>45741</v>
      </c>
      <c r="B1367" s="42" t="s">
        <v>1950</v>
      </c>
      <c r="C1367" s="42">
        <v>16.18</v>
      </c>
      <c r="D1367" s="42" t="s">
        <v>810</v>
      </c>
      <c r="E1367" s="51" t="s">
        <v>6</v>
      </c>
      <c r="F1367" s="45" t="s">
        <v>2207</v>
      </c>
    </row>
    <row r="1368" spans="1:6" hidden="1" x14ac:dyDescent="0.2">
      <c r="A1368" s="46">
        <v>45740</v>
      </c>
      <c r="B1368" s="33" t="s">
        <v>1950</v>
      </c>
      <c r="C1368" s="33">
        <v>16.18</v>
      </c>
      <c r="D1368" s="33" t="s">
        <v>810</v>
      </c>
      <c r="E1368" s="52" t="s">
        <v>6</v>
      </c>
      <c r="F1368" s="47" t="s">
        <v>2207</v>
      </c>
    </row>
    <row r="1369" spans="1:6" hidden="1" x14ac:dyDescent="0.2">
      <c r="A1369" s="44">
        <v>45737</v>
      </c>
      <c r="B1369" s="42" t="s">
        <v>1950</v>
      </c>
      <c r="C1369" s="42">
        <v>15.98</v>
      </c>
      <c r="D1369" s="42" t="s">
        <v>810</v>
      </c>
      <c r="E1369" s="51" t="s">
        <v>6</v>
      </c>
      <c r="F1369" s="45" t="s">
        <v>2207</v>
      </c>
    </row>
    <row r="1370" spans="1:6" hidden="1" x14ac:dyDescent="0.2">
      <c r="A1370" s="46">
        <v>45737</v>
      </c>
      <c r="B1370" s="33" t="s">
        <v>2079</v>
      </c>
      <c r="C1370" s="33">
        <v>14.72</v>
      </c>
      <c r="D1370" s="33" t="s">
        <v>810</v>
      </c>
      <c r="E1370" s="52" t="s">
        <v>6</v>
      </c>
      <c r="F1370" s="47" t="s">
        <v>2207</v>
      </c>
    </row>
    <row r="1371" spans="1:6" hidden="1" x14ac:dyDescent="0.2">
      <c r="A1371" s="44">
        <v>45736</v>
      </c>
      <c r="B1371" s="42" t="s">
        <v>1950</v>
      </c>
      <c r="C1371" s="42">
        <v>15.98</v>
      </c>
      <c r="D1371" s="42" t="s">
        <v>810</v>
      </c>
      <c r="E1371" s="51" t="s">
        <v>6</v>
      </c>
      <c r="F1371" s="45" t="s">
        <v>2207</v>
      </c>
    </row>
    <row r="1372" spans="1:6" hidden="1" x14ac:dyDescent="0.2">
      <c r="A1372" s="46">
        <v>45735</v>
      </c>
      <c r="B1372" s="33" t="s">
        <v>1950</v>
      </c>
      <c r="C1372" s="33">
        <v>15.98</v>
      </c>
      <c r="D1372" s="33" t="s">
        <v>810</v>
      </c>
      <c r="E1372" s="52" t="s">
        <v>6</v>
      </c>
      <c r="F1372" s="47" t="s">
        <v>2207</v>
      </c>
    </row>
    <row r="1373" spans="1:6" hidden="1" x14ac:dyDescent="0.2">
      <c r="A1373" s="44">
        <v>45734</v>
      </c>
      <c r="B1373" s="42" t="s">
        <v>1950</v>
      </c>
      <c r="C1373" s="42">
        <v>15.98</v>
      </c>
      <c r="D1373" s="42" t="s">
        <v>810</v>
      </c>
      <c r="E1373" s="51" t="s">
        <v>6</v>
      </c>
      <c r="F1373" s="45" t="s">
        <v>2207</v>
      </c>
    </row>
    <row r="1374" spans="1:6" hidden="1" x14ac:dyDescent="0.2">
      <c r="A1374" s="46">
        <v>45734</v>
      </c>
      <c r="B1374" s="33" t="s">
        <v>1950</v>
      </c>
      <c r="C1374" s="33">
        <v>16.18</v>
      </c>
      <c r="D1374" s="33" t="s">
        <v>810</v>
      </c>
      <c r="E1374" s="52" t="s">
        <v>6</v>
      </c>
      <c r="F1374" s="47" t="s">
        <v>2207</v>
      </c>
    </row>
    <row r="1375" spans="1:6" hidden="1" x14ac:dyDescent="0.2">
      <c r="A1375" s="44">
        <v>45733</v>
      </c>
      <c r="B1375" s="42" t="s">
        <v>1950</v>
      </c>
      <c r="C1375" s="42">
        <v>15.98</v>
      </c>
      <c r="D1375" s="42" t="s">
        <v>810</v>
      </c>
      <c r="E1375" s="51" t="s">
        <v>6</v>
      </c>
      <c r="F1375" s="45" t="s">
        <v>2207</v>
      </c>
    </row>
    <row r="1376" spans="1:6" hidden="1" x14ac:dyDescent="0.2">
      <c r="A1376" s="46">
        <v>45730</v>
      </c>
      <c r="B1376" s="33" t="s">
        <v>1950</v>
      </c>
      <c r="C1376" s="33">
        <v>15.98</v>
      </c>
      <c r="D1376" s="33" t="s">
        <v>810</v>
      </c>
      <c r="E1376" s="52" t="s">
        <v>6</v>
      </c>
      <c r="F1376" s="47" t="s">
        <v>2207</v>
      </c>
    </row>
    <row r="1377" spans="1:6" hidden="1" x14ac:dyDescent="0.2">
      <c r="A1377" s="44">
        <v>45728</v>
      </c>
      <c r="B1377" s="42" t="s">
        <v>1950</v>
      </c>
      <c r="C1377" s="42">
        <v>15.98</v>
      </c>
      <c r="D1377" s="42" t="s">
        <v>810</v>
      </c>
      <c r="E1377" s="51" t="s">
        <v>6</v>
      </c>
      <c r="F1377" s="45" t="s">
        <v>2207</v>
      </c>
    </row>
    <row r="1378" spans="1:6" hidden="1" x14ac:dyDescent="0.2">
      <c r="A1378" s="46">
        <v>45727</v>
      </c>
      <c r="B1378" s="33" t="s">
        <v>1950</v>
      </c>
      <c r="C1378" s="33">
        <v>19.93</v>
      </c>
      <c r="D1378" s="33" t="s">
        <v>810</v>
      </c>
      <c r="E1378" s="52" t="s">
        <v>6</v>
      </c>
      <c r="F1378" s="47" t="s">
        <v>2207</v>
      </c>
    </row>
    <row r="1379" spans="1:6" hidden="1" x14ac:dyDescent="0.2">
      <c r="A1379" s="44">
        <v>45726</v>
      </c>
      <c r="B1379" s="42" t="s">
        <v>1847</v>
      </c>
      <c r="C1379" s="42">
        <v>3.26</v>
      </c>
      <c r="D1379" s="42" t="s">
        <v>810</v>
      </c>
      <c r="E1379" s="51" t="s">
        <v>6</v>
      </c>
      <c r="F1379" s="45" t="s">
        <v>2207</v>
      </c>
    </row>
    <row r="1380" spans="1:6" hidden="1" x14ac:dyDescent="0.2">
      <c r="A1380" s="46">
        <v>45726</v>
      </c>
      <c r="B1380" s="33" t="s">
        <v>1950</v>
      </c>
      <c r="C1380" s="33">
        <v>15.98</v>
      </c>
      <c r="D1380" s="33" t="s">
        <v>810</v>
      </c>
      <c r="E1380" s="52" t="s">
        <v>6</v>
      </c>
      <c r="F1380" s="47" t="s">
        <v>2207</v>
      </c>
    </row>
    <row r="1381" spans="1:6" hidden="1" x14ac:dyDescent="0.2">
      <c r="A1381" s="44">
        <v>45724</v>
      </c>
      <c r="B1381" s="42" t="s">
        <v>1950</v>
      </c>
      <c r="C1381" s="42">
        <v>11.19</v>
      </c>
      <c r="D1381" s="42" t="s">
        <v>810</v>
      </c>
      <c r="E1381" s="51" t="s">
        <v>6</v>
      </c>
      <c r="F1381" s="45" t="s">
        <v>2207</v>
      </c>
    </row>
    <row r="1382" spans="1:6" hidden="1" x14ac:dyDescent="0.2">
      <c r="A1382" s="46">
        <v>45724</v>
      </c>
      <c r="B1382" s="33" t="s">
        <v>1950</v>
      </c>
      <c r="C1382" s="33">
        <v>15.98</v>
      </c>
      <c r="D1382" s="33" t="s">
        <v>810</v>
      </c>
      <c r="E1382" s="52" t="s">
        <v>6</v>
      </c>
      <c r="F1382" s="47" t="s">
        <v>2207</v>
      </c>
    </row>
    <row r="1383" spans="1:6" hidden="1" x14ac:dyDescent="0.2">
      <c r="A1383" s="44">
        <v>45721</v>
      </c>
      <c r="B1383" s="42" t="s">
        <v>1950</v>
      </c>
      <c r="C1383" s="42">
        <v>15.98</v>
      </c>
      <c r="D1383" s="42" t="s">
        <v>810</v>
      </c>
      <c r="E1383" s="51" t="s">
        <v>6</v>
      </c>
      <c r="F1383" s="45" t="s">
        <v>2207</v>
      </c>
    </row>
    <row r="1384" spans="1:6" hidden="1" x14ac:dyDescent="0.2">
      <c r="A1384" s="46">
        <v>45720</v>
      </c>
      <c r="B1384" s="33" t="s">
        <v>1950</v>
      </c>
      <c r="C1384" s="33">
        <v>15.98</v>
      </c>
      <c r="D1384" s="33" t="s">
        <v>810</v>
      </c>
      <c r="E1384" s="52" t="s">
        <v>6</v>
      </c>
      <c r="F1384" s="47" t="s">
        <v>2207</v>
      </c>
    </row>
    <row r="1385" spans="1:6" hidden="1" x14ac:dyDescent="0.2">
      <c r="A1385" s="44">
        <v>45719</v>
      </c>
      <c r="B1385" s="42" t="s">
        <v>1847</v>
      </c>
      <c r="C1385" s="42">
        <v>0.85</v>
      </c>
      <c r="D1385" s="42" t="s">
        <v>810</v>
      </c>
      <c r="E1385" s="51" t="s">
        <v>6</v>
      </c>
      <c r="F1385" s="45" t="s">
        <v>2207</v>
      </c>
    </row>
    <row r="1386" spans="1:6" hidden="1" x14ac:dyDescent="0.2">
      <c r="A1386" s="46">
        <v>45700</v>
      </c>
      <c r="B1386" s="33" t="s">
        <v>1950</v>
      </c>
      <c r="C1386" s="33">
        <v>8.89</v>
      </c>
      <c r="D1386" s="33" t="s">
        <v>810</v>
      </c>
      <c r="E1386" s="52" t="s">
        <v>6</v>
      </c>
      <c r="F1386" s="47" t="s">
        <v>2207</v>
      </c>
    </row>
    <row r="1387" spans="1:6" hidden="1" x14ac:dyDescent="0.2">
      <c r="A1387" s="44">
        <v>45687</v>
      </c>
      <c r="B1387" s="42" t="s">
        <v>2079</v>
      </c>
      <c r="C1387" s="42">
        <v>9.99</v>
      </c>
      <c r="D1387" s="42" t="s">
        <v>810</v>
      </c>
      <c r="E1387" s="51" t="s">
        <v>6</v>
      </c>
      <c r="F1387" s="45" t="s">
        <v>2207</v>
      </c>
    </row>
    <row r="1388" spans="1:6" hidden="1" x14ac:dyDescent="0.2">
      <c r="A1388" s="46">
        <v>45686</v>
      </c>
      <c r="B1388" s="33" t="s">
        <v>1847</v>
      </c>
      <c r="C1388" s="33">
        <v>3</v>
      </c>
      <c r="D1388" s="33" t="s">
        <v>810</v>
      </c>
      <c r="E1388" s="52" t="s">
        <v>6</v>
      </c>
      <c r="F1388" s="47" t="s">
        <v>2207</v>
      </c>
    </row>
    <row r="1389" spans="1:6" hidden="1" x14ac:dyDescent="0.2">
      <c r="A1389" s="44">
        <v>45686</v>
      </c>
      <c r="B1389" s="42" t="s">
        <v>1847</v>
      </c>
      <c r="C1389" s="42">
        <v>6</v>
      </c>
      <c r="D1389" s="42" t="s">
        <v>810</v>
      </c>
      <c r="E1389" s="51" t="s">
        <v>6</v>
      </c>
      <c r="F1389" s="45" t="s">
        <v>2207</v>
      </c>
    </row>
    <row r="1390" spans="1:6" hidden="1" x14ac:dyDescent="0.2">
      <c r="A1390" s="46">
        <v>45684</v>
      </c>
      <c r="B1390" s="33" t="s">
        <v>2079</v>
      </c>
      <c r="C1390" s="33">
        <v>7.99</v>
      </c>
      <c r="D1390" s="33" t="s">
        <v>810</v>
      </c>
      <c r="E1390" s="52" t="s">
        <v>6</v>
      </c>
      <c r="F1390" s="47" t="s">
        <v>2207</v>
      </c>
    </row>
    <row r="1391" spans="1:6" hidden="1" x14ac:dyDescent="0.2">
      <c r="A1391" s="44">
        <v>45681</v>
      </c>
      <c r="B1391" s="42" t="s">
        <v>1847</v>
      </c>
      <c r="C1391" s="42">
        <v>1.5</v>
      </c>
      <c r="D1391" s="42" t="s">
        <v>810</v>
      </c>
      <c r="E1391" s="51" t="s">
        <v>6</v>
      </c>
      <c r="F1391" s="45" t="s">
        <v>2207</v>
      </c>
    </row>
    <row r="1392" spans="1:6" hidden="1" x14ac:dyDescent="0.2">
      <c r="A1392" s="46">
        <v>45679</v>
      </c>
      <c r="B1392" s="33" t="s">
        <v>1950</v>
      </c>
      <c r="C1392" s="33">
        <v>15.98</v>
      </c>
      <c r="D1392" s="33" t="s">
        <v>810</v>
      </c>
      <c r="E1392" s="52" t="s">
        <v>6</v>
      </c>
      <c r="F1392" s="47" t="s">
        <v>2207</v>
      </c>
    </row>
    <row r="1393" spans="1:6" hidden="1" x14ac:dyDescent="0.2">
      <c r="A1393" s="44">
        <v>45679</v>
      </c>
      <c r="B1393" s="42" t="s">
        <v>1847</v>
      </c>
      <c r="C1393" s="42">
        <v>3.24</v>
      </c>
      <c r="D1393" s="42" t="s">
        <v>810</v>
      </c>
      <c r="E1393" s="51" t="s">
        <v>6</v>
      </c>
      <c r="F1393" s="45" t="s">
        <v>2207</v>
      </c>
    </row>
    <row r="1394" spans="1:6" hidden="1" x14ac:dyDescent="0.2">
      <c r="A1394" s="46">
        <v>45679</v>
      </c>
      <c r="B1394" s="33" t="s">
        <v>1847</v>
      </c>
      <c r="C1394" s="33">
        <v>5</v>
      </c>
      <c r="D1394" s="33" t="s">
        <v>810</v>
      </c>
      <c r="E1394" s="52" t="s">
        <v>6</v>
      </c>
      <c r="F1394" s="47" t="s">
        <v>2207</v>
      </c>
    </row>
    <row r="1395" spans="1:6" hidden="1" x14ac:dyDescent="0.2">
      <c r="A1395" s="44">
        <v>45676</v>
      </c>
      <c r="B1395" s="42" t="s">
        <v>2041</v>
      </c>
      <c r="C1395" s="42">
        <v>10</v>
      </c>
      <c r="D1395" s="42" t="s">
        <v>810</v>
      </c>
      <c r="E1395" s="51" t="s">
        <v>6</v>
      </c>
      <c r="F1395" s="45" t="s">
        <v>2207</v>
      </c>
    </row>
    <row r="1396" spans="1:6" hidden="1" x14ac:dyDescent="0.2">
      <c r="A1396" s="46">
        <v>45666</v>
      </c>
      <c r="B1396" s="33" t="s">
        <v>1847</v>
      </c>
      <c r="C1396" s="33">
        <v>2.75</v>
      </c>
      <c r="D1396" s="33" t="s">
        <v>810</v>
      </c>
      <c r="E1396" s="52" t="s">
        <v>6</v>
      </c>
      <c r="F1396" s="47" t="s">
        <v>2207</v>
      </c>
    </row>
    <row r="1397" spans="1:6" hidden="1" x14ac:dyDescent="0.2">
      <c r="A1397" s="44">
        <v>45660</v>
      </c>
      <c r="B1397" s="42" t="s">
        <v>2190</v>
      </c>
      <c r="C1397" s="42">
        <v>5</v>
      </c>
      <c r="D1397" s="42" t="s">
        <v>810</v>
      </c>
      <c r="E1397" s="51" t="s">
        <v>6</v>
      </c>
      <c r="F1397" s="45" t="s">
        <v>2207</v>
      </c>
    </row>
    <row r="1398" spans="1:6" hidden="1" x14ac:dyDescent="0.2">
      <c r="A1398" s="46">
        <v>45660</v>
      </c>
      <c r="B1398" s="33" t="s">
        <v>2196</v>
      </c>
      <c r="C1398" s="33">
        <v>8</v>
      </c>
      <c r="D1398" s="33" t="s">
        <v>810</v>
      </c>
      <c r="E1398" s="52" t="s">
        <v>6</v>
      </c>
      <c r="F1398" s="47" t="s">
        <v>2207</v>
      </c>
    </row>
    <row r="1399" spans="1:6" hidden="1" x14ac:dyDescent="0.2">
      <c r="A1399" s="44">
        <v>45861</v>
      </c>
      <c r="B1399" s="42" t="s">
        <v>1810</v>
      </c>
      <c r="C1399" s="42">
        <v>47</v>
      </c>
      <c r="D1399" s="42" t="s">
        <v>828</v>
      </c>
      <c r="E1399" s="51" t="s">
        <v>6</v>
      </c>
      <c r="F1399" s="45" t="s">
        <v>2207</v>
      </c>
    </row>
    <row r="1400" spans="1:6" hidden="1" x14ac:dyDescent="0.2">
      <c r="A1400" s="46">
        <v>45772</v>
      </c>
      <c r="B1400" s="33" t="s">
        <v>2021</v>
      </c>
      <c r="C1400" s="33">
        <v>200</v>
      </c>
      <c r="D1400" s="33" t="s">
        <v>828</v>
      </c>
      <c r="E1400" s="52" t="s">
        <v>6</v>
      </c>
      <c r="F1400" s="47" t="s">
        <v>2207</v>
      </c>
    </row>
    <row r="1401" spans="1:6" hidden="1" x14ac:dyDescent="0.2">
      <c r="A1401" s="44">
        <v>45717</v>
      </c>
      <c r="B1401" s="42" t="s">
        <v>1810</v>
      </c>
      <c r="C1401" s="42">
        <v>50</v>
      </c>
      <c r="D1401" s="42" t="s">
        <v>828</v>
      </c>
      <c r="E1401" s="51" t="s">
        <v>6</v>
      </c>
      <c r="F1401" s="45" t="s">
        <v>2207</v>
      </c>
    </row>
    <row r="1402" spans="1:6" hidden="1" x14ac:dyDescent="0.2">
      <c r="A1402" s="46">
        <v>45948</v>
      </c>
      <c r="B1402" s="33" t="s">
        <v>1217</v>
      </c>
      <c r="C1402" s="33">
        <v>69.11</v>
      </c>
      <c r="D1402" s="33" t="s">
        <v>828</v>
      </c>
      <c r="E1402" s="52" t="s">
        <v>6</v>
      </c>
      <c r="F1402" s="47" t="s">
        <v>2207</v>
      </c>
    </row>
    <row r="1403" spans="1:6" hidden="1" x14ac:dyDescent="0.2">
      <c r="A1403" s="44">
        <v>45968</v>
      </c>
      <c r="B1403" s="42" t="s">
        <v>840</v>
      </c>
      <c r="C1403" s="42">
        <v>155</v>
      </c>
      <c r="D1403" s="42" t="s">
        <v>835</v>
      </c>
      <c r="E1403" s="51" t="s">
        <v>45</v>
      </c>
      <c r="F1403" s="45" t="s">
        <v>2207</v>
      </c>
    </row>
    <row r="1404" spans="1:6" hidden="1" x14ac:dyDescent="0.2">
      <c r="A1404" s="46">
        <v>45887</v>
      </c>
      <c r="B1404" s="33" t="s">
        <v>1600</v>
      </c>
      <c r="C1404" s="33">
        <v>110.34</v>
      </c>
      <c r="D1404" s="33" t="s">
        <v>835</v>
      </c>
      <c r="E1404" s="52" t="s">
        <v>45</v>
      </c>
      <c r="F1404" s="47" t="s">
        <v>2207</v>
      </c>
    </row>
    <row r="1405" spans="1:6" hidden="1" x14ac:dyDescent="0.2">
      <c r="A1405" s="44">
        <v>45858</v>
      </c>
      <c r="B1405" s="42" t="s">
        <v>1600</v>
      </c>
      <c r="C1405" s="42">
        <v>7.71</v>
      </c>
      <c r="D1405" s="42" t="s">
        <v>835</v>
      </c>
      <c r="E1405" s="51" t="s">
        <v>45</v>
      </c>
      <c r="F1405" s="45" t="s">
        <v>2207</v>
      </c>
    </row>
    <row r="1406" spans="1:6" hidden="1" x14ac:dyDescent="0.2">
      <c r="A1406" s="46">
        <v>45856</v>
      </c>
      <c r="B1406" s="33" t="s">
        <v>1600</v>
      </c>
      <c r="C1406" s="33">
        <v>45.75</v>
      </c>
      <c r="D1406" s="33" t="s">
        <v>835</v>
      </c>
      <c r="E1406" s="52" t="s">
        <v>45</v>
      </c>
      <c r="F1406" s="47" t="s">
        <v>2207</v>
      </c>
    </row>
    <row r="1407" spans="1:6" hidden="1" x14ac:dyDescent="0.2">
      <c r="A1407" s="44">
        <v>45810</v>
      </c>
      <c r="B1407" s="42" t="s">
        <v>1600</v>
      </c>
      <c r="C1407" s="42">
        <v>124.67</v>
      </c>
      <c r="D1407" s="42" t="s">
        <v>835</v>
      </c>
      <c r="E1407" s="51" t="s">
        <v>45</v>
      </c>
      <c r="F1407" s="45" t="s">
        <v>2207</v>
      </c>
    </row>
    <row r="1408" spans="1:6" hidden="1" x14ac:dyDescent="0.2">
      <c r="A1408" s="46">
        <v>45793</v>
      </c>
      <c r="B1408" s="33" t="s">
        <v>1600</v>
      </c>
      <c r="C1408" s="33">
        <v>24.26</v>
      </c>
      <c r="D1408" s="33" t="s">
        <v>835</v>
      </c>
      <c r="E1408" s="52" t="s">
        <v>45</v>
      </c>
      <c r="F1408" s="47" t="s">
        <v>2207</v>
      </c>
    </row>
    <row r="1409" spans="1:6" hidden="1" x14ac:dyDescent="0.2">
      <c r="A1409" s="44">
        <v>45788</v>
      </c>
      <c r="B1409" s="42" t="s">
        <v>839</v>
      </c>
      <c r="C1409" s="42">
        <v>118.98</v>
      </c>
      <c r="D1409" s="42" t="s">
        <v>835</v>
      </c>
      <c r="E1409" s="51" t="s">
        <v>45</v>
      </c>
      <c r="F1409" s="45" t="s">
        <v>2207</v>
      </c>
    </row>
    <row r="1410" spans="1:6" hidden="1" x14ac:dyDescent="0.2">
      <c r="A1410" s="46">
        <v>45786</v>
      </c>
      <c r="B1410" s="33" t="s">
        <v>2007</v>
      </c>
      <c r="C1410" s="33">
        <v>24.25</v>
      </c>
      <c r="D1410" s="33" t="s">
        <v>835</v>
      </c>
      <c r="E1410" s="52" t="s">
        <v>45</v>
      </c>
      <c r="F1410" s="47" t="s">
        <v>2207</v>
      </c>
    </row>
    <row r="1411" spans="1:6" hidden="1" x14ac:dyDescent="0.2">
      <c r="A1411" s="44">
        <v>45784</v>
      </c>
      <c r="B1411" s="42" t="s">
        <v>839</v>
      </c>
      <c r="C1411" s="42">
        <v>43.71</v>
      </c>
      <c r="D1411" s="42" t="s">
        <v>835</v>
      </c>
      <c r="E1411" s="51" t="s">
        <v>45</v>
      </c>
      <c r="F1411" s="45" t="s">
        <v>2207</v>
      </c>
    </row>
    <row r="1412" spans="1:6" hidden="1" x14ac:dyDescent="0.2">
      <c r="A1412" s="46">
        <v>45762</v>
      </c>
      <c r="B1412" s="33" t="s">
        <v>1600</v>
      </c>
      <c r="C1412" s="33">
        <v>60.68</v>
      </c>
      <c r="D1412" s="33" t="s">
        <v>835</v>
      </c>
      <c r="E1412" s="52" t="s">
        <v>45</v>
      </c>
      <c r="F1412" s="47" t="s">
        <v>2207</v>
      </c>
    </row>
    <row r="1413" spans="1:6" hidden="1" x14ac:dyDescent="0.2">
      <c r="A1413" s="44">
        <v>45758</v>
      </c>
      <c r="B1413" s="42" t="s">
        <v>839</v>
      </c>
      <c r="C1413" s="42">
        <v>118.98</v>
      </c>
      <c r="D1413" s="42" t="s">
        <v>835</v>
      </c>
      <c r="E1413" s="51" t="s">
        <v>45</v>
      </c>
      <c r="F1413" s="45" t="s">
        <v>2207</v>
      </c>
    </row>
    <row r="1414" spans="1:6" hidden="1" x14ac:dyDescent="0.2">
      <c r="A1414" s="46">
        <v>45755</v>
      </c>
      <c r="B1414" s="33" t="s">
        <v>839</v>
      </c>
      <c r="C1414" s="33">
        <v>42.48</v>
      </c>
      <c r="D1414" s="33" t="s">
        <v>835</v>
      </c>
      <c r="E1414" s="52" t="s">
        <v>45</v>
      </c>
      <c r="F1414" s="47" t="s">
        <v>2207</v>
      </c>
    </row>
    <row r="1415" spans="1:6" hidden="1" x14ac:dyDescent="0.2">
      <c r="A1415" s="44">
        <v>45727</v>
      </c>
      <c r="B1415" s="42" t="s">
        <v>839</v>
      </c>
      <c r="C1415" s="42">
        <v>118.98</v>
      </c>
      <c r="D1415" s="42" t="s">
        <v>835</v>
      </c>
      <c r="E1415" s="51" t="s">
        <v>45</v>
      </c>
      <c r="F1415" s="45" t="s">
        <v>2207</v>
      </c>
    </row>
    <row r="1416" spans="1:6" hidden="1" x14ac:dyDescent="0.2">
      <c r="A1416" s="46">
        <v>45724</v>
      </c>
      <c r="B1416" s="33" t="s">
        <v>839</v>
      </c>
      <c r="C1416" s="33">
        <v>42.48</v>
      </c>
      <c r="D1416" s="33" t="s">
        <v>835</v>
      </c>
      <c r="E1416" s="52" t="s">
        <v>45</v>
      </c>
      <c r="F1416" s="47" t="s">
        <v>2207</v>
      </c>
    </row>
    <row r="1417" spans="1:6" hidden="1" x14ac:dyDescent="0.2">
      <c r="A1417" s="44">
        <v>45699</v>
      </c>
      <c r="B1417" s="42" t="s">
        <v>839</v>
      </c>
      <c r="C1417" s="42">
        <v>118.98</v>
      </c>
      <c r="D1417" s="42" t="s">
        <v>835</v>
      </c>
      <c r="E1417" s="51" t="s">
        <v>45</v>
      </c>
      <c r="F1417" s="45" t="s">
        <v>2207</v>
      </c>
    </row>
    <row r="1418" spans="1:6" hidden="1" x14ac:dyDescent="0.2">
      <c r="A1418" s="46">
        <v>45695</v>
      </c>
      <c r="B1418" s="33" t="s">
        <v>839</v>
      </c>
      <c r="C1418" s="33">
        <v>42.48</v>
      </c>
      <c r="D1418" s="33" t="s">
        <v>835</v>
      </c>
      <c r="E1418" s="52" t="s">
        <v>45</v>
      </c>
      <c r="F1418" s="47" t="s">
        <v>2207</v>
      </c>
    </row>
    <row r="1419" spans="1:6" hidden="1" x14ac:dyDescent="0.2">
      <c r="A1419" s="44">
        <v>45685</v>
      </c>
      <c r="B1419" s="42" t="s">
        <v>2148</v>
      </c>
      <c r="C1419" s="42">
        <v>103</v>
      </c>
      <c r="D1419" s="42" t="s">
        <v>835</v>
      </c>
      <c r="E1419" s="51" t="s">
        <v>45</v>
      </c>
      <c r="F1419" s="45" t="s">
        <v>2207</v>
      </c>
    </row>
    <row r="1420" spans="1:6" hidden="1" x14ac:dyDescent="0.2">
      <c r="A1420" s="46">
        <v>45668</v>
      </c>
      <c r="B1420" s="33" t="s">
        <v>839</v>
      </c>
      <c r="C1420" s="33">
        <v>118.98</v>
      </c>
      <c r="D1420" s="33" t="s">
        <v>835</v>
      </c>
      <c r="E1420" s="52" t="s">
        <v>45</v>
      </c>
      <c r="F1420" s="47" t="s">
        <v>2207</v>
      </c>
    </row>
    <row r="1421" spans="1:6" hidden="1" x14ac:dyDescent="0.2">
      <c r="A1421" s="44">
        <v>45666</v>
      </c>
      <c r="B1421" s="42" t="s">
        <v>2176</v>
      </c>
      <c r="C1421" s="42">
        <v>65.11</v>
      </c>
      <c r="D1421" s="42" t="s">
        <v>835</v>
      </c>
      <c r="E1421" s="51" t="s">
        <v>45</v>
      </c>
      <c r="F1421" s="45" t="s">
        <v>2207</v>
      </c>
    </row>
    <row r="1422" spans="1:6" hidden="1" x14ac:dyDescent="0.2">
      <c r="A1422" s="46">
        <v>45664</v>
      </c>
      <c r="B1422" s="33" t="s">
        <v>839</v>
      </c>
      <c r="C1422" s="33">
        <v>42.48</v>
      </c>
      <c r="D1422" s="33" t="s">
        <v>835</v>
      </c>
      <c r="E1422" s="52" t="s">
        <v>45</v>
      </c>
      <c r="F1422" s="47" t="s">
        <v>2207</v>
      </c>
    </row>
    <row r="1423" spans="1:6" hidden="1" x14ac:dyDescent="0.2">
      <c r="A1423" s="44">
        <v>45943</v>
      </c>
      <c r="B1423" s="42" t="s">
        <v>841</v>
      </c>
      <c r="C1423" s="42">
        <v>84.4</v>
      </c>
      <c r="D1423" s="42" t="s">
        <v>835</v>
      </c>
      <c r="E1423" s="51" t="s">
        <v>45</v>
      </c>
      <c r="F1423" s="45" t="s">
        <v>2207</v>
      </c>
    </row>
    <row r="1424" spans="1:6" hidden="1" x14ac:dyDescent="0.2">
      <c r="A1424" s="46">
        <v>45926</v>
      </c>
      <c r="B1424" s="33" t="s">
        <v>1547</v>
      </c>
      <c r="C1424" s="33">
        <v>5.62</v>
      </c>
      <c r="D1424" s="33" t="s">
        <v>848</v>
      </c>
      <c r="E1424" s="52" t="s">
        <v>6</v>
      </c>
      <c r="F1424" s="47" t="s">
        <v>2207</v>
      </c>
    </row>
    <row r="1425" spans="1:6" hidden="1" x14ac:dyDescent="0.2">
      <c r="A1425" s="44">
        <v>45909</v>
      </c>
      <c r="B1425" s="42" t="s">
        <v>1547</v>
      </c>
      <c r="C1425" s="42">
        <v>5.52</v>
      </c>
      <c r="D1425" s="42" t="s">
        <v>848</v>
      </c>
      <c r="E1425" s="51" t="s">
        <v>6</v>
      </c>
      <c r="F1425" s="45" t="s">
        <v>2207</v>
      </c>
    </row>
    <row r="1426" spans="1:6" hidden="1" x14ac:dyDescent="0.2">
      <c r="A1426" s="46">
        <v>45908</v>
      </c>
      <c r="B1426" s="33" t="s">
        <v>1547</v>
      </c>
      <c r="C1426" s="33">
        <v>33.6</v>
      </c>
      <c r="D1426" s="33" t="s">
        <v>848</v>
      </c>
      <c r="E1426" s="52" t="s">
        <v>6</v>
      </c>
      <c r="F1426" s="47" t="s">
        <v>2207</v>
      </c>
    </row>
    <row r="1427" spans="1:6" hidden="1" x14ac:dyDescent="0.2">
      <c r="A1427" s="44">
        <v>45894</v>
      </c>
      <c r="B1427" s="42" t="s">
        <v>1547</v>
      </c>
      <c r="C1427" s="42">
        <v>6.1</v>
      </c>
      <c r="D1427" s="42" t="s">
        <v>848</v>
      </c>
      <c r="E1427" s="51" t="s">
        <v>6</v>
      </c>
      <c r="F1427" s="45" t="s">
        <v>2207</v>
      </c>
    </row>
    <row r="1428" spans="1:6" hidden="1" x14ac:dyDescent="0.2">
      <c r="A1428" s="46">
        <v>45887</v>
      </c>
      <c r="B1428" s="33" t="s">
        <v>1547</v>
      </c>
      <c r="C1428" s="33">
        <v>5.52</v>
      </c>
      <c r="D1428" s="33" t="s">
        <v>848</v>
      </c>
      <c r="E1428" s="52" t="s">
        <v>6</v>
      </c>
      <c r="F1428" s="47" t="s">
        <v>2207</v>
      </c>
    </row>
    <row r="1429" spans="1:6" hidden="1" x14ac:dyDescent="0.2">
      <c r="A1429" s="44">
        <v>45880</v>
      </c>
      <c r="B1429" s="42" t="s">
        <v>1547</v>
      </c>
      <c r="C1429" s="42">
        <v>5.52</v>
      </c>
      <c r="D1429" s="42" t="s">
        <v>848</v>
      </c>
      <c r="E1429" s="51" t="s">
        <v>6</v>
      </c>
      <c r="F1429" s="45" t="s">
        <v>2207</v>
      </c>
    </row>
    <row r="1430" spans="1:6" hidden="1" x14ac:dyDescent="0.2">
      <c r="A1430" s="46">
        <v>45853</v>
      </c>
      <c r="B1430" s="33" t="s">
        <v>1547</v>
      </c>
      <c r="C1430" s="33">
        <v>6.41</v>
      </c>
      <c r="D1430" s="33" t="s">
        <v>848</v>
      </c>
      <c r="E1430" s="52" t="s">
        <v>6</v>
      </c>
      <c r="F1430" s="47" t="s">
        <v>2207</v>
      </c>
    </row>
    <row r="1431" spans="1:6" hidden="1" x14ac:dyDescent="0.2">
      <c r="A1431" s="44">
        <v>45847</v>
      </c>
      <c r="B1431" s="42" t="s">
        <v>1547</v>
      </c>
      <c r="C1431" s="42">
        <v>5.52</v>
      </c>
      <c r="D1431" s="42" t="s">
        <v>848</v>
      </c>
      <c r="E1431" s="51" t="s">
        <v>6</v>
      </c>
      <c r="F1431" s="45" t="s">
        <v>2207</v>
      </c>
    </row>
    <row r="1432" spans="1:6" hidden="1" x14ac:dyDescent="0.2">
      <c r="A1432" s="46">
        <v>45839</v>
      </c>
      <c r="B1432" s="33" t="s">
        <v>1547</v>
      </c>
      <c r="C1432" s="33">
        <v>6.19</v>
      </c>
      <c r="D1432" s="33" t="s">
        <v>848</v>
      </c>
      <c r="E1432" s="52" t="s">
        <v>6</v>
      </c>
      <c r="F1432" s="47" t="s">
        <v>2207</v>
      </c>
    </row>
    <row r="1433" spans="1:6" hidden="1" x14ac:dyDescent="0.2">
      <c r="A1433" s="44">
        <v>45839</v>
      </c>
      <c r="B1433" s="42" t="s">
        <v>1547</v>
      </c>
      <c r="C1433" s="42">
        <v>5.52</v>
      </c>
      <c r="D1433" s="42" t="s">
        <v>848</v>
      </c>
      <c r="E1433" s="51" t="s">
        <v>6</v>
      </c>
      <c r="F1433" s="45" t="s">
        <v>2207</v>
      </c>
    </row>
    <row r="1434" spans="1:6" hidden="1" x14ac:dyDescent="0.2">
      <c r="A1434" s="46">
        <v>45838</v>
      </c>
      <c r="B1434" s="33" t="s">
        <v>1547</v>
      </c>
      <c r="C1434" s="33">
        <v>5.63</v>
      </c>
      <c r="D1434" s="33" t="s">
        <v>848</v>
      </c>
      <c r="E1434" s="52" t="s">
        <v>6</v>
      </c>
      <c r="F1434" s="47" t="s">
        <v>2207</v>
      </c>
    </row>
    <row r="1435" spans="1:6" hidden="1" x14ac:dyDescent="0.2">
      <c r="A1435" s="44">
        <v>45826</v>
      </c>
      <c r="B1435" s="42" t="s">
        <v>1547</v>
      </c>
      <c r="C1435" s="42">
        <v>28.08</v>
      </c>
      <c r="D1435" s="42" t="s">
        <v>848</v>
      </c>
      <c r="E1435" s="51" t="s">
        <v>6</v>
      </c>
      <c r="F1435" s="45" t="s">
        <v>2207</v>
      </c>
    </row>
    <row r="1436" spans="1:6" hidden="1" x14ac:dyDescent="0.2">
      <c r="A1436" s="46">
        <v>45796</v>
      </c>
      <c r="B1436" s="33" t="s">
        <v>1547</v>
      </c>
      <c r="C1436" s="33">
        <v>9.3000000000000007</v>
      </c>
      <c r="D1436" s="33" t="s">
        <v>848</v>
      </c>
      <c r="E1436" s="52" t="s">
        <v>6</v>
      </c>
      <c r="F1436" s="47" t="s">
        <v>2207</v>
      </c>
    </row>
    <row r="1437" spans="1:6" hidden="1" x14ac:dyDescent="0.2">
      <c r="A1437" s="44">
        <v>45789</v>
      </c>
      <c r="B1437" s="42" t="s">
        <v>1547</v>
      </c>
      <c r="C1437" s="42">
        <v>5.52</v>
      </c>
      <c r="D1437" s="42" t="s">
        <v>848</v>
      </c>
      <c r="E1437" s="51" t="s">
        <v>6</v>
      </c>
      <c r="F1437" s="45" t="s">
        <v>2207</v>
      </c>
    </row>
    <row r="1438" spans="1:6" hidden="1" x14ac:dyDescent="0.2">
      <c r="A1438" s="46">
        <v>45782</v>
      </c>
      <c r="B1438" s="33" t="s">
        <v>1547</v>
      </c>
      <c r="C1438" s="33">
        <v>6.19</v>
      </c>
      <c r="D1438" s="33" t="s">
        <v>848</v>
      </c>
      <c r="E1438" s="52" t="s">
        <v>6</v>
      </c>
      <c r="F1438" s="47" t="s">
        <v>2207</v>
      </c>
    </row>
    <row r="1439" spans="1:6" hidden="1" x14ac:dyDescent="0.2">
      <c r="A1439" s="44">
        <v>45769</v>
      </c>
      <c r="B1439" s="42" t="s">
        <v>1547</v>
      </c>
      <c r="C1439" s="42">
        <v>5.52</v>
      </c>
      <c r="D1439" s="42" t="s">
        <v>848</v>
      </c>
      <c r="E1439" s="51" t="s">
        <v>6</v>
      </c>
      <c r="F1439" s="45" t="s">
        <v>2207</v>
      </c>
    </row>
    <row r="1440" spans="1:6" hidden="1" x14ac:dyDescent="0.2">
      <c r="A1440" s="46">
        <v>45768</v>
      </c>
      <c r="B1440" s="33" t="s">
        <v>1547</v>
      </c>
      <c r="C1440" s="33">
        <v>9.3000000000000007</v>
      </c>
      <c r="D1440" s="33" t="s">
        <v>848</v>
      </c>
      <c r="E1440" s="52" t="s">
        <v>6</v>
      </c>
      <c r="F1440" s="47" t="s">
        <v>2207</v>
      </c>
    </row>
    <row r="1441" spans="1:6" hidden="1" x14ac:dyDescent="0.2">
      <c r="A1441" s="44">
        <v>45763</v>
      </c>
      <c r="B1441" s="42" t="s">
        <v>2035</v>
      </c>
      <c r="C1441" s="42">
        <v>6.49</v>
      </c>
      <c r="D1441" s="42" t="s">
        <v>848</v>
      </c>
      <c r="E1441" s="51" t="s">
        <v>6</v>
      </c>
      <c r="F1441" s="45" t="s">
        <v>2207</v>
      </c>
    </row>
    <row r="1442" spans="1:6" hidden="1" x14ac:dyDescent="0.2">
      <c r="A1442" s="46">
        <v>45758</v>
      </c>
      <c r="B1442" s="33" t="s">
        <v>1547</v>
      </c>
      <c r="C1442" s="33">
        <v>5.52</v>
      </c>
      <c r="D1442" s="33" t="s">
        <v>848</v>
      </c>
      <c r="E1442" s="52" t="s">
        <v>6</v>
      </c>
      <c r="F1442" s="47" t="s">
        <v>2207</v>
      </c>
    </row>
    <row r="1443" spans="1:6" hidden="1" x14ac:dyDescent="0.2">
      <c r="A1443" s="44">
        <v>45758</v>
      </c>
      <c r="B1443" s="42" t="s">
        <v>1547</v>
      </c>
      <c r="C1443" s="42">
        <v>18.670000000000002</v>
      </c>
      <c r="D1443" s="42" t="s">
        <v>848</v>
      </c>
      <c r="E1443" s="51" t="s">
        <v>6</v>
      </c>
      <c r="F1443" s="45" t="s">
        <v>2207</v>
      </c>
    </row>
    <row r="1444" spans="1:6" hidden="1" x14ac:dyDescent="0.2">
      <c r="A1444" s="46">
        <v>45735</v>
      </c>
      <c r="B1444" s="33" t="s">
        <v>1547</v>
      </c>
      <c r="C1444" s="33">
        <v>5.52</v>
      </c>
      <c r="D1444" s="33" t="s">
        <v>848</v>
      </c>
      <c r="E1444" s="52" t="s">
        <v>6</v>
      </c>
      <c r="F1444" s="47" t="s">
        <v>2207</v>
      </c>
    </row>
    <row r="1445" spans="1:6" hidden="1" x14ac:dyDescent="0.2">
      <c r="A1445" s="44">
        <v>45728</v>
      </c>
      <c r="B1445" s="42" t="s">
        <v>1547</v>
      </c>
      <c r="C1445" s="42">
        <v>6.19</v>
      </c>
      <c r="D1445" s="42" t="s">
        <v>848</v>
      </c>
      <c r="E1445" s="51" t="s">
        <v>6</v>
      </c>
      <c r="F1445" s="45" t="s">
        <v>2207</v>
      </c>
    </row>
    <row r="1446" spans="1:6" hidden="1" x14ac:dyDescent="0.2">
      <c r="A1446" s="46">
        <v>45727</v>
      </c>
      <c r="B1446" s="33" t="s">
        <v>1547</v>
      </c>
      <c r="C1446" s="33">
        <v>37.380000000000003</v>
      </c>
      <c r="D1446" s="33" t="s">
        <v>848</v>
      </c>
      <c r="E1446" s="52" t="s">
        <v>6</v>
      </c>
      <c r="F1446" s="47" t="s">
        <v>2207</v>
      </c>
    </row>
    <row r="1447" spans="1:6" hidden="1" x14ac:dyDescent="0.2">
      <c r="A1447" s="44">
        <v>45706</v>
      </c>
      <c r="B1447" s="42" t="s">
        <v>1547</v>
      </c>
      <c r="C1447" s="42">
        <v>5.52</v>
      </c>
      <c r="D1447" s="42" t="s">
        <v>848</v>
      </c>
      <c r="E1447" s="51" t="s">
        <v>6</v>
      </c>
      <c r="F1447" s="45" t="s">
        <v>2207</v>
      </c>
    </row>
    <row r="1448" spans="1:6" hidden="1" x14ac:dyDescent="0.2">
      <c r="A1448" s="46">
        <v>45701</v>
      </c>
      <c r="B1448" s="33" t="s">
        <v>1547</v>
      </c>
      <c r="C1448" s="33">
        <v>25.88</v>
      </c>
      <c r="D1448" s="33" t="s">
        <v>848</v>
      </c>
      <c r="E1448" s="52" t="s">
        <v>6</v>
      </c>
      <c r="F1448" s="47" t="s">
        <v>2207</v>
      </c>
    </row>
    <row r="1449" spans="1:6" hidden="1" x14ac:dyDescent="0.2">
      <c r="A1449" s="44">
        <v>45699</v>
      </c>
      <c r="B1449" s="42" t="s">
        <v>1547</v>
      </c>
      <c r="C1449" s="42">
        <v>22.91</v>
      </c>
      <c r="D1449" s="42" t="s">
        <v>848</v>
      </c>
      <c r="E1449" s="51" t="s">
        <v>6</v>
      </c>
      <c r="F1449" s="45" t="s">
        <v>2207</v>
      </c>
    </row>
    <row r="1450" spans="1:6" hidden="1" x14ac:dyDescent="0.2">
      <c r="A1450" s="46">
        <v>45694</v>
      </c>
      <c r="B1450" s="33" t="s">
        <v>1547</v>
      </c>
      <c r="C1450" s="33">
        <v>44.12</v>
      </c>
      <c r="D1450" s="33" t="s">
        <v>848</v>
      </c>
      <c r="E1450" s="52" t="s">
        <v>6</v>
      </c>
      <c r="F1450" s="47" t="s">
        <v>2207</v>
      </c>
    </row>
    <row r="1451" spans="1:6" hidden="1" x14ac:dyDescent="0.2">
      <c r="A1451" s="44">
        <v>45686</v>
      </c>
      <c r="B1451" s="42" t="s">
        <v>1547</v>
      </c>
      <c r="C1451" s="42">
        <v>12.19</v>
      </c>
      <c r="D1451" s="42" t="s">
        <v>848</v>
      </c>
      <c r="E1451" s="51" t="s">
        <v>6</v>
      </c>
      <c r="F1451" s="45" t="s">
        <v>2207</v>
      </c>
    </row>
    <row r="1452" spans="1:6" hidden="1" x14ac:dyDescent="0.2">
      <c r="A1452" s="46">
        <v>45679</v>
      </c>
      <c r="B1452" s="33" t="s">
        <v>1547</v>
      </c>
      <c r="C1452" s="33">
        <v>5.5</v>
      </c>
      <c r="D1452" s="33" t="s">
        <v>848</v>
      </c>
      <c r="E1452" s="52" t="s">
        <v>6</v>
      </c>
      <c r="F1452" s="47" t="s">
        <v>2207</v>
      </c>
    </row>
    <row r="1453" spans="1:6" hidden="1" x14ac:dyDescent="0.2">
      <c r="A1453" s="44">
        <v>45678</v>
      </c>
      <c r="B1453" s="42" t="s">
        <v>1547</v>
      </c>
      <c r="C1453" s="42">
        <v>37.75</v>
      </c>
      <c r="D1453" s="42" t="s">
        <v>848</v>
      </c>
      <c r="E1453" s="51" t="s">
        <v>6</v>
      </c>
      <c r="F1453" s="45" t="s">
        <v>2207</v>
      </c>
    </row>
    <row r="1454" spans="1:6" hidden="1" x14ac:dyDescent="0.2">
      <c r="A1454" s="46">
        <v>45675</v>
      </c>
      <c r="B1454" s="33" t="s">
        <v>2162</v>
      </c>
      <c r="C1454" s="33">
        <v>48.64</v>
      </c>
      <c r="D1454" s="33" t="s">
        <v>848</v>
      </c>
      <c r="E1454" s="52" t="s">
        <v>6</v>
      </c>
      <c r="F1454" s="47" t="s">
        <v>2207</v>
      </c>
    </row>
    <row r="1455" spans="1:6" hidden="1" x14ac:dyDescent="0.2">
      <c r="A1455" s="44">
        <v>45673</v>
      </c>
      <c r="B1455" s="42" t="s">
        <v>1547</v>
      </c>
      <c r="C1455" s="42">
        <v>6.66</v>
      </c>
      <c r="D1455" s="42" t="s">
        <v>848</v>
      </c>
      <c r="E1455" s="51" t="s">
        <v>6</v>
      </c>
      <c r="F1455" s="45" t="s">
        <v>2207</v>
      </c>
    </row>
    <row r="1456" spans="1:6" hidden="1" x14ac:dyDescent="0.2">
      <c r="A1456" s="46">
        <v>45670</v>
      </c>
      <c r="B1456" s="33" t="s">
        <v>1547</v>
      </c>
      <c r="C1456" s="33">
        <v>48.54</v>
      </c>
      <c r="D1456" s="33" t="s">
        <v>848</v>
      </c>
      <c r="E1456" s="52" t="s">
        <v>6</v>
      </c>
      <c r="F1456" s="47" t="s">
        <v>2207</v>
      </c>
    </row>
    <row r="1457" spans="1:6" hidden="1" x14ac:dyDescent="0.2">
      <c r="A1457" s="44">
        <v>45659</v>
      </c>
      <c r="B1457" s="42" t="s">
        <v>1547</v>
      </c>
      <c r="C1457" s="42">
        <v>12.19</v>
      </c>
      <c r="D1457" s="42" t="s">
        <v>848</v>
      </c>
      <c r="E1457" s="51" t="s">
        <v>6</v>
      </c>
      <c r="F1457" s="45" t="s">
        <v>2207</v>
      </c>
    </row>
    <row r="1458" spans="1:6" hidden="1" x14ac:dyDescent="0.2">
      <c r="A1458" s="46">
        <v>45983</v>
      </c>
      <c r="B1458" s="33" t="s">
        <v>852</v>
      </c>
      <c r="C1458" s="33">
        <v>4.95</v>
      </c>
      <c r="D1458" s="33" t="s">
        <v>848</v>
      </c>
      <c r="E1458" s="52" t="s">
        <v>6</v>
      </c>
      <c r="F1458" s="47" t="s">
        <v>2207</v>
      </c>
    </row>
    <row r="1459" spans="1:6" hidden="1" x14ac:dyDescent="0.2">
      <c r="A1459" s="44">
        <v>45981</v>
      </c>
      <c r="B1459" s="42" t="s">
        <v>1556</v>
      </c>
      <c r="C1459" s="42">
        <v>6.09</v>
      </c>
      <c r="D1459" s="42" t="s">
        <v>848</v>
      </c>
      <c r="E1459" s="51" t="s">
        <v>6</v>
      </c>
      <c r="F1459" s="45" t="s">
        <v>2207</v>
      </c>
    </row>
    <row r="1460" spans="1:6" hidden="1" x14ac:dyDescent="0.2">
      <c r="A1460" s="46">
        <v>45969</v>
      </c>
      <c r="B1460" s="33" t="s">
        <v>852</v>
      </c>
      <c r="C1460" s="33">
        <v>16.54</v>
      </c>
      <c r="D1460" s="33" t="s">
        <v>848</v>
      </c>
      <c r="E1460" s="52" t="s">
        <v>6</v>
      </c>
      <c r="F1460" s="47" t="s">
        <v>2207</v>
      </c>
    </row>
    <row r="1461" spans="1:6" hidden="1" x14ac:dyDescent="0.2">
      <c r="A1461" s="44">
        <v>45958</v>
      </c>
      <c r="B1461" s="42" t="s">
        <v>852</v>
      </c>
      <c r="C1461" s="42">
        <v>2</v>
      </c>
      <c r="D1461" s="42" t="s">
        <v>848</v>
      </c>
      <c r="E1461" s="51" t="s">
        <v>6</v>
      </c>
      <c r="F1461" s="45" t="s">
        <v>2207</v>
      </c>
    </row>
    <row r="1462" spans="1:6" hidden="1" x14ac:dyDescent="0.2">
      <c r="A1462" s="46">
        <v>45958</v>
      </c>
      <c r="B1462" s="33" t="s">
        <v>852</v>
      </c>
      <c r="C1462" s="33">
        <v>6.1</v>
      </c>
      <c r="D1462" s="33" t="s">
        <v>848</v>
      </c>
      <c r="E1462" s="52" t="s">
        <v>6</v>
      </c>
      <c r="F1462" s="47" t="s">
        <v>2207</v>
      </c>
    </row>
    <row r="1463" spans="1:6" hidden="1" x14ac:dyDescent="0.2">
      <c r="A1463" s="44">
        <v>45950</v>
      </c>
      <c r="B1463" s="42" t="s">
        <v>852</v>
      </c>
      <c r="C1463" s="42">
        <v>38.590000000000003</v>
      </c>
      <c r="D1463" s="42" t="s">
        <v>848</v>
      </c>
      <c r="E1463" s="51" t="s">
        <v>6</v>
      </c>
      <c r="F1463" s="45" t="s">
        <v>2207</v>
      </c>
    </row>
    <row r="1464" spans="1:6" hidden="1" x14ac:dyDescent="0.2">
      <c r="A1464" s="46">
        <v>45943</v>
      </c>
      <c r="B1464" s="33" t="s">
        <v>852</v>
      </c>
      <c r="C1464" s="33">
        <v>6.41</v>
      </c>
      <c r="D1464" s="33" t="s">
        <v>848</v>
      </c>
      <c r="E1464" s="52" t="s">
        <v>6</v>
      </c>
      <c r="F1464" s="47" t="s">
        <v>2207</v>
      </c>
    </row>
    <row r="1465" spans="1:6" hidden="1" x14ac:dyDescent="0.2">
      <c r="A1465" s="44">
        <v>45974</v>
      </c>
      <c r="B1465" s="42" t="s">
        <v>889</v>
      </c>
      <c r="C1465" s="42">
        <v>876.63</v>
      </c>
      <c r="D1465" s="42" t="s">
        <v>858</v>
      </c>
      <c r="E1465" s="51" t="s">
        <v>45</v>
      </c>
      <c r="F1465" s="45" t="s">
        <v>2207</v>
      </c>
    </row>
    <row r="1466" spans="1:6" hidden="1" x14ac:dyDescent="0.2">
      <c r="A1466" s="46">
        <v>45962</v>
      </c>
      <c r="B1466" s="33" t="s">
        <v>867</v>
      </c>
      <c r="C1466" s="33">
        <v>0.01</v>
      </c>
      <c r="D1466" s="33" t="s">
        <v>858</v>
      </c>
      <c r="E1466" s="52" t="s">
        <v>45</v>
      </c>
      <c r="F1466" s="47" t="s">
        <v>2207</v>
      </c>
    </row>
    <row r="1467" spans="1:6" hidden="1" x14ac:dyDescent="0.2">
      <c r="A1467" s="44">
        <v>45930</v>
      </c>
      <c r="B1467" s="42" t="s">
        <v>1589</v>
      </c>
      <c r="C1467" s="42">
        <v>8.82</v>
      </c>
      <c r="D1467" s="42" t="s">
        <v>858</v>
      </c>
      <c r="E1467" s="51" t="s">
        <v>45</v>
      </c>
      <c r="F1467" s="45" t="s">
        <v>2207</v>
      </c>
    </row>
    <row r="1468" spans="1:6" hidden="1" x14ac:dyDescent="0.2">
      <c r="A1468" s="46">
        <v>45898</v>
      </c>
      <c r="B1468" s="33" t="s">
        <v>1589</v>
      </c>
      <c r="C1468" s="33">
        <v>8.82</v>
      </c>
      <c r="D1468" s="33" t="s">
        <v>858</v>
      </c>
      <c r="E1468" s="52" t="s">
        <v>45</v>
      </c>
      <c r="F1468" s="47" t="s">
        <v>2207</v>
      </c>
    </row>
    <row r="1469" spans="1:6" hidden="1" x14ac:dyDescent="0.2">
      <c r="A1469" s="44">
        <v>45886</v>
      </c>
      <c r="B1469" s="42" t="s">
        <v>1570</v>
      </c>
      <c r="C1469" s="42">
        <v>514.79999999999995</v>
      </c>
      <c r="D1469" s="42" t="s">
        <v>858</v>
      </c>
      <c r="E1469" s="51" t="s">
        <v>45</v>
      </c>
      <c r="F1469" s="45" t="s">
        <v>2207</v>
      </c>
    </row>
    <row r="1470" spans="1:6" hidden="1" x14ac:dyDescent="0.2">
      <c r="A1470" s="46">
        <v>45868</v>
      </c>
      <c r="B1470" s="33" t="s">
        <v>1589</v>
      </c>
      <c r="C1470" s="33">
        <v>8.82</v>
      </c>
      <c r="D1470" s="33" t="s">
        <v>858</v>
      </c>
      <c r="E1470" s="52" t="s">
        <v>45</v>
      </c>
      <c r="F1470" s="47" t="s">
        <v>2207</v>
      </c>
    </row>
    <row r="1471" spans="1:6" hidden="1" x14ac:dyDescent="0.2">
      <c r="A1471" s="44">
        <v>45839</v>
      </c>
      <c r="B1471" s="62" t="s">
        <v>1868</v>
      </c>
      <c r="C1471" s="42">
        <v>0.01</v>
      </c>
      <c r="D1471" s="42" t="s">
        <v>858</v>
      </c>
      <c r="E1471" s="51" t="s">
        <v>45</v>
      </c>
      <c r="F1471" s="45" t="s">
        <v>2207</v>
      </c>
    </row>
    <row r="1472" spans="1:6" hidden="1" x14ac:dyDescent="0.2">
      <c r="A1472" s="46">
        <v>45837</v>
      </c>
      <c r="B1472" s="33" t="s">
        <v>1589</v>
      </c>
      <c r="C1472" s="33">
        <v>8.82</v>
      </c>
      <c r="D1472" s="33" t="s">
        <v>858</v>
      </c>
      <c r="E1472" s="52" t="s">
        <v>45</v>
      </c>
      <c r="F1472" s="47" t="s">
        <v>2207</v>
      </c>
    </row>
    <row r="1473" spans="1:6" hidden="1" x14ac:dyDescent="0.2">
      <c r="A1473" s="44">
        <v>45809</v>
      </c>
      <c r="B1473" s="62" t="s">
        <v>1968</v>
      </c>
      <c r="C1473" s="42">
        <v>0.01</v>
      </c>
      <c r="D1473" s="42" t="s">
        <v>858</v>
      </c>
      <c r="E1473" s="51" t="s">
        <v>45</v>
      </c>
      <c r="F1473" s="45" t="s">
        <v>2207</v>
      </c>
    </row>
    <row r="1474" spans="1:6" hidden="1" x14ac:dyDescent="0.2">
      <c r="A1474" s="46">
        <v>45806</v>
      </c>
      <c r="B1474" s="33" t="s">
        <v>1589</v>
      </c>
      <c r="C1474" s="33">
        <v>8.82</v>
      </c>
      <c r="D1474" s="33" t="s">
        <v>858</v>
      </c>
      <c r="E1474" s="52" t="s">
        <v>45</v>
      </c>
      <c r="F1474" s="47" t="s">
        <v>2207</v>
      </c>
    </row>
    <row r="1475" spans="1:6" hidden="1" x14ac:dyDescent="0.2">
      <c r="A1475" s="44">
        <v>45778</v>
      </c>
      <c r="B1475" s="62" t="s">
        <v>2016</v>
      </c>
      <c r="C1475" s="42">
        <v>0.01</v>
      </c>
      <c r="D1475" s="42" t="s">
        <v>858</v>
      </c>
      <c r="E1475" s="51" t="s">
        <v>45</v>
      </c>
      <c r="F1475" s="45" t="s">
        <v>2207</v>
      </c>
    </row>
    <row r="1476" spans="1:6" hidden="1" x14ac:dyDescent="0.2">
      <c r="A1476" s="46">
        <v>45777</v>
      </c>
      <c r="B1476" s="33" t="s">
        <v>1589</v>
      </c>
      <c r="C1476" s="33">
        <v>7.71</v>
      </c>
      <c r="D1476" s="33" t="s">
        <v>858</v>
      </c>
      <c r="E1476" s="52" t="s">
        <v>45</v>
      </c>
      <c r="F1476" s="47" t="s">
        <v>2207</v>
      </c>
    </row>
    <row r="1477" spans="1:6" hidden="1" x14ac:dyDescent="0.2">
      <c r="A1477" s="44">
        <v>45748</v>
      </c>
      <c r="B1477" s="42" t="s">
        <v>2054</v>
      </c>
      <c r="C1477" s="42">
        <v>0.01</v>
      </c>
      <c r="D1477" s="42" t="s">
        <v>858</v>
      </c>
      <c r="E1477" s="51" t="s">
        <v>45</v>
      </c>
      <c r="F1477" s="45" t="s">
        <v>2207</v>
      </c>
    </row>
    <row r="1478" spans="1:6" hidden="1" x14ac:dyDescent="0.2">
      <c r="A1478" s="46">
        <v>45746</v>
      </c>
      <c r="B1478" s="33" t="s">
        <v>1589</v>
      </c>
      <c r="C1478" s="33">
        <v>7.71</v>
      </c>
      <c r="D1478" s="33" t="s">
        <v>858</v>
      </c>
      <c r="E1478" s="52" t="s">
        <v>45</v>
      </c>
      <c r="F1478" s="47" t="s">
        <v>2207</v>
      </c>
    </row>
    <row r="1479" spans="1:6" hidden="1" x14ac:dyDescent="0.2">
      <c r="A1479" s="44">
        <v>45736</v>
      </c>
      <c r="B1479" s="42" t="s">
        <v>1570</v>
      </c>
      <c r="C1479" s="42">
        <v>720.6</v>
      </c>
      <c r="D1479" s="42" t="s">
        <v>858</v>
      </c>
      <c r="E1479" s="51" t="s">
        <v>45</v>
      </c>
      <c r="F1479" s="45" t="s">
        <v>2207</v>
      </c>
    </row>
    <row r="1480" spans="1:6" hidden="1" x14ac:dyDescent="0.2">
      <c r="A1480" s="46">
        <v>45717</v>
      </c>
      <c r="B1480" s="48" t="s">
        <v>2105</v>
      </c>
      <c r="C1480" s="33">
        <v>0.01</v>
      </c>
      <c r="D1480" s="33" t="s">
        <v>858</v>
      </c>
      <c r="E1480" s="52" t="s">
        <v>45</v>
      </c>
      <c r="F1480" s="47" t="s">
        <v>2207</v>
      </c>
    </row>
    <row r="1481" spans="1:6" hidden="1" x14ac:dyDescent="0.2">
      <c r="A1481" s="44">
        <v>45717</v>
      </c>
      <c r="B1481" s="42" t="s">
        <v>1589</v>
      </c>
      <c r="C1481" s="42">
        <v>7.71</v>
      </c>
      <c r="D1481" s="42" t="s">
        <v>858</v>
      </c>
      <c r="E1481" s="51" t="s">
        <v>45</v>
      </c>
      <c r="F1481" s="45" t="s">
        <v>2207</v>
      </c>
    </row>
    <row r="1482" spans="1:6" hidden="1" x14ac:dyDescent="0.2">
      <c r="A1482" s="46">
        <v>45689</v>
      </c>
      <c r="B1482" s="48" t="s">
        <v>2142</v>
      </c>
      <c r="C1482" s="33">
        <v>0.01</v>
      </c>
      <c r="D1482" s="33" t="s">
        <v>858</v>
      </c>
      <c r="E1482" s="52" t="s">
        <v>45</v>
      </c>
      <c r="F1482" s="47" t="s">
        <v>2207</v>
      </c>
    </row>
    <row r="1483" spans="1:6" hidden="1" x14ac:dyDescent="0.2">
      <c r="A1483" s="44">
        <v>45687</v>
      </c>
      <c r="B1483" s="42" t="s">
        <v>1589</v>
      </c>
      <c r="C1483" s="42">
        <v>7.71</v>
      </c>
      <c r="D1483" s="42" t="s">
        <v>858</v>
      </c>
      <c r="E1483" s="51" t="s">
        <v>45</v>
      </c>
      <c r="F1483" s="45" t="s">
        <v>2207</v>
      </c>
    </row>
    <row r="1484" spans="1:6" hidden="1" x14ac:dyDescent="0.2">
      <c r="A1484" s="46">
        <v>45658</v>
      </c>
      <c r="B1484" s="33" t="s">
        <v>2203</v>
      </c>
      <c r="C1484" s="33">
        <v>0.01</v>
      </c>
      <c r="D1484" s="33" t="s">
        <v>858</v>
      </c>
      <c r="E1484" s="52" t="s">
        <v>45</v>
      </c>
      <c r="F1484" s="47" t="s">
        <v>2207</v>
      </c>
    </row>
    <row r="1485" spans="1:6" hidden="1" x14ac:dyDescent="0.2">
      <c r="A1485" s="44">
        <v>45959</v>
      </c>
      <c r="B1485" s="42" t="s">
        <v>871</v>
      </c>
      <c r="C1485" s="42">
        <v>8.82</v>
      </c>
      <c r="D1485" s="42" t="s">
        <v>858</v>
      </c>
      <c r="E1485" s="51" t="s">
        <v>6</v>
      </c>
      <c r="F1485" s="45" t="s">
        <v>2207</v>
      </c>
    </row>
    <row r="1486" spans="1:6" hidden="1" x14ac:dyDescent="0.2">
      <c r="A1486" s="46">
        <v>45779</v>
      </c>
      <c r="B1486" s="33" t="s">
        <v>2014</v>
      </c>
      <c r="C1486" s="33">
        <v>218.5</v>
      </c>
      <c r="D1486" s="33" t="s">
        <v>891</v>
      </c>
      <c r="E1486" s="52" t="s">
        <v>45</v>
      </c>
      <c r="F1486" s="47" t="s">
        <v>2207</v>
      </c>
    </row>
    <row r="1487" spans="1:6" hidden="1" x14ac:dyDescent="0.2">
      <c r="A1487" s="44">
        <v>45699</v>
      </c>
      <c r="B1487" s="42" t="s">
        <v>2126</v>
      </c>
      <c r="C1487" s="42">
        <v>27.59</v>
      </c>
      <c r="D1487" s="42" t="s">
        <v>891</v>
      </c>
      <c r="E1487" s="51" t="s">
        <v>45</v>
      </c>
      <c r="F1487" s="45" t="s">
        <v>2207</v>
      </c>
    </row>
    <row r="1488" spans="1:6" hidden="1" x14ac:dyDescent="0.2">
      <c r="A1488" s="46">
        <v>45676</v>
      </c>
      <c r="B1488" s="33" t="s">
        <v>1606</v>
      </c>
      <c r="C1488" s="33">
        <v>38.619999999999997</v>
      </c>
      <c r="D1488" s="33" t="s">
        <v>891</v>
      </c>
      <c r="E1488" s="52" t="s">
        <v>45</v>
      </c>
      <c r="F1488" s="47" t="s">
        <v>2207</v>
      </c>
    </row>
    <row r="1489" spans="1:6" hidden="1" x14ac:dyDescent="0.2">
      <c r="A1489" s="44">
        <v>45974</v>
      </c>
      <c r="B1489" s="62" t="s">
        <v>916</v>
      </c>
      <c r="C1489" s="42">
        <v>16.54</v>
      </c>
      <c r="D1489" s="42" t="s">
        <v>901</v>
      </c>
      <c r="E1489" s="51" t="s">
        <v>45</v>
      </c>
      <c r="F1489" s="45" t="s">
        <v>2207</v>
      </c>
    </row>
    <row r="1490" spans="1:6" hidden="1" x14ac:dyDescent="0.2">
      <c r="A1490" s="46">
        <v>45943</v>
      </c>
      <c r="B1490" s="48" t="s">
        <v>916</v>
      </c>
      <c r="C1490" s="33">
        <v>16.54</v>
      </c>
      <c r="D1490" s="33" t="s">
        <v>901</v>
      </c>
      <c r="E1490" s="52" t="s">
        <v>45</v>
      </c>
      <c r="F1490" s="47" t="s">
        <v>2207</v>
      </c>
    </row>
    <row r="1491" spans="1:6" hidden="1" x14ac:dyDescent="0.2">
      <c r="A1491" s="44">
        <v>45948</v>
      </c>
      <c r="B1491" s="42" t="s">
        <v>903</v>
      </c>
      <c r="C1491" s="42">
        <v>30</v>
      </c>
      <c r="D1491" s="42" t="s">
        <v>901</v>
      </c>
      <c r="E1491" s="51" t="s">
        <v>45</v>
      </c>
      <c r="F1491" s="45" t="s">
        <v>2207</v>
      </c>
    </row>
    <row r="1492" spans="1:6" hidden="1" x14ac:dyDescent="0.2">
      <c r="A1492" s="46">
        <v>45941</v>
      </c>
      <c r="B1492" s="48" t="s">
        <v>935</v>
      </c>
      <c r="C1492" s="33">
        <v>300</v>
      </c>
      <c r="D1492" s="33" t="s">
        <v>901</v>
      </c>
      <c r="E1492" s="52" t="s">
        <v>45</v>
      </c>
      <c r="F1492" s="47" t="s">
        <v>2207</v>
      </c>
    </row>
    <row r="1493" spans="1:6" hidden="1" x14ac:dyDescent="0.2">
      <c r="A1493" s="44">
        <v>45923</v>
      </c>
      <c r="B1493" s="62" t="s">
        <v>1543</v>
      </c>
      <c r="C1493" s="42">
        <v>29.99</v>
      </c>
      <c r="D1493" s="42" t="s">
        <v>901</v>
      </c>
      <c r="E1493" s="51" t="s">
        <v>45</v>
      </c>
      <c r="F1493" s="45" t="s">
        <v>2207</v>
      </c>
    </row>
    <row r="1494" spans="1:6" hidden="1" x14ac:dyDescent="0.2">
      <c r="A1494" s="46">
        <v>45920</v>
      </c>
      <c r="B1494" s="48" t="s">
        <v>1543</v>
      </c>
      <c r="C1494" s="33">
        <v>16.54</v>
      </c>
      <c r="D1494" s="33" t="s">
        <v>901</v>
      </c>
      <c r="E1494" s="52" t="s">
        <v>45</v>
      </c>
      <c r="F1494" s="47" t="s">
        <v>2207</v>
      </c>
    </row>
    <row r="1495" spans="1:6" hidden="1" x14ac:dyDescent="0.2">
      <c r="A1495" s="44">
        <v>45918</v>
      </c>
      <c r="B1495" s="62" t="s">
        <v>1543</v>
      </c>
      <c r="C1495" s="42">
        <v>11.02</v>
      </c>
      <c r="D1495" s="42" t="s">
        <v>901</v>
      </c>
      <c r="E1495" s="51" t="s">
        <v>45</v>
      </c>
      <c r="F1495" s="45" t="s">
        <v>2207</v>
      </c>
    </row>
    <row r="1496" spans="1:6" hidden="1" x14ac:dyDescent="0.2">
      <c r="A1496" s="46">
        <v>45914</v>
      </c>
      <c r="B1496" s="49" t="s">
        <v>1598</v>
      </c>
      <c r="C1496" s="33">
        <v>27.58</v>
      </c>
      <c r="D1496" s="33" t="s">
        <v>901</v>
      </c>
      <c r="E1496" s="52" t="s">
        <v>45</v>
      </c>
      <c r="F1496" s="47" t="s">
        <v>2207</v>
      </c>
    </row>
    <row r="1497" spans="1:6" hidden="1" x14ac:dyDescent="0.2">
      <c r="A1497" s="44">
        <v>45914</v>
      </c>
      <c r="B1497" s="62" t="s">
        <v>1543</v>
      </c>
      <c r="C1497" s="42">
        <v>39.71</v>
      </c>
      <c r="D1497" s="42" t="s">
        <v>901</v>
      </c>
      <c r="E1497" s="51" t="s">
        <v>45</v>
      </c>
      <c r="F1497" s="45" t="s">
        <v>2207</v>
      </c>
    </row>
    <row r="1498" spans="1:6" hidden="1" x14ac:dyDescent="0.2">
      <c r="A1498" s="46">
        <v>45913</v>
      </c>
      <c r="B1498" s="33" t="s">
        <v>1569</v>
      </c>
      <c r="C1498" s="33">
        <v>16.54</v>
      </c>
      <c r="D1498" s="33" t="s">
        <v>901</v>
      </c>
      <c r="E1498" s="52" t="s">
        <v>45</v>
      </c>
      <c r="F1498" s="47" t="s">
        <v>2207</v>
      </c>
    </row>
    <row r="1499" spans="1:6" hidden="1" x14ac:dyDescent="0.2">
      <c r="A1499" s="44">
        <v>45911</v>
      </c>
      <c r="B1499" s="62" t="s">
        <v>1543</v>
      </c>
      <c r="C1499" s="42">
        <v>9.99</v>
      </c>
      <c r="D1499" s="42" t="s">
        <v>901</v>
      </c>
      <c r="E1499" s="51" t="s">
        <v>45</v>
      </c>
      <c r="F1499" s="45" t="s">
        <v>2207</v>
      </c>
    </row>
    <row r="1500" spans="1:6" hidden="1" x14ac:dyDescent="0.2">
      <c r="A1500" s="46">
        <v>45902</v>
      </c>
      <c r="B1500" s="33" t="s">
        <v>1583</v>
      </c>
      <c r="C1500" s="33">
        <v>23.15</v>
      </c>
      <c r="D1500" s="33" t="s">
        <v>901</v>
      </c>
      <c r="E1500" s="52" t="s">
        <v>45</v>
      </c>
      <c r="F1500" s="47" t="s">
        <v>2207</v>
      </c>
    </row>
    <row r="1501" spans="1:6" hidden="1" x14ac:dyDescent="0.2">
      <c r="A1501" s="44">
        <v>45893</v>
      </c>
      <c r="B1501" s="62" t="s">
        <v>1543</v>
      </c>
      <c r="C1501" s="42">
        <v>249</v>
      </c>
      <c r="D1501" s="42" t="s">
        <v>901</v>
      </c>
      <c r="E1501" s="51" t="s">
        <v>45</v>
      </c>
      <c r="F1501" s="45" t="s">
        <v>2207</v>
      </c>
    </row>
    <row r="1502" spans="1:6" hidden="1" x14ac:dyDescent="0.2">
      <c r="A1502" s="46">
        <v>45892</v>
      </c>
      <c r="B1502" s="48" t="s">
        <v>1543</v>
      </c>
      <c r="C1502" s="33">
        <v>29.99</v>
      </c>
      <c r="D1502" s="33" t="s">
        <v>901</v>
      </c>
      <c r="E1502" s="52" t="s">
        <v>45</v>
      </c>
      <c r="F1502" s="47" t="s">
        <v>2207</v>
      </c>
    </row>
    <row r="1503" spans="1:6" hidden="1" x14ac:dyDescent="0.2">
      <c r="A1503" s="44">
        <v>45887</v>
      </c>
      <c r="B1503" s="62" t="s">
        <v>1543</v>
      </c>
      <c r="C1503" s="42">
        <v>11.02</v>
      </c>
      <c r="D1503" s="42" t="s">
        <v>901</v>
      </c>
      <c r="E1503" s="51" t="s">
        <v>45</v>
      </c>
      <c r="F1503" s="45" t="s">
        <v>2207</v>
      </c>
    </row>
    <row r="1504" spans="1:6" hidden="1" x14ac:dyDescent="0.2">
      <c r="A1504" s="46">
        <v>45883</v>
      </c>
      <c r="B1504" s="49" t="s">
        <v>1598</v>
      </c>
      <c r="C1504" s="33">
        <v>27.58</v>
      </c>
      <c r="D1504" s="33" t="s">
        <v>901</v>
      </c>
      <c r="E1504" s="52" t="s">
        <v>45</v>
      </c>
      <c r="F1504" s="47" t="s">
        <v>2207</v>
      </c>
    </row>
    <row r="1505" spans="1:6" hidden="1" x14ac:dyDescent="0.2">
      <c r="A1505" s="44">
        <v>45882</v>
      </c>
      <c r="B1505" s="42" t="s">
        <v>1569</v>
      </c>
      <c r="C1505" s="42">
        <v>16.54</v>
      </c>
      <c r="D1505" s="42" t="s">
        <v>901</v>
      </c>
      <c r="E1505" s="51" t="s">
        <v>45</v>
      </c>
      <c r="F1505" s="45" t="s">
        <v>2207</v>
      </c>
    </row>
    <row r="1506" spans="1:6" hidden="1" x14ac:dyDescent="0.2">
      <c r="A1506" s="46">
        <v>45880</v>
      </c>
      <c r="B1506" s="48" t="s">
        <v>1543</v>
      </c>
      <c r="C1506" s="33">
        <v>9.99</v>
      </c>
      <c r="D1506" s="33" t="s">
        <v>901</v>
      </c>
      <c r="E1506" s="52" t="s">
        <v>45</v>
      </c>
      <c r="F1506" s="47" t="s">
        <v>2207</v>
      </c>
    </row>
    <row r="1507" spans="1:6" hidden="1" x14ac:dyDescent="0.2">
      <c r="A1507" s="44">
        <v>45871</v>
      </c>
      <c r="B1507" s="62" t="s">
        <v>1755</v>
      </c>
      <c r="C1507" s="42">
        <v>23.15</v>
      </c>
      <c r="D1507" s="42" t="s">
        <v>901</v>
      </c>
      <c r="E1507" s="51" t="s">
        <v>45</v>
      </c>
      <c r="F1507" s="45" t="s">
        <v>2207</v>
      </c>
    </row>
    <row r="1508" spans="1:6" hidden="1" x14ac:dyDescent="0.2">
      <c r="A1508" s="46">
        <v>45865</v>
      </c>
      <c r="B1508" s="48" t="s">
        <v>1543</v>
      </c>
      <c r="C1508" s="33">
        <v>4.4000000000000004</v>
      </c>
      <c r="D1508" s="33" t="s">
        <v>901</v>
      </c>
      <c r="E1508" s="52" t="s">
        <v>45</v>
      </c>
      <c r="F1508" s="47" t="s">
        <v>2207</v>
      </c>
    </row>
    <row r="1509" spans="1:6" hidden="1" x14ac:dyDescent="0.2">
      <c r="A1509" s="44">
        <v>45861</v>
      </c>
      <c r="B1509" s="62" t="s">
        <v>1543</v>
      </c>
      <c r="C1509" s="42">
        <v>29.99</v>
      </c>
      <c r="D1509" s="42" t="s">
        <v>901</v>
      </c>
      <c r="E1509" s="51" t="s">
        <v>45</v>
      </c>
      <c r="F1509" s="45" t="s">
        <v>2207</v>
      </c>
    </row>
    <row r="1510" spans="1:6" hidden="1" x14ac:dyDescent="0.2">
      <c r="A1510" s="46">
        <v>45856</v>
      </c>
      <c r="B1510" s="48" t="s">
        <v>1543</v>
      </c>
      <c r="C1510" s="33">
        <v>11.02</v>
      </c>
      <c r="D1510" s="33" t="s">
        <v>901</v>
      </c>
      <c r="E1510" s="52" t="s">
        <v>45</v>
      </c>
      <c r="F1510" s="47" t="s">
        <v>2207</v>
      </c>
    </row>
    <row r="1511" spans="1:6" hidden="1" x14ac:dyDescent="0.2">
      <c r="A1511" s="44">
        <v>45856</v>
      </c>
      <c r="B1511" s="62" t="s">
        <v>1543</v>
      </c>
      <c r="C1511" s="42">
        <v>120.27</v>
      </c>
      <c r="D1511" s="42" t="s">
        <v>901</v>
      </c>
      <c r="E1511" s="51" t="s">
        <v>45</v>
      </c>
      <c r="F1511" s="45" t="s">
        <v>2207</v>
      </c>
    </row>
    <row r="1512" spans="1:6" hidden="1" x14ac:dyDescent="0.2">
      <c r="A1512" s="46">
        <v>45854</v>
      </c>
      <c r="B1512" s="48" t="s">
        <v>1543</v>
      </c>
      <c r="C1512" s="33">
        <v>4.4000000000000004</v>
      </c>
      <c r="D1512" s="33" t="s">
        <v>901</v>
      </c>
      <c r="E1512" s="52" t="s">
        <v>45</v>
      </c>
      <c r="F1512" s="47" t="s">
        <v>2207</v>
      </c>
    </row>
    <row r="1513" spans="1:6" hidden="1" x14ac:dyDescent="0.2">
      <c r="A1513" s="44">
        <v>45852</v>
      </c>
      <c r="B1513" s="62" t="s">
        <v>1835</v>
      </c>
      <c r="C1513" s="42">
        <v>27.58</v>
      </c>
      <c r="D1513" s="42" t="s">
        <v>901</v>
      </c>
      <c r="E1513" s="51" t="s">
        <v>45</v>
      </c>
      <c r="F1513" s="45" t="s">
        <v>2207</v>
      </c>
    </row>
    <row r="1514" spans="1:6" hidden="1" x14ac:dyDescent="0.2">
      <c r="A1514" s="46">
        <v>45851</v>
      </c>
      <c r="B1514" s="33" t="s">
        <v>1569</v>
      </c>
      <c r="C1514" s="33">
        <v>16.54</v>
      </c>
      <c r="D1514" s="33" t="s">
        <v>901</v>
      </c>
      <c r="E1514" s="52" t="s">
        <v>45</v>
      </c>
      <c r="F1514" s="47" t="s">
        <v>2207</v>
      </c>
    </row>
    <row r="1515" spans="1:6" hidden="1" x14ac:dyDescent="0.2">
      <c r="A1515" s="44">
        <v>45849</v>
      </c>
      <c r="B1515" s="62" t="s">
        <v>1543</v>
      </c>
      <c r="C1515" s="42">
        <v>9.99</v>
      </c>
      <c r="D1515" s="42" t="s">
        <v>901</v>
      </c>
      <c r="E1515" s="51" t="s">
        <v>45</v>
      </c>
      <c r="F1515" s="45" t="s">
        <v>2207</v>
      </c>
    </row>
    <row r="1516" spans="1:6" hidden="1" x14ac:dyDescent="0.2">
      <c r="A1516" s="46">
        <v>45840</v>
      </c>
      <c r="B1516" s="33" t="s">
        <v>1583</v>
      </c>
      <c r="C1516" s="33">
        <v>23.15</v>
      </c>
      <c r="D1516" s="33" t="s">
        <v>901</v>
      </c>
      <c r="E1516" s="52" t="s">
        <v>45</v>
      </c>
      <c r="F1516" s="47" t="s">
        <v>2207</v>
      </c>
    </row>
    <row r="1517" spans="1:6" hidden="1" x14ac:dyDescent="0.2">
      <c r="A1517" s="44">
        <v>45836</v>
      </c>
      <c r="B1517" s="42" t="s">
        <v>1878</v>
      </c>
      <c r="C1517" s="42">
        <v>22.06</v>
      </c>
      <c r="D1517" s="42" t="s">
        <v>901</v>
      </c>
      <c r="E1517" s="51" t="s">
        <v>45</v>
      </c>
      <c r="F1517" s="45" t="s">
        <v>2207</v>
      </c>
    </row>
    <row r="1518" spans="1:6" hidden="1" x14ac:dyDescent="0.2">
      <c r="A1518" s="46">
        <v>45833</v>
      </c>
      <c r="B1518" s="48" t="s">
        <v>1543</v>
      </c>
      <c r="C1518" s="33">
        <v>121.39</v>
      </c>
      <c r="D1518" s="33" t="s">
        <v>901</v>
      </c>
      <c r="E1518" s="52" t="s">
        <v>45</v>
      </c>
      <c r="F1518" s="47" t="s">
        <v>2207</v>
      </c>
    </row>
    <row r="1519" spans="1:6" hidden="1" x14ac:dyDescent="0.2">
      <c r="A1519" s="44">
        <v>45831</v>
      </c>
      <c r="B1519" s="62" t="s">
        <v>1543</v>
      </c>
      <c r="C1519" s="42">
        <v>29.99</v>
      </c>
      <c r="D1519" s="42" t="s">
        <v>901</v>
      </c>
      <c r="E1519" s="51" t="s">
        <v>45</v>
      </c>
      <c r="F1519" s="45" t="s">
        <v>2207</v>
      </c>
    </row>
    <row r="1520" spans="1:6" hidden="1" x14ac:dyDescent="0.2">
      <c r="A1520" s="46">
        <v>45826</v>
      </c>
      <c r="B1520" s="48" t="s">
        <v>1543</v>
      </c>
      <c r="C1520" s="33">
        <v>11.02</v>
      </c>
      <c r="D1520" s="33" t="s">
        <v>901</v>
      </c>
      <c r="E1520" s="52" t="s">
        <v>45</v>
      </c>
      <c r="F1520" s="47" t="s">
        <v>2207</v>
      </c>
    </row>
    <row r="1521" spans="1:6" hidden="1" x14ac:dyDescent="0.2">
      <c r="A1521" s="44">
        <v>45822</v>
      </c>
      <c r="B1521" s="50" t="s">
        <v>1598</v>
      </c>
      <c r="C1521" s="42">
        <v>27.58</v>
      </c>
      <c r="D1521" s="42" t="s">
        <v>901</v>
      </c>
      <c r="E1521" s="51" t="s">
        <v>45</v>
      </c>
      <c r="F1521" s="45" t="s">
        <v>2207</v>
      </c>
    </row>
    <row r="1522" spans="1:6" hidden="1" x14ac:dyDescent="0.2">
      <c r="A1522" s="46">
        <v>45821</v>
      </c>
      <c r="B1522" s="33" t="s">
        <v>1569</v>
      </c>
      <c r="C1522" s="33">
        <v>16.54</v>
      </c>
      <c r="D1522" s="33" t="s">
        <v>901</v>
      </c>
      <c r="E1522" s="52" t="s">
        <v>45</v>
      </c>
      <c r="F1522" s="47" t="s">
        <v>2207</v>
      </c>
    </row>
    <row r="1523" spans="1:6" hidden="1" x14ac:dyDescent="0.2">
      <c r="A1523" s="44">
        <v>45819</v>
      </c>
      <c r="B1523" s="62" t="s">
        <v>1543</v>
      </c>
      <c r="C1523" s="42">
        <v>9.99</v>
      </c>
      <c r="D1523" s="42" t="s">
        <v>901</v>
      </c>
      <c r="E1523" s="51" t="s">
        <v>45</v>
      </c>
      <c r="F1523" s="45" t="s">
        <v>2207</v>
      </c>
    </row>
    <row r="1524" spans="1:6" hidden="1" x14ac:dyDescent="0.2">
      <c r="A1524" s="46">
        <v>45815</v>
      </c>
      <c r="B1524" s="48" t="s">
        <v>1543</v>
      </c>
      <c r="C1524" s="33">
        <v>5.51</v>
      </c>
      <c r="D1524" s="33" t="s">
        <v>901</v>
      </c>
      <c r="E1524" s="52" t="s">
        <v>45</v>
      </c>
      <c r="F1524" s="47" t="s">
        <v>2207</v>
      </c>
    </row>
    <row r="1525" spans="1:6" hidden="1" x14ac:dyDescent="0.2">
      <c r="A1525" s="44">
        <v>45810</v>
      </c>
      <c r="B1525" s="42" t="s">
        <v>1583</v>
      </c>
      <c r="C1525" s="42">
        <v>23.15</v>
      </c>
      <c r="D1525" s="42" t="s">
        <v>901</v>
      </c>
      <c r="E1525" s="51" t="s">
        <v>45</v>
      </c>
      <c r="F1525" s="45" t="s">
        <v>2207</v>
      </c>
    </row>
    <row r="1526" spans="1:6" hidden="1" x14ac:dyDescent="0.2">
      <c r="A1526" s="46">
        <v>45807</v>
      </c>
      <c r="B1526" s="48" t="s">
        <v>1543</v>
      </c>
      <c r="C1526" s="33">
        <v>-3.85</v>
      </c>
      <c r="D1526" s="33" t="s">
        <v>901</v>
      </c>
      <c r="E1526" s="52" t="s">
        <v>45</v>
      </c>
      <c r="F1526" s="47" t="s">
        <v>2207</v>
      </c>
    </row>
    <row r="1527" spans="1:6" hidden="1" x14ac:dyDescent="0.2">
      <c r="A1527" s="44">
        <v>45805</v>
      </c>
      <c r="B1527" s="42" t="s">
        <v>1878</v>
      </c>
      <c r="C1527" s="42">
        <v>22.06</v>
      </c>
      <c r="D1527" s="42" t="s">
        <v>901</v>
      </c>
      <c r="E1527" s="51" t="s">
        <v>45</v>
      </c>
      <c r="F1527" s="45" t="s">
        <v>2207</v>
      </c>
    </row>
    <row r="1528" spans="1:6" hidden="1" x14ac:dyDescent="0.2">
      <c r="A1528" s="46">
        <v>45800</v>
      </c>
      <c r="B1528" s="48" t="s">
        <v>1543</v>
      </c>
      <c r="C1528" s="33">
        <v>20</v>
      </c>
      <c r="D1528" s="33" t="s">
        <v>901</v>
      </c>
      <c r="E1528" s="52" t="s">
        <v>45</v>
      </c>
      <c r="F1528" s="47" t="s">
        <v>2207</v>
      </c>
    </row>
    <row r="1529" spans="1:6" hidden="1" x14ac:dyDescent="0.2">
      <c r="A1529" s="44">
        <v>45800</v>
      </c>
      <c r="B1529" s="62" t="s">
        <v>1543</v>
      </c>
      <c r="C1529" s="42">
        <v>9.89</v>
      </c>
      <c r="D1529" s="42" t="s">
        <v>901</v>
      </c>
      <c r="E1529" s="51" t="s">
        <v>45</v>
      </c>
      <c r="F1529" s="45" t="s">
        <v>2207</v>
      </c>
    </row>
    <row r="1530" spans="1:6" hidden="1" x14ac:dyDescent="0.2">
      <c r="A1530" s="46">
        <v>45795</v>
      </c>
      <c r="B1530" s="48" t="s">
        <v>1543</v>
      </c>
      <c r="C1530" s="33">
        <v>11.02</v>
      </c>
      <c r="D1530" s="33" t="s">
        <v>901</v>
      </c>
      <c r="E1530" s="52" t="s">
        <v>45</v>
      </c>
      <c r="F1530" s="47" t="s">
        <v>2207</v>
      </c>
    </row>
    <row r="1531" spans="1:6" hidden="1" x14ac:dyDescent="0.2">
      <c r="A1531" s="44">
        <v>45793</v>
      </c>
      <c r="B1531" s="62" t="s">
        <v>1543</v>
      </c>
      <c r="C1531" s="42">
        <v>3.85</v>
      </c>
      <c r="D1531" s="42" t="s">
        <v>901</v>
      </c>
      <c r="E1531" s="51" t="s">
        <v>45</v>
      </c>
      <c r="F1531" s="45" t="s">
        <v>2207</v>
      </c>
    </row>
    <row r="1532" spans="1:6" hidden="1" x14ac:dyDescent="0.2">
      <c r="A1532" s="46">
        <v>45791</v>
      </c>
      <c r="B1532" s="48" t="s">
        <v>1835</v>
      </c>
      <c r="C1532" s="33">
        <v>27.58</v>
      </c>
      <c r="D1532" s="33" t="s">
        <v>901</v>
      </c>
      <c r="E1532" s="52" t="s">
        <v>45</v>
      </c>
      <c r="F1532" s="47" t="s">
        <v>2207</v>
      </c>
    </row>
    <row r="1533" spans="1:6" hidden="1" x14ac:dyDescent="0.2">
      <c r="A1533" s="44">
        <v>45790</v>
      </c>
      <c r="B1533" s="42" t="s">
        <v>1569</v>
      </c>
      <c r="C1533" s="42">
        <v>16.54</v>
      </c>
      <c r="D1533" s="42" t="s">
        <v>901</v>
      </c>
      <c r="E1533" s="51" t="s">
        <v>45</v>
      </c>
      <c r="F1533" s="45" t="s">
        <v>2207</v>
      </c>
    </row>
    <row r="1534" spans="1:6" hidden="1" x14ac:dyDescent="0.2">
      <c r="A1534" s="46">
        <v>45788</v>
      </c>
      <c r="B1534" s="48" t="s">
        <v>1543</v>
      </c>
      <c r="C1534" s="33">
        <v>9.99</v>
      </c>
      <c r="D1534" s="33" t="s">
        <v>901</v>
      </c>
      <c r="E1534" s="52" t="s">
        <v>45</v>
      </c>
      <c r="F1534" s="47" t="s">
        <v>2207</v>
      </c>
    </row>
    <row r="1535" spans="1:6" hidden="1" x14ac:dyDescent="0.2">
      <c r="A1535" s="44">
        <v>45779</v>
      </c>
      <c r="B1535" s="62" t="s">
        <v>1755</v>
      </c>
      <c r="C1535" s="42">
        <v>23.15</v>
      </c>
      <c r="D1535" s="42" t="s">
        <v>901</v>
      </c>
      <c r="E1535" s="51" t="s">
        <v>45</v>
      </c>
      <c r="F1535" s="45" t="s">
        <v>2207</v>
      </c>
    </row>
    <row r="1536" spans="1:6" hidden="1" x14ac:dyDescent="0.2">
      <c r="A1536" s="46">
        <v>45778</v>
      </c>
      <c r="B1536" s="33" t="s">
        <v>2015</v>
      </c>
      <c r="C1536" s="33">
        <v>88.28</v>
      </c>
      <c r="D1536" s="33" t="s">
        <v>901</v>
      </c>
      <c r="E1536" s="52" t="s">
        <v>45</v>
      </c>
      <c r="F1536" s="47" t="s">
        <v>2207</v>
      </c>
    </row>
    <row r="1537" spans="1:6" hidden="1" x14ac:dyDescent="0.2">
      <c r="A1537" s="44">
        <v>45775</v>
      </c>
      <c r="B1537" s="42" t="s">
        <v>1878</v>
      </c>
      <c r="C1537" s="42">
        <v>22.06</v>
      </c>
      <c r="D1537" s="42" t="s">
        <v>901</v>
      </c>
      <c r="E1537" s="51" t="s">
        <v>45</v>
      </c>
      <c r="F1537" s="45" t="s">
        <v>2207</v>
      </c>
    </row>
    <row r="1538" spans="1:6" hidden="1" x14ac:dyDescent="0.2">
      <c r="A1538" s="46">
        <v>45770</v>
      </c>
      <c r="B1538" s="48" t="s">
        <v>1543</v>
      </c>
      <c r="C1538" s="33">
        <v>2.99</v>
      </c>
      <c r="D1538" s="33" t="s">
        <v>901</v>
      </c>
      <c r="E1538" s="52" t="s">
        <v>45</v>
      </c>
      <c r="F1538" s="47" t="s">
        <v>2207</v>
      </c>
    </row>
    <row r="1539" spans="1:6" hidden="1" x14ac:dyDescent="0.2">
      <c r="A1539" s="44">
        <v>45765</v>
      </c>
      <c r="B1539" s="62" t="s">
        <v>1543</v>
      </c>
      <c r="C1539" s="42">
        <v>11.02</v>
      </c>
      <c r="D1539" s="42" t="s">
        <v>901</v>
      </c>
      <c r="E1539" s="51" t="s">
        <v>45</v>
      </c>
      <c r="F1539" s="45" t="s">
        <v>2207</v>
      </c>
    </row>
    <row r="1540" spans="1:6" hidden="1" x14ac:dyDescent="0.2">
      <c r="A1540" s="46">
        <v>45761</v>
      </c>
      <c r="B1540" s="48" t="s">
        <v>1543</v>
      </c>
      <c r="C1540" s="33">
        <v>6.61</v>
      </c>
      <c r="D1540" s="33" t="s">
        <v>901</v>
      </c>
      <c r="E1540" s="52" t="s">
        <v>45</v>
      </c>
      <c r="F1540" s="47" t="s">
        <v>2207</v>
      </c>
    </row>
    <row r="1541" spans="1:6" hidden="1" x14ac:dyDescent="0.2">
      <c r="A1541" s="44">
        <v>45761</v>
      </c>
      <c r="B1541" s="50" t="s">
        <v>1566</v>
      </c>
      <c r="C1541" s="42">
        <v>27.58</v>
      </c>
      <c r="D1541" s="42" t="s">
        <v>901</v>
      </c>
      <c r="E1541" s="51" t="s">
        <v>45</v>
      </c>
      <c r="F1541" s="45" t="s">
        <v>2207</v>
      </c>
    </row>
    <row r="1542" spans="1:6" hidden="1" x14ac:dyDescent="0.2">
      <c r="A1542" s="46">
        <v>45760</v>
      </c>
      <c r="B1542" s="33" t="s">
        <v>1569</v>
      </c>
      <c r="C1542" s="33">
        <v>16.54</v>
      </c>
      <c r="D1542" s="33" t="s">
        <v>901</v>
      </c>
      <c r="E1542" s="52" t="s">
        <v>45</v>
      </c>
      <c r="F1542" s="47" t="s">
        <v>2207</v>
      </c>
    </row>
    <row r="1543" spans="1:6" hidden="1" x14ac:dyDescent="0.2">
      <c r="A1543" s="44">
        <v>45757</v>
      </c>
      <c r="B1543" s="62" t="s">
        <v>1543</v>
      </c>
      <c r="C1543" s="42">
        <v>9.99</v>
      </c>
      <c r="D1543" s="42" t="s">
        <v>901</v>
      </c>
      <c r="E1543" s="51" t="s">
        <v>45</v>
      </c>
      <c r="F1543" s="45" t="s">
        <v>2207</v>
      </c>
    </row>
    <row r="1544" spans="1:6" hidden="1" x14ac:dyDescent="0.2">
      <c r="A1544" s="46">
        <v>45749</v>
      </c>
      <c r="B1544" s="48" t="s">
        <v>1755</v>
      </c>
      <c r="C1544" s="33">
        <v>23.15</v>
      </c>
      <c r="D1544" s="33" t="s">
        <v>901</v>
      </c>
      <c r="E1544" s="52" t="s">
        <v>45</v>
      </c>
      <c r="F1544" s="47" t="s">
        <v>2207</v>
      </c>
    </row>
    <row r="1545" spans="1:6" hidden="1" x14ac:dyDescent="0.2">
      <c r="A1545" s="44">
        <v>45746</v>
      </c>
      <c r="B1545" s="42" t="s">
        <v>2056</v>
      </c>
      <c r="C1545" s="42">
        <v>22.06</v>
      </c>
      <c r="D1545" s="42" t="s">
        <v>901</v>
      </c>
      <c r="E1545" s="51" t="s">
        <v>45</v>
      </c>
      <c r="F1545" s="45" t="s">
        <v>2207</v>
      </c>
    </row>
    <row r="1546" spans="1:6" hidden="1" x14ac:dyDescent="0.2">
      <c r="A1546" s="46">
        <v>45744</v>
      </c>
      <c r="B1546" s="33" t="s">
        <v>1878</v>
      </c>
      <c r="C1546" s="33">
        <v>22.06</v>
      </c>
      <c r="D1546" s="33" t="s">
        <v>901</v>
      </c>
      <c r="E1546" s="52" t="s">
        <v>45</v>
      </c>
      <c r="F1546" s="47" t="s">
        <v>2207</v>
      </c>
    </row>
    <row r="1547" spans="1:6" hidden="1" x14ac:dyDescent="0.2">
      <c r="A1547" s="44">
        <v>45740</v>
      </c>
      <c r="B1547" s="62" t="s">
        <v>1543</v>
      </c>
      <c r="C1547" s="42">
        <v>2.99</v>
      </c>
      <c r="D1547" s="42" t="s">
        <v>901</v>
      </c>
      <c r="E1547" s="51" t="s">
        <v>45</v>
      </c>
      <c r="F1547" s="45" t="s">
        <v>2207</v>
      </c>
    </row>
    <row r="1548" spans="1:6" hidden="1" x14ac:dyDescent="0.2">
      <c r="A1548" s="46">
        <v>45734</v>
      </c>
      <c r="B1548" s="48" t="s">
        <v>1543</v>
      </c>
      <c r="C1548" s="33">
        <v>11.02</v>
      </c>
      <c r="D1548" s="33" t="s">
        <v>901</v>
      </c>
      <c r="E1548" s="52" t="s">
        <v>45</v>
      </c>
      <c r="F1548" s="47" t="s">
        <v>2207</v>
      </c>
    </row>
    <row r="1549" spans="1:6" hidden="1" x14ac:dyDescent="0.2">
      <c r="A1549" s="44">
        <v>45730</v>
      </c>
      <c r="B1549" s="42" t="s">
        <v>2084</v>
      </c>
      <c r="C1549" s="42">
        <v>27.58</v>
      </c>
      <c r="D1549" s="42" t="s">
        <v>901</v>
      </c>
      <c r="E1549" s="51" t="s">
        <v>45</v>
      </c>
      <c r="F1549" s="45" t="s">
        <v>2207</v>
      </c>
    </row>
    <row r="1550" spans="1:6" hidden="1" x14ac:dyDescent="0.2">
      <c r="A1550" s="46">
        <v>45729</v>
      </c>
      <c r="B1550" s="33" t="s">
        <v>1569</v>
      </c>
      <c r="C1550" s="33">
        <v>16.54</v>
      </c>
      <c r="D1550" s="33" t="s">
        <v>901</v>
      </c>
      <c r="E1550" s="52" t="s">
        <v>45</v>
      </c>
      <c r="F1550" s="47" t="s">
        <v>2207</v>
      </c>
    </row>
    <row r="1551" spans="1:6" hidden="1" x14ac:dyDescent="0.2">
      <c r="A1551" s="44">
        <v>45727</v>
      </c>
      <c r="B1551" s="62" t="s">
        <v>1543</v>
      </c>
      <c r="C1551" s="42">
        <v>9.99</v>
      </c>
      <c r="D1551" s="42" t="s">
        <v>901</v>
      </c>
      <c r="E1551" s="51" t="s">
        <v>45</v>
      </c>
      <c r="F1551" s="45" t="s">
        <v>2207</v>
      </c>
    </row>
    <row r="1552" spans="1:6" hidden="1" x14ac:dyDescent="0.2">
      <c r="A1552" s="46">
        <v>45718</v>
      </c>
      <c r="B1552" s="48" t="s">
        <v>1755</v>
      </c>
      <c r="C1552" s="33">
        <v>23.15</v>
      </c>
      <c r="D1552" s="33" t="s">
        <v>901</v>
      </c>
      <c r="E1552" s="52" t="s">
        <v>45</v>
      </c>
      <c r="F1552" s="47" t="s">
        <v>2207</v>
      </c>
    </row>
    <row r="1553" spans="1:6" hidden="1" x14ac:dyDescent="0.2">
      <c r="A1553" s="44">
        <v>45716</v>
      </c>
      <c r="B1553" s="42" t="s">
        <v>1878</v>
      </c>
      <c r="C1553" s="42">
        <v>22.06</v>
      </c>
      <c r="D1553" s="42" t="s">
        <v>901</v>
      </c>
      <c r="E1553" s="51" t="s">
        <v>45</v>
      </c>
      <c r="F1553" s="45" t="s">
        <v>2207</v>
      </c>
    </row>
    <row r="1554" spans="1:6" hidden="1" x14ac:dyDescent="0.2">
      <c r="A1554" s="46">
        <v>45711</v>
      </c>
      <c r="B1554" s="48" t="s">
        <v>1543</v>
      </c>
      <c r="C1554" s="33">
        <v>2.99</v>
      </c>
      <c r="D1554" s="33" t="s">
        <v>901</v>
      </c>
      <c r="E1554" s="52" t="s">
        <v>45</v>
      </c>
      <c r="F1554" s="47" t="s">
        <v>2207</v>
      </c>
    </row>
    <row r="1555" spans="1:6" hidden="1" x14ac:dyDescent="0.2">
      <c r="A1555" s="44">
        <v>45706</v>
      </c>
      <c r="B1555" s="62" t="s">
        <v>1543</v>
      </c>
      <c r="C1555" s="42">
        <v>11.02</v>
      </c>
      <c r="D1555" s="42" t="s">
        <v>901</v>
      </c>
      <c r="E1555" s="51" t="s">
        <v>45</v>
      </c>
      <c r="F1555" s="45" t="s">
        <v>2207</v>
      </c>
    </row>
    <row r="1556" spans="1:6" hidden="1" x14ac:dyDescent="0.2">
      <c r="A1556" s="46">
        <v>45702</v>
      </c>
      <c r="B1556" s="49" t="s">
        <v>1598</v>
      </c>
      <c r="C1556" s="33">
        <v>25.37</v>
      </c>
      <c r="D1556" s="33" t="s">
        <v>901</v>
      </c>
      <c r="E1556" s="52" t="s">
        <v>45</v>
      </c>
      <c r="F1556" s="47" t="s">
        <v>2207</v>
      </c>
    </row>
    <row r="1557" spans="1:6" hidden="1" x14ac:dyDescent="0.2">
      <c r="A1557" s="44">
        <v>45701</v>
      </c>
      <c r="B1557" s="42" t="s">
        <v>1569</v>
      </c>
      <c r="C1557" s="42">
        <v>16.54</v>
      </c>
      <c r="D1557" s="42" t="s">
        <v>901</v>
      </c>
      <c r="E1557" s="51" t="s">
        <v>45</v>
      </c>
      <c r="F1557" s="45" t="s">
        <v>2207</v>
      </c>
    </row>
    <row r="1558" spans="1:6" hidden="1" x14ac:dyDescent="0.2">
      <c r="A1558" s="46">
        <v>45698</v>
      </c>
      <c r="B1558" s="48" t="s">
        <v>1543</v>
      </c>
      <c r="C1558" s="33">
        <v>9.99</v>
      </c>
      <c r="D1558" s="33" t="s">
        <v>901</v>
      </c>
      <c r="E1558" s="52" t="s">
        <v>45</v>
      </c>
      <c r="F1558" s="47" t="s">
        <v>2207</v>
      </c>
    </row>
    <row r="1559" spans="1:6" hidden="1" x14ac:dyDescent="0.2">
      <c r="A1559" s="44">
        <v>45690</v>
      </c>
      <c r="B1559" s="62" t="s">
        <v>1755</v>
      </c>
      <c r="C1559" s="42">
        <v>23.15</v>
      </c>
      <c r="D1559" s="42" t="s">
        <v>901</v>
      </c>
      <c r="E1559" s="51" t="s">
        <v>45</v>
      </c>
      <c r="F1559" s="45" t="s">
        <v>2207</v>
      </c>
    </row>
    <row r="1560" spans="1:6" hidden="1" x14ac:dyDescent="0.2">
      <c r="A1560" s="46">
        <v>45690</v>
      </c>
      <c r="B1560" s="48" t="s">
        <v>1543</v>
      </c>
      <c r="C1560" s="33">
        <v>33.090000000000003</v>
      </c>
      <c r="D1560" s="33" t="s">
        <v>901</v>
      </c>
      <c r="E1560" s="52" t="s">
        <v>45</v>
      </c>
      <c r="F1560" s="47" t="s">
        <v>2207</v>
      </c>
    </row>
    <row r="1561" spans="1:6" hidden="1" x14ac:dyDescent="0.2">
      <c r="A1561" s="44">
        <v>45685</v>
      </c>
      <c r="B1561" s="42" t="s">
        <v>1878</v>
      </c>
      <c r="C1561" s="42">
        <v>22.06</v>
      </c>
      <c r="D1561" s="42" t="s">
        <v>901</v>
      </c>
      <c r="E1561" s="51" t="s">
        <v>45</v>
      </c>
      <c r="F1561" s="45" t="s">
        <v>2207</v>
      </c>
    </row>
    <row r="1562" spans="1:6" hidden="1" x14ac:dyDescent="0.2">
      <c r="A1562" s="46">
        <v>45681</v>
      </c>
      <c r="B1562" s="48" t="s">
        <v>1543</v>
      </c>
      <c r="C1562" s="33">
        <v>2.99</v>
      </c>
      <c r="D1562" s="33" t="s">
        <v>901</v>
      </c>
      <c r="E1562" s="52" t="s">
        <v>45</v>
      </c>
      <c r="F1562" s="47" t="s">
        <v>2207</v>
      </c>
    </row>
    <row r="1563" spans="1:6" hidden="1" x14ac:dyDescent="0.2">
      <c r="A1563" s="44">
        <v>45680</v>
      </c>
      <c r="B1563" s="42" t="s">
        <v>2154</v>
      </c>
      <c r="C1563" s="42">
        <v>4.4000000000000004</v>
      </c>
      <c r="D1563" s="42" t="s">
        <v>901</v>
      </c>
      <c r="E1563" s="51" t="s">
        <v>45</v>
      </c>
      <c r="F1563" s="45" t="s">
        <v>2207</v>
      </c>
    </row>
    <row r="1564" spans="1:6" hidden="1" x14ac:dyDescent="0.2">
      <c r="A1564" s="46">
        <v>45676</v>
      </c>
      <c r="B1564" s="48" t="s">
        <v>1543</v>
      </c>
      <c r="C1564" s="33">
        <v>11.02</v>
      </c>
      <c r="D1564" s="33" t="s">
        <v>901</v>
      </c>
      <c r="E1564" s="52" t="s">
        <v>45</v>
      </c>
      <c r="F1564" s="47" t="s">
        <v>2207</v>
      </c>
    </row>
    <row r="1565" spans="1:6" hidden="1" x14ac:dyDescent="0.2">
      <c r="A1565" s="44">
        <v>45674</v>
      </c>
      <c r="B1565" s="42" t="s">
        <v>2163</v>
      </c>
      <c r="C1565" s="42">
        <v>99.99</v>
      </c>
      <c r="D1565" s="42" t="s">
        <v>901</v>
      </c>
      <c r="E1565" s="51" t="s">
        <v>6</v>
      </c>
      <c r="F1565" s="45" t="s">
        <v>2207</v>
      </c>
    </row>
    <row r="1566" spans="1:6" hidden="1" x14ac:dyDescent="0.2">
      <c r="A1566" s="46">
        <v>45671</v>
      </c>
      <c r="B1566" s="48" t="s">
        <v>1835</v>
      </c>
      <c r="C1566" s="33">
        <v>25.37</v>
      </c>
      <c r="D1566" s="33" t="s">
        <v>901</v>
      </c>
      <c r="E1566" s="52" t="s">
        <v>45</v>
      </c>
      <c r="F1566" s="47" t="s">
        <v>2207</v>
      </c>
    </row>
    <row r="1567" spans="1:6" hidden="1" x14ac:dyDescent="0.2">
      <c r="A1567" s="44">
        <v>45670</v>
      </c>
      <c r="B1567" s="42" t="s">
        <v>1569</v>
      </c>
      <c r="C1567" s="42">
        <v>16.54</v>
      </c>
      <c r="D1567" s="42" t="s">
        <v>901</v>
      </c>
      <c r="E1567" s="51" t="s">
        <v>45</v>
      </c>
      <c r="F1567" s="45" t="s">
        <v>2207</v>
      </c>
    </row>
    <row r="1568" spans="1:6" hidden="1" x14ac:dyDescent="0.2">
      <c r="A1568" s="46">
        <v>45668</v>
      </c>
      <c r="B1568" s="48" t="s">
        <v>1543</v>
      </c>
      <c r="C1568" s="33">
        <v>9.99</v>
      </c>
      <c r="D1568" s="33" t="s">
        <v>901</v>
      </c>
      <c r="E1568" s="52" t="s">
        <v>45</v>
      </c>
      <c r="F1568" s="47" t="s">
        <v>2207</v>
      </c>
    </row>
    <row r="1569" spans="1:6" hidden="1" x14ac:dyDescent="0.2">
      <c r="A1569" s="44">
        <v>45664</v>
      </c>
      <c r="B1569" s="62" t="s">
        <v>1543</v>
      </c>
      <c r="C1569" s="42">
        <v>1.42</v>
      </c>
      <c r="D1569" s="42" t="s">
        <v>901</v>
      </c>
      <c r="E1569" s="51" t="s">
        <v>45</v>
      </c>
      <c r="F1569" s="45" t="s">
        <v>2207</v>
      </c>
    </row>
    <row r="1570" spans="1:6" hidden="1" x14ac:dyDescent="0.2">
      <c r="A1570" s="46">
        <v>45663</v>
      </c>
      <c r="B1570" s="48" t="s">
        <v>1543</v>
      </c>
      <c r="C1570" s="33">
        <v>15.44</v>
      </c>
      <c r="D1570" s="33" t="s">
        <v>901</v>
      </c>
      <c r="E1570" s="52" t="s">
        <v>45</v>
      </c>
      <c r="F1570" s="47" t="s">
        <v>2207</v>
      </c>
    </row>
    <row r="1571" spans="1:6" hidden="1" x14ac:dyDescent="0.2">
      <c r="A1571" s="44">
        <v>45662</v>
      </c>
      <c r="B1571" s="42" t="s">
        <v>2184</v>
      </c>
      <c r="C1571" s="42">
        <v>4.4000000000000004</v>
      </c>
      <c r="D1571" s="42" t="s">
        <v>901</v>
      </c>
      <c r="E1571" s="51" t="s">
        <v>45</v>
      </c>
      <c r="F1571" s="45" t="s">
        <v>2207</v>
      </c>
    </row>
    <row r="1572" spans="1:6" hidden="1" x14ac:dyDescent="0.2">
      <c r="A1572" s="46">
        <v>45662</v>
      </c>
      <c r="B1572" s="48" t="s">
        <v>1543</v>
      </c>
      <c r="C1572" s="33">
        <v>15.44</v>
      </c>
      <c r="D1572" s="33" t="s">
        <v>901</v>
      </c>
      <c r="E1572" s="52" t="s">
        <v>45</v>
      </c>
      <c r="F1572" s="47" t="s">
        <v>2207</v>
      </c>
    </row>
    <row r="1573" spans="1:6" hidden="1" x14ac:dyDescent="0.2">
      <c r="A1573" s="44">
        <v>45662</v>
      </c>
      <c r="B1573" s="42" t="s">
        <v>2188</v>
      </c>
      <c r="C1573" s="42">
        <v>4.18</v>
      </c>
      <c r="D1573" s="42" t="s">
        <v>901</v>
      </c>
      <c r="E1573" s="51" t="s">
        <v>45</v>
      </c>
      <c r="F1573" s="45" t="s">
        <v>2207</v>
      </c>
    </row>
    <row r="1574" spans="1:6" hidden="1" x14ac:dyDescent="0.2">
      <c r="A1574" s="46">
        <v>45661</v>
      </c>
      <c r="B1574" s="48" t="s">
        <v>1543</v>
      </c>
      <c r="C1574" s="33">
        <v>1.0900000000000001</v>
      </c>
      <c r="D1574" s="33" t="s">
        <v>901</v>
      </c>
      <c r="E1574" s="52" t="s">
        <v>45</v>
      </c>
      <c r="F1574" s="47" t="s">
        <v>2207</v>
      </c>
    </row>
    <row r="1575" spans="1:6" hidden="1" x14ac:dyDescent="0.2">
      <c r="A1575" s="44">
        <v>45659</v>
      </c>
      <c r="B1575" s="62" t="s">
        <v>1755</v>
      </c>
      <c r="C1575" s="42">
        <v>23.15</v>
      </c>
      <c r="D1575" s="42" t="s">
        <v>901</v>
      </c>
      <c r="E1575" s="51" t="s">
        <v>45</v>
      </c>
      <c r="F1575" s="45" t="s">
        <v>2207</v>
      </c>
    </row>
    <row r="1576" spans="1:6" hidden="1" x14ac:dyDescent="0.2">
      <c r="A1576" s="46">
        <v>45958</v>
      </c>
      <c r="B1576" s="33" t="s">
        <v>933</v>
      </c>
      <c r="C1576" s="33">
        <v>22.06</v>
      </c>
      <c r="D1576" s="33" t="s">
        <v>901</v>
      </c>
      <c r="E1576" s="52" t="s">
        <v>45</v>
      </c>
      <c r="F1576" s="47" t="s">
        <v>2207</v>
      </c>
    </row>
    <row r="1577" spans="1:6" hidden="1" x14ac:dyDescent="0.2">
      <c r="A1577" s="44">
        <v>45983</v>
      </c>
      <c r="B1577" s="62" t="s">
        <v>936</v>
      </c>
      <c r="C1577" s="42">
        <v>66.150000000000006</v>
      </c>
      <c r="D1577" s="42" t="s">
        <v>901</v>
      </c>
      <c r="E1577" s="51" t="s">
        <v>45</v>
      </c>
      <c r="F1577" s="45" t="s">
        <v>2207</v>
      </c>
    </row>
    <row r="1578" spans="1:6" hidden="1" x14ac:dyDescent="0.2">
      <c r="A1578" s="46">
        <v>45952</v>
      </c>
      <c r="B1578" s="48" t="s">
        <v>936</v>
      </c>
      <c r="C1578" s="33">
        <v>66.150000000000006</v>
      </c>
      <c r="D1578" s="33" t="s">
        <v>901</v>
      </c>
      <c r="E1578" s="52" t="s">
        <v>45</v>
      </c>
      <c r="F1578" s="47" t="s">
        <v>2207</v>
      </c>
    </row>
    <row r="1579" spans="1:6" hidden="1" x14ac:dyDescent="0.2">
      <c r="A1579" s="44">
        <v>45975</v>
      </c>
      <c r="B1579" s="42" t="s">
        <v>919</v>
      </c>
      <c r="C1579" s="42">
        <v>27.58</v>
      </c>
      <c r="D1579" s="42" t="s">
        <v>901</v>
      </c>
      <c r="E1579" s="51" t="s">
        <v>45</v>
      </c>
      <c r="F1579" s="45" t="s">
        <v>2207</v>
      </c>
    </row>
    <row r="1580" spans="1:6" hidden="1" x14ac:dyDescent="0.2">
      <c r="A1580" s="46">
        <v>45963</v>
      </c>
      <c r="B1580" s="33" t="s">
        <v>913</v>
      </c>
      <c r="C1580" s="33">
        <v>25.36</v>
      </c>
      <c r="D1580" s="33" t="s">
        <v>901</v>
      </c>
      <c r="E1580" s="52" t="s">
        <v>45</v>
      </c>
      <c r="F1580" s="47" t="s">
        <v>2207</v>
      </c>
    </row>
    <row r="1581" spans="1:6" hidden="1" x14ac:dyDescent="0.2">
      <c r="A1581" s="44">
        <v>45944</v>
      </c>
      <c r="B1581" s="42" t="s">
        <v>919</v>
      </c>
      <c r="C1581" s="42">
        <v>27.58</v>
      </c>
      <c r="D1581" s="42" t="s">
        <v>901</v>
      </c>
      <c r="E1581" s="51" t="s">
        <v>45</v>
      </c>
      <c r="F1581" s="45" t="s">
        <v>2207</v>
      </c>
    </row>
    <row r="1582" spans="1:6" hidden="1" x14ac:dyDescent="0.2">
      <c r="A1582" s="46">
        <v>45932</v>
      </c>
      <c r="B1582" s="33" t="s">
        <v>913</v>
      </c>
      <c r="C1582" s="33">
        <v>23.15</v>
      </c>
      <c r="D1582" s="33" t="s">
        <v>901</v>
      </c>
      <c r="E1582" s="52" t="s">
        <v>45</v>
      </c>
      <c r="F1582" s="47" t="s">
        <v>2207</v>
      </c>
    </row>
    <row r="1583" spans="1:6" hidden="1" x14ac:dyDescent="0.2">
      <c r="A1583" s="44">
        <v>45964</v>
      </c>
      <c r="B1583" s="42" t="s">
        <v>939</v>
      </c>
      <c r="C1583" s="42">
        <v>70</v>
      </c>
      <c r="D1583" s="42" t="s">
        <v>938</v>
      </c>
      <c r="E1583" s="51" t="s">
        <v>45</v>
      </c>
      <c r="F1583" s="45" t="s">
        <v>2207</v>
      </c>
    </row>
    <row r="1584" spans="1:6" hidden="1" x14ac:dyDescent="0.2">
      <c r="A1584" s="46">
        <v>45932</v>
      </c>
      <c r="B1584" s="33" t="s">
        <v>939</v>
      </c>
      <c r="C1584" s="33">
        <v>70</v>
      </c>
      <c r="D1584" s="33" t="s">
        <v>938</v>
      </c>
      <c r="E1584" s="52" t="s">
        <v>45</v>
      </c>
      <c r="F1584" s="47" t="s">
        <v>2207</v>
      </c>
    </row>
    <row r="1585" spans="1:6" hidden="1" x14ac:dyDescent="0.2">
      <c r="A1585" s="44">
        <v>45979</v>
      </c>
      <c r="B1585" s="42" t="s">
        <v>947</v>
      </c>
      <c r="C1585" s="42">
        <v>-1000</v>
      </c>
      <c r="D1585" s="42" t="s">
        <v>77</v>
      </c>
      <c r="E1585" s="51" t="s">
        <v>6</v>
      </c>
      <c r="F1585" s="45" t="s">
        <v>2207</v>
      </c>
    </row>
    <row r="1586" spans="1:6" hidden="1" x14ac:dyDescent="0.2">
      <c r="A1586" s="46">
        <v>45963</v>
      </c>
      <c r="B1586" s="33" t="s">
        <v>947</v>
      </c>
      <c r="C1586" s="33">
        <v>-15691.03</v>
      </c>
      <c r="D1586" s="33" t="s">
        <v>77</v>
      </c>
      <c r="E1586" s="52" t="s">
        <v>6</v>
      </c>
      <c r="F1586" s="47" t="s">
        <v>2207</v>
      </c>
    </row>
    <row r="1587" spans="1:6" hidden="1" x14ac:dyDescent="0.2">
      <c r="A1587" s="44">
        <v>45932</v>
      </c>
      <c r="B1587" s="42" t="s">
        <v>947</v>
      </c>
      <c r="C1587" s="42">
        <v>-344.33</v>
      </c>
      <c r="D1587" s="42" t="s">
        <v>77</v>
      </c>
      <c r="E1587" s="51" t="s">
        <v>6</v>
      </c>
      <c r="F1587" s="45" t="s">
        <v>2207</v>
      </c>
    </row>
    <row r="1588" spans="1:6" hidden="1" x14ac:dyDescent="0.2">
      <c r="A1588" s="46">
        <v>45974</v>
      </c>
      <c r="B1588" s="33" t="s">
        <v>492</v>
      </c>
      <c r="C1588" s="33">
        <v>700</v>
      </c>
      <c r="D1588" s="33" t="s">
        <v>77</v>
      </c>
      <c r="E1588" s="52" t="s">
        <v>6</v>
      </c>
      <c r="F1588" s="47" t="s">
        <v>2207</v>
      </c>
    </row>
    <row r="1589" spans="1:6" hidden="1" x14ac:dyDescent="0.2">
      <c r="A1589" s="44">
        <v>45971</v>
      </c>
      <c r="B1589" s="42" t="s">
        <v>492</v>
      </c>
      <c r="C1589" s="42">
        <v>100</v>
      </c>
      <c r="D1589" s="42" t="s">
        <v>77</v>
      </c>
      <c r="E1589" s="51" t="s">
        <v>6</v>
      </c>
      <c r="F1589" s="45" t="s">
        <v>2207</v>
      </c>
    </row>
    <row r="1590" spans="1:6" hidden="1" x14ac:dyDescent="0.2">
      <c r="A1590" s="46">
        <v>45967</v>
      </c>
      <c r="B1590" s="33" t="s">
        <v>492</v>
      </c>
      <c r="C1590" s="33">
        <v>100</v>
      </c>
      <c r="D1590" s="33" t="s">
        <v>77</v>
      </c>
      <c r="E1590" s="52" t="s">
        <v>6</v>
      </c>
      <c r="F1590" s="47" t="s">
        <v>2207</v>
      </c>
    </row>
    <row r="1591" spans="1:6" hidden="1" x14ac:dyDescent="0.2">
      <c r="A1591" s="44">
        <v>45966</v>
      </c>
      <c r="B1591" s="42" t="s">
        <v>492</v>
      </c>
      <c r="C1591" s="42">
        <v>2800</v>
      </c>
      <c r="D1591" s="42" t="s">
        <v>77</v>
      </c>
      <c r="E1591" s="51" t="s">
        <v>6</v>
      </c>
      <c r="F1591" s="45" t="s">
        <v>2207</v>
      </c>
    </row>
    <row r="1592" spans="1:6" hidden="1" x14ac:dyDescent="0.2">
      <c r="A1592" s="46">
        <v>45937</v>
      </c>
      <c r="B1592" s="33" t="s">
        <v>492</v>
      </c>
      <c r="C1592" s="33">
        <v>400</v>
      </c>
      <c r="D1592" s="33" t="s">
        <v>77</v>
      </c>
      <c r="E1592" s="52" t="s">
        <v>6</v>
      </c>
      <c r="F1592" s="47" t="s">
        <v>2207</v>
      </c>
    </row>
    <row r="1593" spans="1:6" hidden="1" x14ac:dyDescent="0.2">
      <c r="A1593" s="44">
        <v>45936</v>
      </c>
      <c r="B1593" s="42" t="s">
        <v>492</v>
      </c>
      <c r="C1593" s="42">
        <v>4200</v>
      </c>
      <c r="D1593" s="42" t="s">
        <v>77</v>
      </c>
      <c r="E1593" s="51" t="s">
        <v>6</v>
      </c>
      <c r="F1593" s="45" t="s">
        <v>2207</v>
      </c>
    </row>
    <row r="1594" spans="1:6" hidden="1" x14ac:dyDescent="0.2">
      <c r="A1594" s="46">
        <v>45767</v>
      </c>
      <c r="B1594" s="48" t="s">
        <v>2032</v>
      </c>
      <c r="C1594" s="33">
        <v>6.3</v>
      </c>
      <c r="D1594" s="33" t="s">
        <v>952</v>
      </c>
      <c r="E1594" s="52" t="s">
        <v>6</v>
      </c>
      <c r="F1594" s="47" t="s">
        <v>2207</v>
      </c>
    </row>
    <row r="1595" spans="1:6" hidden="1" x14ac:dyDescent="0.2">
      <c r="A1595" s="44">
        <v>45740</v>
      </c>
      <c r="B1595" s="62" t="s">
        <v>954</v>
      </c>
      <c r="C1595" s="42">
        <v>4.3600000000000003</v>
      </c>
      <c r="D1595" s="42" t="s">
        <v>952</v>
      </c>
      <c r="E1595" s="51" t="s">
        <v>6</v>
      </c>
      <c r="F1595" s="45" t="s">
        <v>2207</v>
      </c>
    </row>
    <row r="1596" spans="1:6" hidden="1" x14ac:dyDescent="0.2">
      <c r="A1596" s="46">
        <v>45953</v>
      </c>
      <c r="B1596" s="33" t="s">
        <v>1138</v>
      </c>
      <c r="C1596" s="33">
        <v>658.43</v>
      </c>
      <c r="D1596" s="33" t="s">
        <v>956</v>
      </c>
      <c r="E1596" s="52" t="s">
        <v>45</v>
      </c>
      <c r="F1596" s="47" t="s">
        <v>2207</v>
      </c>
    </row>
    <row r="1597" spans="1:6" hidden="1" x14ac:dyDescent="0.2">
      <c r="A1597" s="44">
        <v>45924</v>
      </c>
      <c r="B1597" s="42" t="s">
        <v>1626</v>
      </c>
      <c r="C1597" s="42">
        <v>18</v>
      </c>
      <c r="D1597" s="42" t="s">
        <v>956</v>
      </c>
      <c r="E1597" s="51" t="s">
        <v>45</v>
      </c>
      <c r="F1597" s="45" t="s">
        <v>2207</v>
      </c>
    </row>
    <row r="1598" spans="1:6" hidden="1" x14ac:dyDescent="0.2">
      <c r="A1598" s="46">
        <v>45918</v>
      </c>
      <c r="B1598" s="33" t="s">
        <v>1643</v>
      </c>
      <c r="C1598" s="33">
        <v>8</v>
      </c>
      <c r="D1598" s="33" t="s">
        <v>956</v>
      </c>
      <c r="E1598" s="52" t="s">
        <v>45</v>
      </c>
      <c r="F1598" s="47" t="s">
        <v>2207</v>
      </c>
    </row>
    <row r="1599" spans="1:6" hidden="1" x14ac:dyDescent="0.2">
      <c r="A1599" s="44">
        <v>45880</v>
      </c>
      <c r="B1599" s="42" t="s">
        <v>1626</v>
      </c>
      <c r="C1599" s="42">
        <v>3</v>
      </c>
      <c r="D1599" s="42" t="s">
        <v>956</v>
      </c>
      <c r="E1599" s="51" t="s">
        <v>45</v>
      </c>
      <c r="F1599" s="45" t="s">
        <v>2207</v>
      </c>
    </row>
    <row r="1600" spans="1:6" hidden="1" x14ac:dyDescent="0.2">
      <c r="A1600" s="46">
        <v>45847</v>
      </c>
      <c r="B1600" s="33" t="s">
        <v>1853</v>
      </c>
      <c r="C1600" s="33">
        <v>11.58</v>
      </c>
      <c r="D1600" s="33" t="s">
        <v>956</v>
      </c>
      <c r="E1600" s="52" t="s">
        <v>45</v>
      </c>
      <c r="F1600" s="47" t="s">
        <v>2207</v>
      </c>
    </row>
    <row r="1601" spans="1:6" hidden="1" x14ac:dyDescent="0.2">
      <c r="A1601" s="44">
        <v>45842</v>
      </c>
      <c r="B1601" s="42" t="s">
        <v>1861</v>
      </c>
      <c r="C1601" s="42">
        <v>44.44</v>
      </c>
      <c r="D1601" s="42" t="s">
        <v>956</v>
      </c>
      <c r="E1601" s="51" t="s">
        <v>45</v>
      </c>
      <c r="F1601" s="45" t="s">
        <v>2207</v>
      </c>
    </row>
    <row r="1602" spans="1:6" hidden="1" x14ac:dyDescent="0.2">
      <c r="A1602" s="46">
        <v>45837</v>
      </c>
      <c r="B1602" s="33" t="s">
        <v>1874</v>
      </c>
      <c r="C1602" s="33">
        <v>19.22</v>
      </c>
      <c r="D1602" s="33" t="s">
        <v>956</v>
      </c>
      <c r="E1602" s="52" t="s">
        <v>45</v>
      </c>
      <c r="F1602" s="47" t="s">
        <v>2207</v>
      </c>
    </row>
    <row r="1603" spans="1:6" hidden="1" x14ac:dyDescent="0.2">
      <c r="A1603" s="44">
        <v>45837</v>
      </c>
      <c r="B1603" s="42" t="s">
        <v>1875</v>
      </c>
      <c r="C1603" s="42">
        <v>14.75</v>
      </c>
      <c r="D1603" s="42" t="s">
        <v>956</v>
      </c>
      <c r="E1603" s="51" t="s">
        <v>45</v>
      </c>
      <c r="F1603" s="45" t="s">
        <v>2207</v>
      </c>
    </row>
    <row r="1604" spans="1:6" hidden="1" x14ac:dyDescent="0.2">
      <c r="A1604" s="46">
        <v>45836</v>
      </c>
      <c r="B1604" s="33" t="s">
        <v>1876</v>
      </c>
      <c r="C1604" s="33">
        <v>245.7</v>
      </c>
      <c r="D1604" s="33" t="s">
        <v>956</v>
      </c>
      <c r="E1604" s="52" t="s">
        <v>45</v>
      </c>
      <c r="F1604" s="47" t="s">
        <v>2207</v>
      </c>
    </row>
    <row r="1605" spans="1:6" hidden="1" x14ac:dyDescent="0.2">
      <c r="A1605" s="44">
        <v>45836</v>
      </c>
      <c r="B1605" s="42" t="s">
        <v>1877</v>
      </c>
      <c r="C1605" s="42">
        <v>59.83</v>
      </c>
      <c r="D1605" s="42" t="s">
        <v>956</v>
      </c>
      <c r="E1605" s="51" t="s">
        <v>45</v>
      </c>
      <c r="F1605" s="45" t="s">
        <v>2207</v>
      </c>
    </row>
    <row r="1606" spans="1:6" hidden="1" x14ac:dyDescent="0.2">
      <c r="A1606" s="46">
        <v>45836</v>
      </c>
      <c r="B1606" s="33" t="s">
        <v>1879</v>
      </c>
      <c r="C1606" s="33">
        <v>75.78</v>
      </c>
      <c r="D1606" s="33" t="s">
        <v>956</v>
      </c>
      <c r="E1606" s="52" t="s">
        <v>45</v>
      </c>
      <c r="F1606" s="47" t="s">
        <v>2207</v>
      </c>
    </row>
    <row r="1607" spans="1:6" hidden="1" x14ac:dyDescent="0.2">
      <c r="A1607" s="44">
        <v>45836</v>
      </c>
      <c r="B1607" s="42" t="s">
        <v>1880</v>
      </c>
      <c r="C1607" s="42">
        <v>1.35</v>
      </c>
      <c r="D1607" s="42" t="s">
        <v>956</v>
      </c>
      <c r="E1607" s="51" t="s">
        <v>45</v>
      </c>
      <c r="F1607" s="45" t="s">
        <v>2207</v>
      </c>
    </row>
    <row r="1608" spans="1:6" hidden="1" x14ac:dyDescent="0.2">
      <c r="A1608" s="46">
        <v>45836</v>
      </c>
      <c r="B1608" s="33" t="s">
        <v>1881</v>
      </c>
      <c r="C1608" s="33">
        <v>19.989999999999998</v>
      </c>
      <c r="D1608" s="33" t="s">
        <v>956</v>
      </c>
      <c r="E1608" s="52" t="s">
        <v>45</v>
      </c>
      <c r="F1608" s="47" t="s">
        <v>2207</v>
      </c>
    </row>
    <row r="1609" spans="1:6" hidden="1" x14ac:dyDescent="0.2">
      <c r="A1609" s="44">
        <v>45836</v>
      </c>
      <c r="B1609" s="42" t="s">
        <v>1882</v>
      </c>
      <c r="C1609" s="42">
        <v>50.54</v>
      </c>
      <c r="D1609" s="42" t="s">
        <v>956</v>
      </c>
      <c r="E1609" s="51" t="s">
        <v>45</v>
      </c>
      <c r="F1609" s="45" t="s">
        <v>2207</v>
      </c>
    </row>
    <row r="1610" spans="1:6" hidden="1" x14ac:dyDescent="0.2">
      <c r="A1610" s="46">
        <v>45836</v>
      </c>
      <c r="B1610" s="33" t="s">
        <v>1011</v>
      </c>
      <c r="C1610" s="33">
        <v>19.89</v>
      </c>
      <c r="D1610" s="33" t="s">
        <v>956</v>
      </c>
      <c r="E1610" s="52" t="s">
        <v>45</v>
      </c>
      <c r="F1610" s="47" t="s">
        <v>2207</v>
      </c>
    </row>
    <row r="1611" spans="1:6" hidden="1" x14ac:dyDescent="0.2">
      <c r="A1611" s="44">
        <v>45836</v>
      </c>
      <c r="B1611" s="42" t="s">
        <v>1883</v>
      </c>
      <c r="C1611" s="42">
        <v>48.02</v>
      </c>
      <c r="D1611" s="42" t="s">
        <v>956</v>
      </c>
      <c r="E1611" s="51" t="s">
        <v>45</v>
      </c>
      <c r="F1611" s="45" t="s">
        <v>2207</v>
      </c>
    </row>
    <row r="1612" spans="1:6" hidden="1" x14ac:dyDescent="0.2">
      <c r="A1612" s="46">
        <v>45836</v>
      </c>
      <c r="B1612" s="33" t="s">
        <v>1884</v>
      </c>
      <c r="C1612" s="33">
        <v>7.71</v>
      </c>
      <c r="D1612" s="33" t="s">
        <v>956</v>
      </c>
      <c r="E1612" s="52" t="s">
        <v>45</v>
      </c>
      <c r="F1612" s="47" t="s">
        <v>2207</v>
      </c>
    </row>
    <row r="1613" spans="1:6" hidden="1" x14ac:dyDescent="0.2">
      <c r="A1613" s="44">
        <v>45836</v>
      </c>
      <c r="B1613" s="42" t="s">
        <v>1876</v>
      </c>
      <c r="C1613" s="42">
        <v>245.7</v>
      </c>
      <c r="D1613" s="42" t="s">
        <v>956</v>
      </c>
      <c r="E1613" s="51" t="s">
        <v>45</v>
      </c>
      <c r="F1613" s="45" t="s">
        <v>2207</v>
      </c>
    </row>
    <row r="1614" spans="1:6" hidden="1" x14ac:dyDescent="0.2">
      <c r="A1614" s="46">
        <v>45836</v>
      </c>
      <c r="B1614" s="33" t="s">
        <v>1885</v>
      </c>
      <c r="C1614" s="33">
        <v>49.9</v>
      </c>
      <c r="D1614" s="33" t="s">
        <v>956</v>
      </c>
      <c r="E1614" s="52" t="s">
        <v>45</v>
      </c>
      <c r="F1614" s="47" t="s">
        <v>2207</v>
      </c>
    </row>
    <row r="1615" spans="1:6" hidden="1" x14ac:dyDescent="0.2">
      <c r="A1615" s="44">
        <v>45835</v>
      </c>
      <c r="B1615" s="42" t="s">
        <v>1886</v>
      </c>
      <c r="C1615" s="42">
        <v>4.6399999999999997</v>
      </c>
      <c r="D1615" s="42" t="s">
        <v>956</v>
      </c>
      <c r="E1615" s="51" t="s">
        <v>45</v>
      </c>
      <c r="F1615" s="45" t="s">
        <v>2207</v>
      </c>
    </row>
    <row r="1616" spans="1:6" hidden="1" x14ac:dyDescent="0.2">
      <c r="A1616" s="46">
        <v>45835</v>
      </c>
      <c r="B1616" s="33" t="s">
        <v>1887</v>
      </c>
      <c r="C1616" s="33">
        <v>79.92</v>
      </c>
      <c r="D1616" s="33" t="s">
        <v>956</v>
      </c>
      <c r="E1616" s="52" t="s">
        <v>45</v>
      </c>
      <c r="F1616" s="47" t="s">
        <v>2207</v>
      </c>
    </row>
    <row r="1617" spans="1:6" hidden="1" x14ac:dyDescent="0.2">
      <c r="A1617" s="44">
        <v>45835</v>
      </c>
      <c r="B1617" s="62" t="s">
        <v>1890</v>
      </c>
      <c r="C1617" s="42">
        <v>580.67999999999995</v>
      </c>
      <c r="D1617" s="42" t="s">
        <v>956</v>
      </c>
      <c r="E1617" s="51" t="s">
        <v>45</v>
      </c>
      <c r="F1617" s="45" t="s">
        <v>2207</v>
      </c>
    </row>
    <row r="1618" spans="1:6" hidden="1" x14ac:dyDescent="0.2">
      <c r="A1618" s="46">
        <v>45835</v>
      </c>
      <c r="B1618" s="33" t="s">
        <v>1891</v>
      </c>
      <c r="C1618" s="33">
        <v>61.78</v>
      </c>
      <c r="D1618" s="33" t="s">
        <v>956</v>
      </c>
      <c r="E1618" s="52" t="s">
        <v>45</v>
      </c>
      <c r="F1618" s="47" t="s">
        <v>2207</v>
      </c>
    </row>
    <row r="1619" spans="1:6" hidden="1" x14ac:dyDescent="0.2">
      <c r="A1619" s="44">
        <v>45835</v>
      </c>
      <c r="B1619" s="42" t="s">
        <v>1892</v>
      </c>
      <c r="C1619" s="42">
        <v>3.08</v>
      </c>
      <c r="D1619" s="42" t="s">
        <v>956</v>
      </c>
      <c r="E1619" s="51" t="s">
        <v>45</v>
      </c>
      <c r="F1619" s="45" t="s">
        <v>2207</v>
      </c>
    </row>
    <row r="1620" spans="1:6" hidden="1" x14ac:dyDescent="0.2">
      <c r="A1620" s="46">
        <v>45835</v>
      </c>
      <c r="B1620" s="33" t="s">
        <v>1893</v>
      </c>
      <c r="C1620" s="33">
        <v>0.76</v>
      </c>
      <c r="D1620" s="33" t="s">
        <v>956</v>
      </c>
      <c r="E1620" s="52" t="s">
        <v>45</v>
      </c>
      <c r="F1620" s="47" t="s">
        <v>2207</v>
      </c>
    </row>
    <row r="1621" spans="1:6" hidden="1" x14ac:dyDescent="0.2">
      <c r="A1621" s="44">
        <v>45835</v>
      </c>
      <c r="B1621" s="42" t="s">
        <v>1886</v>
      </c>
      <c r="C1621" s="42">
        <v>4.6399999999999997</v>
      </c>
      <c r="D1621" s="42" t="s">
        <v>956</v>
      </c>
      <c r="E1621" s="51" t="s">
        <v>45</v>
      </c>
      <c r="F1621" s="45" t="s">
        <v>2207</v>
      </c>
    </row>
    <row r="1622" spans="1:6" hidden="1" x14ac:dyDescent="0.2">
      <c r="A1622" s="46">
        <v>45834</v>
      </c>
      <c r="B1622" s="33" t="s">
        <v>1894</v>
      </c>
      <c r="C1622" s="33">
        <v>6.07</v>
      </c>
      <c r="D1622" s="33" t="s">
        <v>956</v>
      </c>
      <c r="E1622" s="52" t="s">
        <v>45</v>
      </c>
      <c r="F1622" s="47" t="s">
        <v>2207</v>
      </c>
    </row>
    <row r="1623" spans="1:6" hidden="1" x14ac:dyDescent="0.2">
      <c r="A1623" s="44">
        <v>45834</v>
      </c>
      <c r="B1623" s="42" t="s">
        <v>1894</v>
      </c>
      <c r="C1623" s="42">
        <v>8.0500000000000007</v>
      </c>
      <c r="D1623" s="42" t="s">
        <v>956</v>
      </c>
      <c r="E1623" s="51" t="s">
        <v>45</v>
      </c>
      <c r="F1623" s="45" t="s">
        <v>2207</v>
      </c>
    </row>
    <row r="1624" spans="1:6" hidden="1" x14ac:dyDescent="0.2">
      <c r="A1624" s="46">
        <v>45834</v>
      </c>
      <c r="B1624" s="33" t="s">
        <v>1894</v>
      </c>
      <c r="C1624" s="33">
        <v>11.08</v>
      </c>
      <c r="D1624" s="33" t="s">
        <v>956</v>
      </c>
      <c r="E1624" s="52" t="s">
        <v>45</v>
      </c>
      <c r="F1624" s="47" t="s">
        <v>2207</v>
      </c>
    </row>
    <row r="1625" spans="1:6" hidden="1" x14ac:dyDescent="0.2">
      <c r="A1625" s="44">
        <v>45834</v>
      </c>
      <c r="B1625" s="42" t="s">
        <v>1894</v>
      </c>
      <c r="C1625" s="42">
        <v>3.5</v>
      </c>
      <c r="D1625" s="42" t="s">
        <v>956</v>
      </c>
      <c r="E1625" s="51" t="s">
        <v>45</v>
      </c>
      <c r="F1625" s="45" t="s">
        <v>2207</v>
      </c>
    </row>
    <row r="1626" spans="1:6" hidden="1" x14ac:dyDescent="0.2">
      <c r="A1626" s="46">
        <v>45834</v>
      </c>
      <c r="B1626" s="33" t="s">
        <v>1895</v>
      </c>
      <c r="C1626" s="33">
        <v>1.4</v>
      </c>
      <c r="D1626" s="33" t="s">
        <v>956</v>
      </c>
      <c r="E1626" s="52" t="s">
        <v>45</v>
      </c>
      <c r="F1626" s="47" t="s">
        <v>2207</v>
      </c>
    </row>
    <row r="1627" spans="1:6" hidden="1" x14ac:dyDescent="0.2">
      <c r="A1627" s="44">
        <v>45834</v>
      </c>
      <c r="B1627" s="42" t="s">
        <v>1896</v>
      </c>
      <c r="C1627" s="42">
        <v>95.19</v>
      </c>
      <c r="D1627" s="42" t="s">
        <v>956</v>
      </c>
      <c r="E1627" s="51" t="s">
        <v>45</v>
      </c>
      <c r="F1627" s="45" t="s">
        <v>2207</v>
      </c>
    </row>
    <row r="1628" spans="1:6" hidden="1" x14ac:dyDescent="0.2">
      <c r="A1628" s="46">
        <v>45833</v>
      </c>
      <c r="B1628" s="33" t="s">
        <v>1894</v>
      </c>
      <c r="C1628" s="33">
        <v>5.12</v>
      </c>
      <c r="D1628" s="33" t="s">
        <v>956</v>
      </c>
      <c r="E1628" s="52" t="s">
        <v>45</v>
      </c>
      <c r="F1628" s="47" t="s">
        <v>2207</v>
      </c>
    </row>
    <row r="1629" spans="1:6" hidden="1" x14ac:dyDescent="0.2">
      <c r="A1629" s="44">
        <v>45833</v>
      </c>
      <c r="B1629" s="42" t="s">
        <v>1897</v>
      </c>
      <c r="C1629" s="42">
        <v>3.73</v>
      </c>
      <c r="D1629" s="42" t="s">
        <v>956</v>
      </c>
      <c r="E1629" s="51" t="s">
        <v>45</v>
      </c>
      <c r="F1629" s="45" t="s">
        <v>2207</v>
      </c>
    </row>
    <row r="1630" spans="1:6" hidden="1" x14ac:dyDescent="0.2">
      <c r="A1630" s="46">
        <v>45833</v>
      </c>
      <c r="B1630" s="33" t="s">
        <v>1898</v>
      </c>
      <c r="C1630" s="33">
        <v>9.31</v>
      </c>
      <c r="D1630" s="33" t="s">
        <v>956</v>
      </c>
      <c r="E1630" s="52" t="s">
        <v>45</v>
      </c>
      <c r="F1630" s="47" t="s">
        <v>2207</v>
      </c>
    </row>
    <row r="1631" spans="1:6" hidden="1" x14ac:dyDescent="0.2">
      <c r="A1631" s="44">
        <v>45833</v>
      </c>
      <c r="B1631" s="42" t="s">
        <v>1898</v>
      </c>
      <c r="C1631" s="42">
        <v>4.08</v>
      </c>
      <c r="D1631" s="42" t="s">
        <v>956</v>
      </c>
      <c r="E1631" s="51" t="s">
        <v>45</v>
      </c>
      <c r="F1631" s="45" t="s">
        <v>2207</v>
      </c>
    </row>
    <row r="1632" spans="1:6" hidden="1" x14ac:dyDescent="0.2">
      <c r="A1632" s="46">
        <v>45833</v>
      </c>
      <c r="B1632" s="33" t="s">
        <v>1899</v>
      </c>
      <c r="C1632" s="33">
        <v>221.02</v>
      </c>
      <c r="D1632" s="33" t="s">
        <v>956</v>
      </c>
      <c r="E1632" s="52" t="s">
        <v>45</v>
      </c>
      <c r="F1632" s="47" t="s">
        <v>2207</v>
      </c>
    </row>
    <row r="1633" spans="1:6" hidden="1" x14ac:dyDescent="0.2">
      <c r="A1633" s="44">
        <v>45833</v>
      </c>
      <c r="B1633" s="42" t="s">
        <v>1900</v>
      </c>
      <c r="C1633" s="42">
        <v>41.06</v>
      </c>
      <c r="D1633" s="42" t="s">
        <v>956</v>
      </c>
      <c r="E1633" s="51" t="s">
        <v>45</v>
      </c>
      <c r="F1633" s="45" t="s">
        <v>2207</v>
      </c>
    </row>
    <row r="1634" spans="1:6" hidden="1" x14ac:dyDescent="0.2">
      <c r="A1634" s="46">
        <v>45833</v>
      </c>
      <c r="B1634" s="33" t="s">
        <v>1894</v>
      </c>
      <c r="C1634" s="33">
        <v>5.12</v>
      </c>
      <c r="D1634" s="33" t="s">
        <v>956</v>
      </c>
      <c r="E1634" s="52" t="s">
        <v>45</v>
      </c>
      <c r="F1634" s="47" t="s">
        <v>2207</v>
      </c>
    </row>
    <row r="1635" spans="1:6" hidden="1" x14ac:dyDescent="0.2">
      <c r="A1635" s="44">
        <v>45833</v>
      </c>
      <c r="B1635" s="42" t="s">
        <v>1894</v>
      </c>
      <c r="C1635" s="42">
        <v>4.42</v>
      </c>
      <c r="D1635" s="42" t="s">
        <v>956</v>
      </c>
      <c r="E1635" s="51" t="s">
        <v>45</v>
      </c>
      <c r="F1635" s="45" t="s">
        <v>2207</v>
      </c>
    </row>
    <row r="1636" spans="1:6" hidden="1" x14ac:dyDescent="0.2">
      <c r="A1636" s="46">
        <v>45832</v>
      </c>
      <c r="B1636" s="33" t="s">
        <v>1894</v>
      </c>
      <c r="C1636" s="33">
        <v>5.33</v>
      </c>
      <c r="D1636" s="33" t="s">
        <v>956</v>
      </c>
      <c r="E1636" s="52" t="s">
        <v>45</v>
      </c>
      <c r="F1636" s="47" t="s">
        <v>2207</v>
      </c>
    </row>
    <row r="1637" spans="1:6" hidden="1" x14ac:dyDescent="0.2">
      <c r="A1637" s="44">
        <v>45832</v>
      </c>
      <c r="B1637" s="42" t="s">
        <v>1894</v>
      </c>
      <c r="C1637" s="42">
        <v>5.0999999999999996</v>
      </c>
      <c r="D1637" s="42" t="s">
        <v>956</v>
      </c>
      <c r="E1637" s="51" t="s">
        <v>45</v>
      </c>
      <c r="F1637" s="45" t="s">
        <v>2207</v>
      </c>
    </row>
    <row r="1638" spans="1:6" hidden="1" x14ac:dyDescent="0.2">
      <c r="A1638" s="46">
        <v>45832</v>
      </c>
      <c r="B1638" s="33" t="s">
        <v>1894</v>
      </c>
      <c r="C1638" s="33">
        <v>14.59</v>
      </c>
      <c r="D1638" s="33" t="s">
        <v>956</v>
      </c>
      <c r="E1638" s="52" t="s">
        <v>45</v>
      </c>
      <c r="F1638" s="47" t="s">
        <v>2207</v>
      </c>
    </row>
    <row r="1639" spans="1:6" hidden="1" x14ac:dyDescent="0.2">
      <c r="A1639" s="44">
        <v>45832</v>
      </c>
      <c r="B1639" s="42" t="s">
        <v>1894</v>
      </c>
      <c r="C1639" s="42">
        <v>19.11</v>
      </c>
      <c r="D1639" s="42" t="s">
        <v>956</v>
      </c>
      <c r="E1639" s="51" t="s">
        <v>45</v>
      </c>
      <c r="F1639" s="45" t="s">
        <v>2207</v>
      </c>
    </row>
    <row r="1640" spans="1:6" hidden="1" x14ac:dyDescent="0.2">
      <c r="A1640" s="46">
        <v>45832</v>
      </c>
      <c r="B1640" s="33" t="s">
        <v>1903</v>
      </c>
      <c r="C1640" s="33">
        <v>169.81</v>
      </c>
      <c r="D1640" s="33" t="s">
        <v>956</v>
      </c>
      <c r="E1640" s="52" t="s">
        <v>45</v>
      </c>
      <c r="F1640" s="47" t="s">
        <v>2207</v>
      </c>
    </row>
    <row r="1641" spans="1:6" hidden="1" x14ac:dyDescent="0.2">
      <c r="A1641" s="44">
        <v>45831</v>
      </c>
      <c r="B1641" s="42" t="s">
        <v>1904</v>
      </c>
      <c r="C1641" s="42">
        <v>20.55</v>
      </c>
      <c r="D1641" s="42" t="s">
        <v>956</v>
      </c>
      <c r="E1641" s="51" t="s">
        <v>45</v>
      </c>
      <c r="F1641" s="45" t="s">
        <v>2207</v>
      </c>
    </row>
    <row r="1642" spans="1:6" hidden="1" x14ac:dyDescent="0.2">
      <c r="A1642" s="46">
        <v>45831</v>
      </c>
      <c r="B1642" s="33" t="s">
        <v>1905</v>
      </c>
      <c r="C1642" s="33">
        <v>28.85</v>
      </c>
      <c r="D1642" s="33" t="s">
        <v>956</v>
      </c>
      <c r="E1642" s="52" t="s">
        <v>45</v>
      </c>
      <c r="F1642" s="47" t="s">
        <v>2207</v>
      </c>
    </row>
    <row r="1643" spans="1:6" hidden="1" x14ac:dyDescent="0.2">
      <c r="A1643" s="44">
        <v>45831</v>
      </c>
      <c r="B1643" s="42" t="s">
        <v>1906</v>
      </c>
      <c r="C1643" s="42">
        <v>5.54</v>
      </c>
      <c r="D1643" s="42" t="s">
        <v>956</v>
      </c>
      <c r="E1643" s="51" t="s">
        <v>45</v>
      </c>
      <c r="F1643" s="45" t="s">
        <v>2207</v>
      </c>
    </row>
    <row r="1644" spans="1:6" hidden="1" x14ac:dyDescent="0.2">
      <c r="A1644" s="46">
        <v>45831</v>
      </c>
      <c r="B1644" s="33" t="s">
        <v>1905</v>
      </c>
      <c r="C1644" s="33">
        <v>28.85</v>
      </c>
      <c r="D1644" s="33" t="s">
        <v>956</v>
      </c>
      <c r="E1644" s="52" t="s">
        <v>45</v>
      </c>
      <c r="F1644" s="47" t="s">
        <v>2207</v>
      </c>
    </row>
    <row r="1645" spans="1:6" hidden="1" x14ac:dyDescent="0.2">
      <c r="A1645" s="44">
        <v>45831</v>
      </c>
      <c r="B1645" s="42" t="s">
        <v>1904</v>
      </c>
      <c r="C1645" s="42">
        <v>20.55</v>
      </c>
      <c r="D1645" s="42" t="s">
        <v>956</v>
      </c>
      <c r="E1645" s="51" t="s">
        <v>45</v>
      </c>
      <c r="F1645" s="45" t="s">
        <v>2207</v>
      </c>
    </row>
    <row r="1646" spans="1:6" hidden="1" x14ac:dyDescent="0.2">
      <c r="A1646" s="46">
        <v>45831</v>
      </c>
      <c r="B1646" s="33" t="s">
        <v>1909</v>
      </c>
      <c r="C1646" s="33">
        <v>1.73</v>
      </c>
      <c r="D1646" s="33" t="s">
        <v>956</v>
      </c>
      <c r="E1646" s="52" t="s">
        <v>45</v>
      </c>
      <c r="F1646" s="47" t="s">
        <v>2207</v>
      </c>
    </row>
    <row r="1647" spans="1:6" hidden="1" x14ac:dyDescent="0.2">
      <c r="A1647" s="44">
        <v>45831</v>
      </c>
      <c r="B1647" s="42" t="s">
        <v>1910</v>
      </c>
      <c r="C1647" s="42">
        <v>39.14</v>
      </c>
      <c r="D1647" s="42" t="s">
        <v>956</v>
      </c>
      <c r="E1647" s="51" t="s">
        <v>45</v>
      </c>
      <c r="F1647" s="45" t="s">
        <v>2207</v>
      </c>
    </row>
    <row r="1648" spans="1:6" hidden="1" x14ac:dyDescent="0.2">
      <c r="A1648" s="46">
        <v>45831</v>
      </c>
      <c r="B1648" s="33" t="s">
        <v>1911</v>
      </c>
      <c r="C1648" s="33">
        <v>3.81</v>
      </c>
      <c r="D1648" s="33" t="s">
        <v>956</v>
      </c>
      <c r="E1648" s="52" t="s">
        <v>45</v>
      </c>
      <c r="F1648" s="47" t="s">
        <v>2207</v>
      </c>
    </row>
    <row r="1649" spans="1:6" hidden="1" x14ac:dyDescent="0.2">
      <c r="A1649" s="44">
        <v>45831</v>
      </c>
      <c r="B1649" s="42" t="s">
        <v>1906</v>
      </c>
      <c r="C1649" s="42">
        <v>6.58</v>
      </c>
      <c r="D1649" s="42" t="s">
        <v>956</v>
      </c>
      <c r="E1649" s="51" t="s">
        <v>45</v>
      </c>
      <c r="F1649" s="45" t="s">
        <v>2207</v>
      </c>
    </row>
    <row r="1650" spans="1:6" hidden="1" x14ac:dyDescent="0.2">
      <c r="A1650" s="46">
        <v>45830</v>
      </c>
      <c r="B1650" s="33" t="s">
        <v>1894</v>
      </c>
      <c r="C1650" s="33">
        <v>4.5</v>
      </c>
      <c r="D1650" s="33" t="s">
        <v>956</v>
      </c>
      <c r="E1650" s="52" t="s">
        <v>45</v>
      </c>
      <c r="F1650" s="47" t="s">
        <v>2207</v>
      </c>
    </row>
    <row r="1651" spans="1:6" hidden="1" x14ac:dyDescent="0.2">
      <c r="A1651" s="44">
        <v>45830</v>
      </c>
      <c r="B1651" s="42" t="s">
        <v>1912</v>
      </c>
      <c r="C1651" s="42">
        <v>12.7</v>
      </c>
      <c r="D1651" s="42" t="s">
        <v>956</v>
      </c>
      <c r="E1651" s="51" t="s">
        <v>45</v>
      </c>
      <c r="F1651" s="45" t="s">
        <v>2207</v>
      </c>
    </row>
    <row r="1652" spans="1:6" hidden="1" x14ac:dyDescent="0.2">
      <c r="A1652" s="46">
        <v>45830</v>
      </c>
      <c r="B1652" s="33" t="s">
        <v>1914</v>
      </c>
      <c r="C1652" s="33">
        <v>22.05</v>
      </c>
      <c r="D1652" s="33" t="s">
        <v>956</v>
      </c>
      <c r="E1652" s="52" t="s">
        <v>45</v>
      </c>
      <c r="F1652" s="47" t="s">
        <v>2207</v>
      </c>
    </row>
    <row r="1653" spans="1:6" hidden="1" x14ac:dyDescent="0.2">
      <c r="A1653" s="44">
        <v>45830</v>
      </c>
      <c r="B1653" s="42" t="s">
        <v>1915</v>
      </c>
      <c r="C1653" s="42">
        <v>19.87</v>
      </c>
      <c r="D1653" s="42" t="s">
        <v>956</v>
      </c>
      <c r="E1653" s="51" t="s">
        <v>45</v>
      </c>
      <c r="F1653" s="45" t="s">
        <v>2207</v>
      </c>
    </row>
    <row r="1654" spans="1:6" hidden="1" x14ac:dyDescent="0.2">
      <c r="A1654" s="46">
        <v>45830</v>
      </c>
      <c r="B1654" s="33" t="s">
        <v>1916</v>
      </c>
      <c r="C1654" s="33">
        <v>6.78</v>
      </c>
      <c r="D1654" s="33" t="s">
        <v>956</v>
      </c>
      <c r="E1654" s="52" t="s">
        <v>45</v>
      </c>
      <c r="F1654" s="47" t="s">
        <v>2207</v>
      </c>
    </row>
    <row r="1655" spans="1:6" hidden="1" x14ac:dyDescent="0.2">
      <c r="A1655" s="44">
        <v>45830</v>
      </c>
      <c r="B1655" s="42" t="s">
        <v>1917</v>
      </c>
      <c r="C1655" s="42">
        <v>8.31</v>
      </c>
      <c r="D1655" s="42" t="s">
        <v>956</v>
      </c>
      <c r="E1655" s="51" t="s">
        <v>45</v>
      </c>
      <c r="F1655" s="45" t="s">
        <v>2207</v>
      </c>
    </row>
    <row r="1656" spans="1:6" hidden="1" x14ac:dyDescent="0.2">
      <c r="A1656" s="46">
        <v>45830</v>
      </c>
      <c r="B1656" s="33" t="s">
        <v>1894</v>
      </c>
      <c r="C1656" s="33">
        <v>4.16</v>
      </c>
      <c r="D1656" s="33" t="s">
        <v>956</v>
      </c>
      <c r="E1656" s="52" t="s">
        <v>45</v>
      </c>
      <c r="F1656" s="47" t="s">
        <v>2207</v>
      </c>
    </row>
    <row r="1657" spans="1:6" hidden="1" x14ac:dyDescent="0.2">
      <c r="A1657" s="44">
        <v>45830</v>
      </c>
      <c r="B1657" s="42" t="s">
        <v>1918</v>
      </c>
      <c r="C1657" s="42">
        <v>30</v>
      </c>
      <c r="D1657" s="42" t="s">
        <v>956</v>
      </c>
      <c r="E1657" s="51" t="s">
        <v>45</v>
      </c>
      <c r="F1657" s="45" t="s">
        <v>2207</v>
      </c>
    </row>
    <row r="1658" spans="1:6" hidden="1" x14ac:dyDescent="0.2">
      <c r="A1658" s="46">
        <v>45829</v>
      </c>
      <c r="B1658" s="33" t="s">
        <v>1919</v>
      </c>
      <c r="C1658" s="33">
        <v>6.35</v>
      </c>
      <c r="D1658" s="33" t="s">
        <v>956</v>
      </c>
      <c r="E1658" s="52" t="s">
        <v>45</v>
      </c>
      <c r="F1658" s="47" t="s">
        <v>2207</v>
      </c>
    </row>
    <row r="1659" spans="1:6" hidden="1" x14ac:dyDescent="0.2">
      <c r="A1659" s="44">
        <v>45829</v>
      </c>
      <c r="B1659" s="42" t="s">
        <v>1046</v>
      </c>
      <c r="C1659" s="42">
        <v>20.78</v>
      </c>
      <c r="D1659" s="42" t="s">
        <v>956</v>
      </c>
      <c r="E1659" s="51" t="s">
        <v>45</v>
      </c>
      <c r="F1659" s="45" t="s">
        <v>2207</v>
      </c>
    </row>
    <row r="1660" spans="1:6" hidden="1" x14ac:dyDescent="0.2">
      <c r="A1660" s="46">
        <v>45829</v>
      </c>
      <c r="B1660" s="33" t="s">
        <v>1920</v>
      </c>
      <c r="C1660" s="33">
        <v>97.83</v>
      </c>
      <c r="D1660" s="33" t="s">
        <v>956</v>
      </c>
      <c r="E1660" s="52" t="s">
        <v>45</v>
      </c>
      <c r="F1660" s="47" t="s">
        <v>2207</v>
      </c>
    </row>
    <row r="1661" spans="1:6" hidden="1" x14ac:dyDescent="0.2">
      <c r="A1661" s="44">
        <v>45829</v>
      </c>
      <c r="B1661" s="42" t="s">
        <v>1921</v>
      </c>
      <c r="C1661" s="42">
        <v>12.75</v>
      </c>
      <c r="D1661" s="42" t="s">
        <v>956</v>
      </c>
      <c r="E1661" s="51" t="s">
        <v>45</v>
      </c>
      <c r="F1661" s="45" t="s">
        <v>2207</v>
      </c>
    </row>
    <row r="1662" spans="1:6" hidden="1" x14ac:dyDescent="0.2">
      <c r="A1662" s="46">
        <v>45828</v>
      </c>
      <c r="B1662" s="33" t="s">
        <v>1923</v>
      </c>
      <c r="C1662" s="33">
        <v>5.89</v>
      </c>
      <c r="D1662" s="33" t="s">
        <v>956</v>
      </c>
      <c r="E1662" s="52" t="s">
        <v>45</v>
      </c>
      <c r="F1662" s="47" t="s">
        <v>2207</v>
      </c>
    </row>
    <row r="1663" spans="1:6" hidden="1" x14ac:dyDescent="0.2">
      <c r="A1663" s="44">
        <v>45828</v>
      </c>
      <c r="B1663" s="42" t="s">
        <v>1924</v>
      </c>
      <c r="C1663" s="42">
        <v>29.77</v>
      </c>
      <c r="D1663" s="42" t="s">
        <v>956</v>
      </c>
      <c r="E1663" s="51" t="s">
        <v>45</v>
      </c>
      <c r="F1663" s="45" t="s">
        <v>2207</v>
      </c>
    </row>
    <row r="1664" spans="1:6" hidden="1" x14ac:dyDescent="0.2">
      <c r="A1664" s="46">
        <v>45828</v>
      </c>
      <c r="B1664" s="33" t="s">
        <v>1904</v>
      </c>
      <c r="C1664" s="33">
        <v>79.36</v>
      </c>
      <c r="D1664" s="33" t="s">
        <v>956</v>
      </c>
      <c r="E1664" s="52" t="s">
        <v>45</v>
      </c>
      <c r="F1664" s="47" t="s">
        <v>2207</v>
      </c>
    </row>
    <row r="1665" spans="1:6" hidden="1" x14ac:dyDescent="0.2">
      <c r="A1665" s="44">
        <v>45826</v>
      </c>
      <c r="B1665" s="42" t="s">
        <v>1926</v>
      </c>
      <c r="C1665" s="42">
        <v>87</v>
      </c>
      <c r="D1665" s="42" t="s">
        <v>956</v>
      </c>
      <c r="E1665" s="51" t="s">
        <v>45</v>
      </c>
      <c r="F1665" s="45" t="s">
        <v>2207</v>
      </c>
    </row>
    <row r="1666" spans="1:6" hidden="1" x14ac:dyDescent="0.2">
      <c r="A1666" s="46">
        <v>45826</v>
      </c>
      <c r="B1666" s="33" t="s">
        <v>1927</v>
      </c>
      <c r="C1666" s="33">
        <v>75.64</v>
      </c>
      <c r="D1666" s="33" t="s">
        <v>956</v>
      </c>
      <c r="E1666" s="52" t="s">
        <v>6</v>
      </c>
      <c r="F1666" s="47" t="s">
        <v>2207</v>
      </c>
    </row>
    <row r="1667" spans="1:6" hidden="1" x14ac:dyDescent="0.2">
      <c r="A1667" s="44">
        <v>45825</v>
      </c>
      <c r="B1667" s="42" t="s">
        <v>1929</v>
      </c>
      <c r="C1667" s="42">
        <v>28.6</v>
      </c>
      <c r="D1667" s="42" t="s">
        <v>956</v>
      </c>
      <c r="E1667" s="51" t="s">
        <v>45</v>
      </c>
      <c r="F1667" s="45" t="s">
        <v>2207</v>
      </c>
    </row>
    <row r="1668" spans="1:6" hidden="1" x14ac:dyDescent="0.2">
      <c r="A1668" s="46">
        <v>45823</v>
      </c>
      <c r="B1668" s="33" t="s">
        <v>1935</v>
      </c>
      <c r="C1668" s="33">
        <v>190.94</v>
      </c>
      <c r="D1668" s="33" t="s">
        <v>956</v>
      </c>
      <c r="E1668" s="52" t="s">
        <v>45</v>
      </c>
      <c r="F1668" s="47" t="s">
        <v>2207</v>
      </c>
    </row>
    <row r="1669" spans="1:6" hidden="1" x14ac:dyDescent="0.2">
      <c r="A1669" s="44">
        <v>45822</v>
      </c>
      <c r="B1669" s="42" t="s">
        <v>1937</v>
      </c>
      <c r="C1669" s="42">
        <v>39.880000000000003</v>
      </c>
      <c r="D1669" s="42" t="s">
        <v>956</v>
      </c>
      <c r="E1669" s="51" t="s">
        <v>45</v>
      </c>
      <c r="F1669" s="45" t="s">
        <v>2207</v>
      </c>
    </row>
    <row r="1670" spans="1:6" hidden="1" x14ac:dyDescent="0.2">
      <c r="A1670" s="46">
        <v>45822</v>
      </c>
      <c r="B1670" s="33" t="s">
        <v>1940</v>
      </c>
      <c r="C1670" s="33">
        <v>2491.35</v>
      </c>
      <c r="D1670" s="33" t="s">
        <v>956</v>
      </c>
      <c r="E1670" s="52" t="s">
        <v>45</v>
      </c>
      <c r="F1670" s="47" t="s">
        <v>2207</v>
      </c>
    </row>
    <row r="1671" spans="1:6" hidden="1" x14ac:dyDescent="0.2">
      <c r="A1671" s="44">
        <v>45822</v>
      </c>
      <c r="B1671" s="42" t="s">
        <v>1941</v>
      </c>
      <c r="C1671" s="42">
        <v>42</v>
      </c>
      <c r="D1671" s="42" t="s">
        <v>956</v>
      </c>
      <c r="E1671" s="51" t="s">
        <v>45</v>
      </c>
      <c r="F1671" s="45" t="s">
        <v>2207</v>
      </c>
    </row>
    <row r="1672" spans="1:6" hidden="1" x14ac:dyDescent="0.2">
      <c r="A1672" s="46">
        <v>45822</v>
      </c>
      <c r="B1672" s="33" t="s">
        <v>1937</v>
      </c>
      <c r="C1672" s="33">
        <v>6.19</v>
      </c>
      <c r="D1672" s="33" t="s">
        <v>956</v>
      </c>
      <c r="E1672" s="52" t="s">
        <v>45</v>
      </c>
      <c r="F1672" s="47" t="s">
        <v>2207</v>
      </c>
    </row>
    <row r="1673" spans="1:6" hidden="1" x14ac:dyDescent="0.2">
      <c r="A1673" s="44">
        <v>45822</v>
      </c>
      <c r="B1673" s="42" t="s">
        <v>1940</v>
      </c>
      <c r="C1673" s="42">
        <v>2491.35</v>
      </c>
      <c r="D1673" s="42" t="s">
        <v>956</v>
      </c>
      <c r="E1673" s="51" t="s">
        <v>45</v>
      </c>
      <c r="F1673" s="45" t="s">
        <v>2207</v>
      </c>
    </row>
    <row r="1674" spans="1:6" hidden="1" x14ac:dyDescent="0.2">
      <c r="A1674" s="46">
        <v>45817</v>
      </c>
      <c r="B1674" s="48" t="s">
        <v>1955</v>
      </c>
      <c r="C1674" s="33">
        <v>-428.68</v>
      </c>
      <c r="D1674" s="33" t="s">
        <v>956</v>
      </c>
      <c r="E1674" s="52" t="s">
        <v>45</v>
      </c>
      <c r="F1674" s="47" t="s">
        <v>2207</v>
      </c>
    </row>
    <row r="1675" spans="1:6" hidden="1" x14ac:dyDescent="0.2">
      <c r="A1675" s="44">
        <v>45817</v>
      </c>
      <c r="B1675" s="62" t="s">
        <v>1955</v>
      </c>
      <c r="C1675" s="42">
        <v>-355.12</v>
      </c>
      <c r="D1675" s="42" t="s">
        <v>956</v>
      </c>
      <c r="E1675" s="51" t="s">
        <v>45</v>
      </c>
      <c r="F1675" s="45" t="s">
        <v>2207</v>
      </c>
    </row>
    <row r="1676" spans="1:6" hidden="1" x14ac:dyDescent="0.2">
      <c r="A1676" s="46">
        <v>45810</v>
      </c>
      <c r="B1676" s="33" t="s">
        <v>1961</v>
      </c>
      <c r="C1676" s="33">
        <v>82</v>
      </c>
      <c r="D1676" s="33" t="s">
        <v>956</v>
      </c>
      <c r="E1676" s="52" t="s">
        <v>45</v>
      </c>
      <c r="F1676" s="47" t="s">
        <v>2207</v>
      </c>
    </row>
    <row r="1677" spans="1:6" hidden="1" x14ac:dyDescent="0.2">
      <c r="A1677" s="44">
        <v>45810</v>
      </c>
      <c r="B1677" s="42" t="s">
        <v>1962</v>
      </c>
      <c r="C1677" s="42">
        <v>110</v>
      </c>
      <c r="D1677" s="42" t="s">
        <v>956</v>
      </c>
      <c r="E1677" s="51" t="s">
        <v>45</v>
      </c>
      <c r="F1677" s="45" t="s">
        <v>2207</v>
      </c>
    </row>
    <row r="1678" spans="1:6" hidden="1" x14ac:dyDescent="0.2">
      <c r="A1678" s="46">
        <v>45804</v>
      </c>
      <c r="B1678" s="48" t="s">
        <v>1955</v>
      </c>
      <c r="C1678" s="33">
        <v>783.8</v>
      </c>
      <c r="D1678" s="33" t="s">
        <v>956</v>
      </c>
      <c r="E1678" s="52" t="s">
        <v>45</v>
      </c>
      <c r="F1678" s="47" t="s">
        <v>2207</v>
      </c>
    </row>
    <row r="1679" spans="1:6" hidden="1" x14ac:dyDescent="0.2">
      <c r="A1679" s="44">
        <v>45797</v>
      </c>
      <c r="B1679" s="42" t="s">
        <v>1987</v>
      </c>
      <c r="C1679" s="42">
        <v>810</v>
      </c>
      <c r="D1679" s="42" t="s">
        <v>956</v>
      </c>
      <c r="E1679" s="51" t="s">
        <v>45</v>
      </c>
      <c r="F1679" s="45" t="s">
        <v>2207</v>
      </c>
    </row>
    <row r="1680" spans="1:6" hidden="1" x14ac:dyDescent="0.2">
      <c r="A1680" s="46">
        <v>45797</v>
      </c>
      <c r="B1680" s="48" t="s">
        <v>1988</v>
      </c>
      <c r="C1680" s="33">
        <v>693.52</v>
      </c>
      <c r="D1680" s="33" t="s">
        <v>956</v>
      </c>
      <c r="E1680" s="52" t="s">
        <v>45</v>
      </c>
      <c r="F1680" s="47" t="s">
        <v>2207</v>
      </c>
    </row>
    <row r="1681" spans="1:6" hidden="1" x14ac:dyDescent="0.2">
      <c r="A1681" s="44">
        <v>45781</v>
      </c>
      <c r="B1681" s="42" t="s">
        <v>2012</v>
      </c>
      <c r="C1681" s="42">
        <v>122.01</v>
      </c>
      <c r="D1681" s="42" t="s">
        <v>956</v>
      </c>
      <c r="E1681" s="51" t="s">
        <v>45</v>
      </c>
      <c r="F1681" s="45" t="s">
        <v>2207</v>
      </c>
    </row>
    <row r="1682" spans="1:6" hidden="1" x14ac:dyDescent="0.2">
      <c r="A1682" s="46">
        <v>45781</v>
      </c>
      <c r="B1682" s="33" t="s">
        <v>1626</v>
      </c>
      <c r="C1682" s="33">
        <v>6</v>
      </c>
      <c r="D1682" s="33" t="s">
        <v>956</v>
      </c>
      <c r="E1682" s="52" t="s">
        <v>45</v>
      </c>
      <c r="F1682" s="47" t="s">
        <v>2207</v>
      </c>
    </row>
    <row r="1683" spans="1:6" hidden="1" x14ac:dyDescent="0.2">
      <c r="A1683" s="44">
        <v>45781</v>
      </c>
      <c r="B1683" s="42" t="s">
        <v>1626</v>
      </c>
      <c r="C1683" s="42">
        <v>6</v>
      </c>
      <c r="D1683" s="42" t="s">
        <v>956</v>
      </c>
      <c r="E1683" s="51" t="s">
        <v>45</v>
      </c>
      <c r="F1683" s="45" t="s">
        <v>2207</v>
      </c>
    </row>
    <row r="1684" spans="1:6" hidden="1" x14ac:dyDescent="0.2">
      <c r="A1684" s="46">
        <v>45768</v>
      </c>
      <c r="B1684" s="33" t="s">
        <v>2030</v>
      </c>
      <c r="C1684" s="33">
        <v>55.96</v>
      </c>
      <c r="D1684" s="33" t="s">
        <v>956</v>
      </c>
      <c r="E1684" s="52" t="s">
        <v>45</v>
      </c>
      <c r="F1684" s="47" t="s">
        <v>2207</v>
      </c>
    </row>
    <row r="1685" spans="1:6" hidden="1" x14ac:dyDescent="0.2">
      <c r="A1685" s="44">
        <v>45752</v>
      </c>
      <c r="B1685" s="42" t="s">
        <v>2047</v>
      </c>
      <c r="C1685" s="42">
        <v>6.59</v>
      </c>
      <c r="D1685" s="42" t="s">
        <v>956</v>
      </c>
      <c r="E1685" s="51" t="s">
        <v>45</v>
      </c>
      <c r="F1685" s="45" t="s">
        <v>2207</v>
      </c>
    </row>
    <row r="1686" spans="1:6" hidden="1" x14ac:dyDescent="0.2">
      <c r="A1686" s="46">
        <v>45752</v>
      </c>
      <c r="B1686" s="33" t="s">
        <v>2047</v>
      </c>
      <c r="C1686" s="33">
        <v>18.84</v>
      </c>
      <c r="D1686" s="33" t="s">
        <v>956</v>
      </c>
      <c r="E1686" s="52" t="s">
        <v>45</v>
      </c>
      <c r="F1686" s="47" t="s">
        <v>2207</v>
      </c>
    </row>
    <row r="1687" spans="1:6" hidden="1" x14ac:dyDescent="0.2">
      <c r="A1687" s="44">
        <v>45752</v>
      </c>
      <c r="B1687" s="42" t="s">
        <v>2049</v>
      </c>
      <c r="C1687" s="42">
        <v>1031.58</v>
      </c>
      <c r="D1687" s="42" t="s">
        <v>956</v>
      </c>
      <c r="E1687" s="51" t="s">
        <v>45</v>
      </c>
      <c r="F1687" s="45" t="s">
        <v>2207</v>
      </c>
    </row>
    <row r="1688" spans="1:6" hidden="1" x14ac:dyDescent="0.2">
      <c r="A1688" s="46">
        <v>45752</v>
      </c>
      <c r="B1688" s="33" t="s">
        <v>2050</v>
      </c>
      <c r="C1688" s="33">
        <v>14.25</v>
      </c>
      <c r="D1688" s="33" t="s">
        <v>956</v>
      </c>
      <c r="E1688" s="52" t="s">
        <v>45</v>
      </c>
      <c r="F1688" s="47" t="s">
        <v>2207</v>
      </c>
    </row>
    <row r="1689" spans="1:6" hidden="1" x14ac:dyDescent="0.2">
      <c r="A1689" s="44">
        <v>45750</v>
      </c>
      <c r="B1689" s="42" t="s">
        <v>2051</v>
      </c>
      <c r="C1689" s="42">
        <v>1.17</v>
      </c>
      <c r="D1689" s="42" t="s">
        <v>956</v>
      </c>
      <c r="E1689" s="51" t="s">
        <v>45</v>
      </c>
      <c r="F1689" s="45" t="s">
        <v>2207</v>
      </c>
    </row>
    <row r="1690" spans="1:6" hidden="1" x14ac:dyDescent="0.2">
      <c r="A1690" s="46">
        <v>45750</v>
      </c>
      <c r="B1690" s="33" t="s">
        <v>2052</v>
      </c>
      <c r="C1690" s="33">
        <v>35.89</v>
      </c>
      <c r="D1690" s="33" t="s">
        <v>956</v>
      </c>
      <c r="E1690" s="52" t="s">
        <v>45</v>
      </c>
      <c r="F1690" s="47" t="s">
        <v>2207</v>
      </c>
    </row>
    <row r="1691" spans="1:6" hidden="1" x14ac:dyDescent="0.2">
      <c r="A1691" s="44">
        <v>45750</v>
      </c>
      <c r="B1691" s="42" t="s">
        <v>2052</v>
      </c>
      <c r="C1691" s="42">
        <v>5.85</v>
      </c>
      <c r="D1691" s="42" t="s">
        <v>956</v>
      </c>
      <c r="E1691" s="51" t="s">
        <v>45</v>
      </c>
      <c r="F1691" s="45" t="s">
        <v>2207</v>
      </c>
    </row>
    <row r="1692" spans="1:6" hidden="1" x14ac:dyDescent="0.2">
      <c r="A1692" s="46">
        <v>45747</v>
      </c>
      <c r="B1692" s="33" t="s">
        <v>2055</v>
      </c>
      <c r="C1692" s="33">
        <v>2083.13</v>
      </c>
      <c r="D1692" s="33" t="s">
        <v>956</v>
      </c>
      <c r="E1692" s="52" t="s">
        <v>45</v>
      </c>
      <c r="F1692" s="47" t="s">
        <v>2207</v>
      </c>
    </row>
    <row r="1693" spans="1:6" hidden="1" x14ac:dyDescent="0.2">
      <c r="A1693" s="44">
        <v>45745</v>
      </c>
      <c r="B1693" s="42" t="s">
        <v>2058</v>
      </c>
      <c r="C1693" s="42">
        <v>110</v>
      </c>
      <c r="D1693" s="42" t="s">
        <v>956</v>
      </c>
      <c r="E1693" s="51" t="s">
        <v>45</v>
      </c>
      <c r="F1693" s="45" t="s">
        <v>2207</v>
      </c>
    </row>
    <row r="1694" spans="1:6" hidden="1" x14ac:dyDescent="0.2">
      <c r="A1694" s="46">
        <v>45742</v>
      </c>
      <c r="B1694" s="33" t="s">
        <v>2061</v>
      </c>
      <c r="C1694" s="33">
        <v>91.31</v>
      </c>
      <c r="D1694" s="33" t="s">
        <v>956</v>
      </c>
      <c r="E1694" s="52" t="s">
        <v>45</v>
      </c>
      <c r="F1694" s="47" t="s">
        <v>2207</v>
      </c>
    </row>
    <row r="1695" spans="1:6" hidden="1" x14ac:dyDescent="0.2">
      <c r="A1695" s="44">
        <v>45740</v>
      </c>
      <c r="B1695" s="42" t="s">
        <v>2066</v>
      </c>
      <c r="C1695" s="42">
        <v>372.45</v>
      </c>
      <c r="D1695" s="42" t="s">
        <v>956</v>
      </c>
      <c r="E1695" s="51" t="s">
        <v>45</v>
      </c>
      <c r="F1695" s="45" t="s">
        <v>2207</v>
      </c>
    </row>
    <row r="1696" spans="1:6" hidden="1" x14ac:dyDescent="0.2">
      <c r="A1696" s="46">
        <v>45740</v>
      </c>
      <c r="B1696" s="33" t="s">
        <v>2068</v>
      </c>
      <c r="C1696" s="33">
        <v>29.11</v>
      </c>
      <c r="D1696" s="33" t="s">
        <v>956</v>
      </c>
      <c r="E1696" s="52" t="s">
        <v>45</v>
      </c>
      <c r="F1696" s="47" t="s">
        <v>2207</v>
      </c>
    </row>
    <row r="1697" spans="1:6" hidden="1" x14ac:dyDescent="0.2">
      <c r="A1697" s="44">
        <v>45726</v>
      </c>
      <c r="B1697" s="42" t="s">
        <v>2089</v>
      </c>
      <c r="C1697" s="42">
        <v>68</v>
      </c>
      <c r="D1697" s="42" t="s">
        <v>956</v>
      </c>
      <c r="E1697" s="51" t="s">
        <v>45</v>
      </c>
      <c r="F1697" s="45" t="s">
        <v>2207</v>
      </c>
    </row>
    <row r="1698" spans="1:6" hidden="1" x14ac:dyDescent="0.2">
      <c r="A1698" s="46">
        <v>45725</v>
      </c>
      <c r="B1698" s="33" t="s">
        <v>2094</v>
      </c>
      <c r="C1698" s="33">
        <v>82</v>
      </c>
      <c r="D1698" s="33" t="s">
        <v>956</v>
      </c>
      <c r="E1698" s="52" t="s">
        <v>45</v>
      </c>
      <c r="F1698" s="47" t="s">
        <v>2207</v>
      </c>
    </row>
    <row r="1699" spans="1:6" hidden="1" x14ac:dyDescent="0.2">
      <c r="A1699" s="44">
        <v>45724</v>
      </c>
      <c r="B1699" s="42" t="s">
        <v>1626</v>
      </c>
      <c r="C1699" s="42">
        <v>6</v>
      </c>
      <c r="D1699" s="42" t="s">
        <v>956</v>
      </c>
      <c r="E1699" s="51" t="s">
        <v>45</v>
      </c>
      <c r="F1699" s="45" t="s">
        <v>2207</v>
      </c>
    </row>
    <row r="1700" spans="1:6" hidden="1" x14ac:dyDescent="0.2">
      <c r="A1700" s="46">
        <v>45724</v>
      </c>
      <c r="B1700" s="33" t="s">
        <v>2099</v>
      </c>
      <c r="C1700" s="33">
        <v>25.89</v>
      </c>
      <c r="D1700" s="33" t="s">
        <v>956</v>
      </c>
      <c r="E1700" s="52" t="s">
        <v>45</v>
      </c>
      <c r="F1700" s="47" t="s">
        <v>2207</v>
      </c>
    </row>
    <row r="1701" spans="1:6" hidden="1" x14ac:dyDescent="0.2">
      <c r="A1701" s="44">
        <v>45724</v>
      </c>
      <c r="B1701" s="42" t="s">
        <v>2099</v>
      </c>
      <c r="C1701" s="42">
        <v>25.89</v>
      </c>
      <c r="D1701" s="42" t="s">
        <v>956</v>
      </c>
      <c r="E1701" s="51" t="s">
        <v>45</v>
      </c>
      <c r="F1701" s="45" t="s">
        <v>2207</v>
      </c>
    </row>
    <row r="1702" spans="1:6" hidden="1" x14ac:dyDescent="0.2">
      <c r="A1702" s="46">
        <v>45724</v>
      </c>
      <c r="B1702" s="33" t="s">
        <v>2099</v>
      </c>
      <c r="C1702" s="33">
        <v>25.89</v>
      </c>
      <c r="D1702" s="33" t="s">
        <v>956</v>
      </c>
      <c r="E1702" s="52" t="s">
        <v>45</v>
      </c>
      <c r="F1702" s="47" t="s">
        <v>2207</v>
      </c>
    </row>
    <row r="1703" spans="1:6" hidden="1" x14ac:dyDescent="0.2">
      <c r="A1703" s="44">
        <v>45659</v>
      </c>
      <c r="B1703" s="42" t="s">
        <v>2200</v>
      </c>
      <c r="C1703" s="42">
        <v>11.99</v>
      </c>
      <c r="D1703" s="42" t="s">
        <v>956</v>
      </c>
      <c r="E1703" s="51" t="s">
        <v>45</v>
      </c>
      <c r="F1703" s="45" t="s">
        <v>2207</v>
      </c>
    </row>
    <row r="1704" spans="1:6" hidden="1" x14ac:dyDescent="0.2">
      <c r="A1704" s="46">
        <v>45941</v>
      </c>
      <c r="B1704" s="33" t="s">
        <v>996</v>
      </c>
      <c r="C1704" s="33">
        <v>47</v>
      </c>
      <c r="D1704" s="33" t="s">
        <v>956</v>
      </c>
      <c r="E1704" s="52" t="s">
        <v>45</v>
      </c>
      <c r="F1704" s="47" t="s">
        <v>2207</v>
      </c>
    </row>
    <row r="1705" spans="1:6" hidden="1" x14ac:dyDescent="0.2">
      <c r="A1705" s="44">
        <v>45965</v>
      </c>
      <c r="B1705" s="42" t="s">
        <v>1131</v>
      </c>
      <c r="C1705" s="42">
        <v>8.15</v>
      </c>
      <c r="D1705" s="42" t="s">
        <v>956</v>
      </c>
      <c r="E1705" s="51" t="s">
        <v>56</v>
      </c>
      <c r="F1705" s="45" t="s">
        <v>2207</v>
      </c>
    </row>
    <row r="1706" spans="1:6" hidden="1" x14ac:dyDescent="0.2">
      <c r="A1706" s="46">
        <v>45944</v>
      </c>
      <c r="B1706" s="33" t="s">
        <v>1103</v>
      </c>
      <c r="C1706" s="33">
        <v>273.94</v>
      </c>
      <c r="D1706" s="33" t="s">
        <v>956</v>
      </c>
      <c r="E1706" s="52" t="s">
        <v>45</v>
      </c>
      <c r="F1706" s="47" t="s">
        <v>2207</v>
      </c>
    </row>
    <row r="1707" spans="1:6" hidden="1" x14ac:dyDescent="0.2">
      <c r="A1707" s="44">
        <v>45987</v>
      </c>
      <c r="B1707" s="42" t="s">
        <v>1037</v>
      </c>
      <c r="C1707" s="42">
        <v>590.66</v>
      </c>
      <c r="D1707" s="42" t="s">
        <v>956</v>
      </c>
      <c r="E1707" s="51" t="s">
        <v>6</v>
      </c>
      <c r="F1707" s="45" t="s">
        <v>2207</v>
      </c>
    </row>
    <row r="1708" spans="1:6" hidden="1" x14ac:dyDescent="0.2">
      <c r="A1708" s="46">
        <v>45993</v>
      </c>
      <c r="B1708" s="33" t="s">
        <v>1512</v>
      </c>
      <c r="C1708" s="33">
        <v>-14014.11</v>
      </c>
      <c r="D1708" s="33" t="s">
        <v>2450</v>
      </c>
      <c r="E1708" s="52" t="s">
        <v>2450</v>
      </c>
      <c r="F1708" s="47" t="s">
        <v>2207</v>
      </c>
    </row>
    <row r="1709" spans="1:6" hidden="1" x14ac:dyDescent="0.2">
      <c r="A1709" s="44">
        <v>45702</v>
      </c>
      <c r="B1709" s="42" t="s">
        <v>2125</v>
      </c>
      <c r="C1709" s="42">
        <v>-1029.3</v>
      </c>
      <c r="D1709" s="42" t="s">
        <v>1170</v>
      </c>
      <c r="E1709" s="51" t="s">
        <v>45</v>
      </c>
      <c r="F1709" s="45" t="s">
        <v>2207</v>
      </c>
    </row>
    <row r="1710" spans="1:6" hidden="1" x14ac:dyDescent="0.2">
      <c r="A1710" s="46">
        <v>45695</v>
      </c>
      <c r="B1710" s="48" t="s">
        <v>2130</v>
      </c>
      <c r="C1710" s="33">
        <v>-208.97</v>
      </c>
      <c r="D1710" s="33" t="s">
        <v>2450</v>
      </c>
      <c r="E1710" s="52" t="s">
        <v>2450</v>
      </c>
      <c r="F1710" s="47" t="s">
        <v>2207</v>
      </c>
    </row>
    <row r="1711" spans="1:6" hidden="1" x14ac:dyDescent="0.2">
      <c r="A1711" s="44">
        <v>45989</v>
      </c>
      <c r="B1711" s="42" t="s">
        <v>1518</v>
      </c>
      <c r="C1711" s="42">
        <v>-88.27</v>
      </c>
      <c r="D1711" s="42" t="s">
        <v>514</v>
      </c>
      <c r="E1711" s="51" t="s">
        <v>6</v>
      </c>
      <c r="F1711" s="45" t="s">
        <v>2207</v>
      </c>
    </row>
    <row r="1712" spans="1:6" hidden="1" x14ac:dyDescent="0.2">
      <c r="A1712" s="46">
        <v>45889</v>
      </c>
      <c r="B1712" s="33" t="s">
        <v>1706</v>
      </c>
      <c r="C1712" s="33">
        <v>-76.14</v>
      </c>
      <c r="D1712" s="33" t="s">
        <v>2450</v>
      </c>
      <c r="E1712" s="52" t="s">
        <v>2450</v>
      </c>
      <c r="F1712" s="47" t="s">
        <v>2207</v>
      </c>
    </row>
    <row r="1713" spans="1:6" hidden="1" x14ac:dyDescent="0.2">
      <c r="A1713" s="44">
        <v>45855</v>
      </c>
      <c r="B1713" s="42" t="s">
        <v>1831</v>
      </c>
      <c r="C1713" s="42">
        <v>-37.520000000000003</v>
      </c>
      <c r="D1713" s="42" t="s">
        <v>2450</v>
      </c>
      <c r="E1713" s="51" t="s">
        <v>2450</v>
      </c>
      <c r="F1713" s="45" t="s">
        <v>2207</v>
      </c>
    </row>
    <row r="1714" spans="1:6" hidden="1" x14ac:dyDescent="0.2">
      <c r="A1714" s="46">
        <v>45742</v>
      </c>
      <c r="B1714" s="33" t="s">
        <v>2062</v>
      </c>
      <c r="C1714" s="33">
        <v>-25</v>
      </c>
      <c r="D1714" s="33" t="s">
        <v>2450</v>
      </c>
      <c r="E1714" s="52" t="s">
        <v>2450</v>
      </c>
      <c r="F1714" s="47" t="s">
        <v>2207</v>
      </c>
    </row>
    <row r="1715" spans="1:6" hidden="1" x14ac:dyDescent="0.2">
      <c r="A1715" s="44">
        <v>45742</v>
      </c>
      <c r="B1715" s="42" t="s">
        <v>2063</v>
      </c>
      <c r="C1715" s="42">
        <v>-25</v>
      </c>
      <c r="D1715" s="42" t="s">
        <v>2450</v>
      </c>
      <c r="E1715" s="51" t="s">
        <v>2450</v>
      </c>
      <c r="F1715" s="45" t="s">
        <v>2207</v>
      </c>
    </row>
    <row r="1716" spans="1:6" hidden="1" x14ac:dyDescent="0.2">
      <c r="A1716" s="46">
        <v>45872</v>
      </c>
      <c r="B1716" s="48" t="s">
        <v>1752</v>
      </c>
      <c r="C1716" s="33">
        <v>-22.04</v>
      </c>
      <c r="D1716" s="33" t="s">
        <v>2450</v>
      </c>
      <c r="E1716" s="52" t="s">
        <v>2450</v>
      </c>
      <c r="F1716" s="47" t="s">
        <v>2207</v>
      </c>
    </row>
    <row r="1717" spans="1:6" hidden="1" x14ac:dyDescent="0.2">
      <c r="A1717" s="44">
        <v>45858</v>
      </c>
      <c r="B1717" s="42" t="s">
        <v>1821</v>
      </c>
      <c r="C1717" s="42">
        <v>-5.52</v>
      </c>
      <c r="D1717" s="42" t="s">
        <v>2450</v>
      </c>
      <c r="E1717" s="51" t="s">
        <v>2450</v>
      </c>
      <c r="F1717" s="45" t="s">
        <v>2207</v>
      </c>
    </row>
    <row r="1718" spans="1:6" hidden="1" x14ac:dyDescent="0.2">
      <c r="A1718" s="46">
        <v>45870</v>
      </c>
      <c r="B1718" s="33" t="s">
        <v>1762</v>
      </c>
      <c r="C1718" s="33">
        <v>0.01</v>
      </c>
      <c r="D1718" s="33" t="s">
        <v>2450</v>
      </c>
      <c r="E1718" s="52" t="s">
        <v>2450</v>
      </c>
      <c r="F1718" s="47" t="s">
        <v>2207</v>
      </c>
    </row>
    <row r="1719" spans="1:6" hidden="1" x14ac:dyDescent="0.2">
      <c r="A1719" s="44">
        <v>45901</v>
      </c>
      <c r="B1719" s="42" t="s">
        <v>1670</v>
      </c>
      <c r="C1719" s="42">
        <v>0.01</v>
      </c>
      <c r="D1719" s="42" t="s">
        <v>2450</v>
      </c>
      <c r="E1719" s="51" t="s">
        <v>2450</v>
      </c>
      <c r="F1719" s="45" t="s">
        <v>2207</v>
      </c>
    </row>
    <row r="1720" spans="1:6" hidden="1" x14ac:dyDescent="0.2">
      <c r="A1720" s="46">
        <v>45931</v>
      </c>
      <c r="B1720" s="48" t="s">
        <v>1608</v>
      </c>
      <c r="C1720" s="33">
        <v>0.01</v>
      </c>
      <c r="D1720" s="33" t="s">
        <v>2450</v>
      </c>
      <c r="E1720" s="52" t="s">
        <v>2450</v>
      </c>
      <c r="F1720" s="47" t="s">
        <v>2207</v>
      </c>
    </row>
    <row r="1721" spans="1:6" hidden="1" x14ac:dyDescent="0.2">
      <c r="A1721" s="44">
        <v>45869</v>
      </c>
      <c r="B1721" s="42" t="s">
        <v>1550</v>
      </c>
      <c r="C1721" s="42">
        <v>0.5</v>
      </c>
      <c r="D1721" s="42" t="s">
        <v>2450</v>
      </c>
      <c r="E1721" s="51" t="s">
        <v>2450</v>
      </c>
      <c r="F1721" s="45" t="s">
        <v>2207</v>
      </c>
    </row>
    <row r="1722" spans="1:6" hidden="1" x14ac:dyDescent="0.2">
      <c r="A1722" s="46">
        <v>45875</v>
      </c>
      <c r="B1722" s="33" t="s">
        <v>1550</v>
      </c>
      <c r="C1722" s="33">
        <v>0.5</v>
      </c>
      <c r="D1722" s="33" t="s">
        <v>2450</v>
      </c>
      <c r="E1722" s="52" t="s">
        <v>2450</v>
      </c>
      <c r="F1722" s="47" t="s">
        <v>2207</v>
      </c>
    </row>
    <row r="1723" spans="1:6" hidden="1" x14ac:dyDescent="0.2">
      <c r="A1723" s="44">
        <v>45858</v>
      </c>
      <c r="B1723" s="42" t="s">
        <v>1817</v>
      </c>
      <c r="C1723" s="42">
        <v>0.8</v>
      </c>
      <c r="D1723" s="42" t="s">
        <v>2450</v>
      </c>
      <c r="E1723" s="51" t="s">
        <v>2450</v>
      </c>
      <c r="F1723" s="45" t="s">
        <v>2207</v>
      </c>
    </row>
    <row r="1724" spans="1:6" hidden="1" x14ac:dyDescent="0.2">
      <c r="A1724" s="46">
        <v>45882</v>
      </c>
      <c r="B1724" s="33" t="s">
        <v>1550</v>
      </c>
      <c r="C1724" s="33">
        <v>1</v>
      </c>
      <c r="D1724" s="33" t="s">
        <v>2450</v>
      </c>
      <c r="E1724" s="52" t="s">
        <v>2450</v>
      </c>
      <c r="F1724" s="47" t="s">
        <v>2207</v>
      </c>
    </row>
    <row r="1725" spans="1:6" hidden="1" x14ac:dyDescent="0.2">
      <c r="A1725" s="44">
        <v>45880</v>
      </c>
      <c r="B1725" s="42" t="s">
        <v>1727</v>
      </c>
      <c r="C1725" s="42">
        <v>1.25</v>
      </c>
      <c r="D1725" s="42" t="s">
        <v>2450</v>
      </c>
      <c r="E1725" s="51" t="s">
        <v>2450</v>
      </c>
      <c r="F1725" s="45" t="s">
        <v>2207</v>
      </c>
    </row>
    <row r="1726" spans="1:6" hidden="1" x14ac:dyDescent="0.2">
      <c r="A1726" s="46">
        <v>45880</v>
      </c>
      <c r="B1726" s="33" t="s">
        <v>1727</v>
      </c>
      <c r="C1726" s="33">
        <v>1.25</v>
      </c>
      <c r="D1726" s="33" t="s">
        <v>2450</v>
      </c>
      <c r="E1726" s="52" t="s">
        <v>2450</v>
      </c>
      <c r="F1726" s="47" t="s">
        <v>2207</v>
      </c>
    </row>
    <row r="1727" spans="1:6" hidden="1" x14ac:dyDescent="0.2">
      <c r="A1727" s="44">
        <v>45881</v>
      </c>
      <c r="B1727" s="42" t="s">
        <v>1727</v>
      </c>
      <c r="C1727" s="42">
        <v>1.25</v>
      </c>
      <c r="D1727" s="42" t="s">
        <v>2450</v>
      </c>
      <c r="E1727" s="51" t="s">
        <v>2450</v>
      </c>
      <c r="F1727" s="45" t="s">
        <v>2207</v>
      </c>
    </row>
    <row r="1728" spans="1:6" hidden="1" x14ac:dyDescent="0.2">
      <c r="A1728" s="46">
        <v>45883</v>
      </c>
      <c r="B1728" s="33" t="s">
        <v>1727</v>
      </c>
      <c r="C1728" s="33">
        <v>1.25</v>
      </c>
      <c r="D1728" s="33" t="s">
        <v>2450</v>
      </c>
      <c r="E1728" s="52" t="s">
        <v>2450</v>
      </c>
      <c r="F1728" s="47" t="s">
        <v>2207</v>
      </c>
    </row>
    <row r="1729" spans="1:6" hidden="1" x14ac:dyDescent="0.2">
      <c r="A1729" s="44">
        <v>45883</v>
      </c>
      <c r="B1729" s="42" t="s">
        <v>1727</v>
      </c>
      <c r="C1729" s="42">
        <v>1.25</v>
      </c>
      <c r="D1729" s="42" t="s">
        <v>2450</v>
      </c>
      <c r="E1729" s="51" t="s">
        <v>2450</v>
      </c>
      <c r="F1729" s="45" t="s">
        <v>2207</v>
      </c>
    </row>
    <row r="1730" spans="1:6" hidden="1" x14ac:dyDescent="0.2">
      <c r="A1730" s="46">
        <v>45880</v>
      </c>
      <c r="B1730" s="33" t="s">
        <v>1727</v>
      </c>
      <c r="C1730" s="33">
        <v>1.35</v>
      </c>
      <c r="D1730" s="33" t="s">
        <v>2450</v>
      </c>
      <c r="E1730" s="52" t="s">
        <v>2450</v>
      </c>
      <c r="F1730" s="47" t="s">
        <v>2207</v>
      </c>
    </row>
    <row r="1731" spans="1:6" hidden="1" x14ac:dyDescent="0.2">
      <c r="A1731" s="44">
        <v>45869</v>
      </c>
      <c r="B1731" s="42" t="s">
        <v>1550</v>
      </c>
      <c r="C1731" s="42">
        <v>1.5</v>
      </c>
      <c r="D1731" s="42" t="s">
        <v>2450</v>
      </c>
      <c r="E1731" s="51" t="s">
        <v>2450</v>
      </c>
      <c r="F1731" s="45" t="s">
        <v>2207</v>
      </c>
    </row>
    <row r="1732" spans="1:6" hidden="1" x14ac:dyDescent="0.2">
      <c r="A1732" s="46">
        <v>45881</v>
      </c>
      <c r="B1732" s="33" t="s">
        <v>1550</v>
      </c>
      <c r="C1732" s="33">
        <v>1.5</v>
      </c>
      <c r="D1732" s="33" t="s">
        <v>2450</v>
      </c>
      <c r="E1732" s="52" t="s">
        <v>2450</v>
      </c>
      <c r="F1732" s="47" t="s">
        <v>2207</v>
      </c>
    </row>
    <row r="1733" spans="1:6" hidden="1" x14ac:dyDescent="0.2">
      <c r="A1733" s="44">
        <v>45918</v>
      </c>
      <c r="B1733" s="42" t="s">
        <v>1642</v>
      </c>
      <c r="C1733" s="42">
        <v>1.5</v>
      </c>
      <c r="D1733" s="42" t="s">
        <v>2450</v>
      </c>
      <c r="E1733" s="51" t="s">
        <v>2450</v>
      </c>
      <c r="F1733" s="45" t="s">
        <v>2207</v>
      </c>
    </row>
    <row r="1734" spans="1:6" hidden="1" x14ac:dyDescent="0.2">
      <c r="A1734" s="46">
        <v>45881</v>
      </c>
      <c r="B1734" s="33" t="s">
        <v>1727</v>
      </c>
      <c r="C1734" s="33">
        <v>1.6</v>
      </c>
      <c r="D1734" s="33" t="s">
        <v>2450</v>
      </c>
      <c r="E1734" s="52" t="s">
        <v>2450</v>
      </c>
      <c r="F1734" s="47" t="s">
        <v>2207</v>
      </c>
    </row>
    <row r="1735" spans="1:6" hidden="1" x14ac:dyDescent="0.2">
      <c r="A1735" s="44">
        <v>45883</v>
      </c>
      <c r="B1735" s="42" t="s">
        <v>1727</v>
      </c>
      <c r="C1735" s="42">
        <v>1.6</v>
      </c>
      <c r="D1735" s="42" t="s">
        <v>2450</v>
      </c>
      <c r="E1735" s="51" t="s">
        <v>2450</v>
      </c>
      <c r="F1735" s="45" t="s">
        <v>2207</v>
      </c>
    </row>
    <row r="1736" spans="1:6" hidden="1" x14ac:dyDescent="0.2">
      <c r="A1736" s="46">
        <v>45898</v>
      </c>
      <c r="B1736" s="33" t="s">
        <v>1550</v>
      </c>
      <c r="C1736" s="33">
        <v>1.72</v>
      </c>
      <c r="D1736" s="33" t="s">
        <v>2450</v>
      </c>
      <c r="E1736" s="52" t="s">
        <v>2450</v>
      </c>
      <c r="F1736" s="47" t="s">
        <v>2207</v>
      </c>
    </row>
    <row r="1737" spans="1:6" hidden="1" x14ac:dyDescent="0.2">
      <c r="A1737" s="44">
        <v>45889</v>
      </c>
      <c r="B1737" s="42" t="s">
        <v>1550</v>
      </c>
      <c r="C1737" s="42">
        <v>2</v>
      </c>
      <c r="D1737" s="42" t="s">
        <v>2450</v>
      </c>
      <c r="E1737" s="51" t="s">
        <v>2450</v>
      </c>
      <c r="F1737" s="45" t="s">
        <v>2207</v>
      </c>
    </row>
    <row r="1738" spans="1:6" hidden="1" x14ac:dyDescent="0.2">
      <c r="A1738" s="46">
        <v>45868</v>
      </c>
      <c r="B1738" s="33" t="s">
        <v>1772</v>
      </c>
      <c r="C1738" s="33">
        <v>2.0299999999999998</v>
      </c>
      <c r="D1738" s="33" t="s">
        <v>956</v>
      </c>
      <c r="E1738" s="52" t="s">
        <v>45</v>
      </c>
      <c r="F1738" s="47" t="s">
        <v>2207</v>
      </c>
    </row>
    <row r="1739" spans="1:6" hidden="1" x14ac:dyDescent="0.2">
      <c r="A1739" s="44">
        <v>45866</v>
      </c>
      <c r="B1739" s="42" t="s">
        <v>1765</v>
      </c>
      <c r="C1739" s="42">
        <v>2.34</v>
      </c>
      <c r="D1739" s="42" t="s">
        <v>2450</v>
      </c>
      <c r="E1739" s="51" t="s">
        <v>2450</v>
      </c>
      <c r="F1739" s="45" t="s">
        <v>2207</v>
      </c>
    </row>
    <row r="1740" spans="1:6" hidden="1" x14ac:dyDescent="0.2">
      <c r="A1740" s="46">
        <v>45880</v>
      </c>
      <c r="B1740" s="33" t="s">
        <v>1727</v>
      </c>
      <c r="C1740" s="33">
        <v>2.35</v>
      </c>
      <c r="D1740" s="33" t="s">
        <v>2450</v>
      </c>
      <c r="E1740" s="52" t="s">
        <v>2450</v>
      </c>
      <c r="F1740" s="47" t="s">
        <v>2207</v>
      </c>
    </row>
    <row r="1741" spans="1:6" hidden="1" x14ac:dyDescent="0.2">
      <c r="A1741" s="44">
        <v>45880</v>
      </c>
      <c r="B1741" s="42" t="s">
        <v>1727</v>
      </c>
      <c r="C1741" s="42">
        <v>2.35</v>
      </c>
      <c r="D1741" s="42" t="s">
        <v>2450</v>
      </c>
      <c r="E1741" s="51" t="s">
        <v>2450</v>
      </c>
      <c r="F1741" s="45" t="s">
        <v>2207</v>
      </c>
    </row>
    <row r="1742" spans="1:6" hidden="1" x14ac:dyDescent="0.2">
      <c r="A1742" s="46">
        <v>45881</v>
      </c>
      <c r="B1742" s="33" t="s">
        <v>1727</v>
      </c>
      <c r="C1742" s="33">
        <v>2.35</v>
      </c>
      <c r="D1742" s="33" t="s">
        <v>2450</v>
      </c>
      <c r="E1742" s="52" t="s">
        <v>2450</v>
      </c>
      <c r="F1742" s="47" t="s">
        <v>2207</v>
      </c>
    </row>
    <row r="1743" spans="1:6" hidden="1" x14ac:dyDescent="0.2">
      <c r="A1743" s="44">
        <v>45883</v>
      </c>
      <c r="B1743" s="42" t="s">
        <v>1727</v>
      </c>
      <c r="C1743" s="42">
        <v>2.35</v>
      </c>
      <c r="D1743" s="42" t="s">
        <v>2450</v>
      </c>
      <c r="E1743" s="51" t="s">
        <v>2450</v>
      </c>
      <c r="F1743" s="45" t="s">
        <v>2207</v>
      </c>
    </row>
    <row r="1744" spans="1:6" hidden="1" x14ac:dyDescent="0.2">
      <c r="A1744" s="46">
        <v>45866</v>
      </c>
      <c r="B1744" s="33" t="s">
        <v>1786</v>
      </c>
      <c r="C1744" s="33">
        <v>2.72</v>
      </c>
      <c r="D1744" s="33" t="s">
        <v>2450</v>
      </c>
      <c r="E1744" s="52" t="s">
        <v>2450</v>
      </c>
      <c r="F1744" s="47" t="s">
        <v>2207</v>
      </c>
    </row>
    <row r="1745" spans="1:6" hidden="1" x14ac:dyDescent="0.2">
      <c r="A1745" s="44">
        <v>45881</v>
      </c>
      <c r="B1745" s="42" t="s">
        <v>1550</v>
      </c>
      <c r="C1745" s="42">
        <v>3</v>
      </c>
      <c r="D1745" s="42" t="s">
        <v>2450</v>
      </c>
      <c r="E1745" s="51" t="s">
        <v>2450</v>
      </c>
      <c r="F1745" s="45" t="s">
        <v>2207</v>
      </c>
    </row>
    <row r="1746" spans="1:6" hidden="1" x14ac:dyDescent="0.2">
      <c r="A1746" s="46">
        <v>45855</v>
      </c>
      <c r="B1746" s="33" t="s">
        <v>1662</v>
      </c>
      <c r="C1746" s="33">
        <v>3.18</v>
      </c>
      <c r="D1746" s="33" t="s">
        <v>2450</v>
      </c>
      <c r="E1746" s="52" t="s">
        <v>2450</v>
      </c>
      <c r="F1746" s="47" t="s">
        <v>2207</v>
      </c>
    </row>
    <row r="1747" spans="1:6" hidden="1" x14ac:dyDescent="0.2">
      <c r="A1747" s="44">
        <v>45880</v>
      </c>
      <c r="B1747" s="42" t="s">
        <v>1550</v>
      </c>
      <c r="C1747" s="42">
        <v>3.25</v>
      </c>
      <c r="D1747" s="42" t="s">
        <v>2450</v>
      </c>
      <c r="E1747" s="51" t="s">
        <v>2450</v>
      </c>
      <c r="F1747" s="45" t="s">
        <v>2207</v>
      </c>
    </row>
    <row r="1748" spans="1:6" hidden="1" x14ac:dyDescent="0.2">
      <c r="A1748" s="46">
        <v>45894</v>
      </c>
      <c r="B1748" s="33" t="s">
        <v>1694</v>
      </c>
      <c r="C1748" s="33">
        <v>3.5</v>
      </c>
      <c r="D1748" s="33" t="s">
        <v>2450</v>
      </c>
      <c r="E1748" s="52" t="s">
        <v>2450</v>
      </c>
      <c r="F1748" s="47" t="s">
        <v>2207</v>
      </c>
    </row>
    <row r="1749" spans="1:6" hidden="1" x14ac:dyDescent="0.2">
      <c r="A1749" s="44">
        <v>45928</v>
      </c>
      <c r="B1749" s="42" t="s">
        <v>1613</v>
      </c>
      <c r="C1749" s="42">
        <v>3.85</v>
      </c>
      <c r="D1749" s="42" t="s">
        <v>2450</v>
      </c>
      <c r="E1749" s="51" t="s">
        <v>2450</v>
      </c>
      <c r="F1749" s="45" t="s">
        <v>2207</v>
      </c>
    </row>
    <row r="1750" spans="1:6" hidden="1" x14ac:dyDescent="0.2">
      <c r="A1750" s="46">
        <v>45928</v>
      </c>
      <c r="B1750" s="33" t="s">
        <v>1613</v>
      </c>
      <c r="C1750" s="33">
        <v>4.4000000000000004</v>
      </c>
      <c r="D1750" s="33" t="s">
        <v>2450</v>
      </c>
      <c r="E1750" s="52" t="s">
        <v>2450</v>
      </c>
      <c r="F1750" s="47" t="s">
        <v>2207</v>
      </c>
    </row>
    <row r="1751" spans="1:6" hidden="1" x14ac:dyDescent="0.2">
      <c r="A1751" s="44">
        <v>45894</v>
      </c>
      <c r="B1751" s="42" t="s">
        <v>1621</v>
      </c>
      <c r="C1751" s="42">
        <v>4.6100000000000003</v>
      </c>
      <c r="D1751" s="42" t="s">
        <v>2450</v>
      </c>
      <c r="E1751" s="51" t="s">
        <v>2450</v>
      </c>
      <c r="F1751" s="45" t="s">
        <v>2207</v>
      </c>
    </row>
    <row r="1752" spans="1:6" hidden="1" x14ac:dyDescent="0.2">
      <c r="A1752" s="46">
        <v>45857</v>
      </c>
      <c r="B1752" s="33" t="s">
        <v>1662</v>
      </c>
      <c r="C1752" s="33">
        <v>4.7300000000000004</v>
      </c>
      <c r="D1752" s="33" t="s">
        <v>2450</v>
      </c>
      <c r="E1752" s="52" t="s">
        <v>2450</v>
      </c>
      <c r="F1752" s="47" t="s">
        <v>2207</v>
      </c>
    </row>
    <row r="1753" spans="1:6" hidden="1" x14ac:dyDescent="0.2">
      <c r="A1753" s="44">
        <v>45905</v>
      </c>
      <c r="B1753" s="42" t="s">
        <v>1662</v>
      </c>
      <c r="C1753" s="42">
        <v>4.7300000000000004</v>
      </c>
      <c r="D1753" s="42" t="s">
        <v>2450</v>
      </c>
      <c r="E1753" s="51" t="s">
        <v>2450</v>
      </c>
      <c r="F1753" s="45" t="s">
        <v>2207</v>
      </c>
    </row>
    <row r="1754" spans="1:6" hidden="1" x14ac:dyDescent="0.2">
      <c r="A1754" s="46">
        <v>45855</v>
      </c>
      <c r="B1754" s="33" t="s">
        <v>1794</v>
      </c>
      <c r="C1754" s="33">
        <v>4.99</v>
      </c>
      <c r="D1754" s="33" t="s">
        <v>956</v>
      </c>
      <c r="E1754" s="52" t="s">
        <v>45</v>
      </c>
      <c r="F1754" s="47" t="s">
        <v>2207</v>
      </c>
    </row>
    <row r="1755" spans="1:6" hidden="1" x14ac:dyDescent="0.2">
      <c r="A1755" s="44">
        <v>45886</v>
      </c>
      <c r="B1755" s="42" t="s">
        <v>1714</v>
      </c>
      <c r="C1755" s="42">
        <v>5.07</v>
      </c>
      <c r="D1755" s="42" t="s">
        <v>2450</v>
      </c>
      <c r="E1755" s="51" t="s">
        <v>2450</v>
      </c>
      <c r="F1755" s="45" t="s">
        <v>2207</v>
      </c>
    </row>
    <row r="1756" spans="1:6" hidden="1" x14ac:dyDescent="0.2">
      <c r="A1756" s="46">
        <v>45898</v>
      </c>
      <c r="B1756" s="48" t="s">
        <v>1681</v>
      </c>
      <c r="C1756" s="33">
        <v>5.24</v>
      </c>
      <c r="D1756" s="33" t="s">
        <v>2450</v>
      </c>
      <c r="E1756" s="52" t="s">
        <v>2450</v>
      </c>
      <c r="F1756" s="47" t="s">
        <v>2207</v>
      </c>
    </row>
    <row r="1757" spans="1:6" hidden="1" x14ac:dyDescent="0.2">
      <c r="A1757" s="44">
        <v>45885</v>
      </c>
      <c r="B1757" s="42" t="s">
        <v>1550</v>
      </c>
      <c r="C1757" s="42">
        <v>5.5</v>
      </c>
      <c r="D1757" s="42" t="s">
        <v>2450</v>
      </c>
      <c r="E1757" s="51" t="s">
        <v>2450</v>
      </c>
      <c r="F1757" s="45" t="s">
        <v>2207</v>
      </c>
    </row>
    <row r="1758" spans="1:6" hidden="1" x14ac:dyDescent="0.2">
      <c r="A1758" s="46">
        <v>45887</v>
      </c>
      <c r="B1758" s="33" t="s">
        <v>1550</v>
      </c>
      <c r="C1758" s="33">
        <v>5.5</v>
      </c>
      <c r="D1758" s="33" t="s">
        <v>2450</v>
      </c>
      <c r="E1758" s="52" t="s">
        <v>2450</v>
      </c>
      <c r="F1758" s="47" t="s">
        <v>2207</v>
      </c>
    </row>
    <row r="1759" spans="1:6" hidden="1" x14ac:dyDescent="0.2">
      <c r="A1759" s="44">
        <v>45896</v>
      </c>
      <c r="B1759" s="42" t="s">
        <v>1621</v>
      </c>
      <c r="C1759" s="42">
        <v>6.6</v>
      </c>
      <c r="D1759" s="42" t="s">
        <v>2450</v>
      </c>
      <c r="E1759" s="51" t="s">
        <v>2450</v>
      </c>
      <c r="F1759" s="45" t="s">
        <v>2207</v>
      </c>
    </row>
    <row r="1760" spans="1:6" hidden="1" x14ac:dyDescent="0.2">
      <c r="A1760" s="46">
        <v>45898</v>
      </c>
      <c r="B1760" s="33" t="s">
        <v>1621</v>
      </c>
      <c r="C1760" s="33">
        <v>6.6</v>
      </c>
      <c r="D1760" s="33" t="s">
        <v>2450</v>
      </c>
      <c r="E1760" s="52" t="s">
        <v>2450</v>
      </c>
      <c r="F1760" s="47" t="s">
        <v>2207</v>
      </c>
    </row>
    <row r="1761" spans="1:6" hidden="1" x14ac:dyDescent="0.2">
      <c r="A1761" s="44">
        <v>45879</v>
      </c>
      <c r="B1761" s="42" t="s">
        <v>1565</v>
      </c>
      <c r="C1761" s="42">
        <v>6.61</v>
      </c>
      <c r="D1761" s="42" t="s">
        <v>639</v>
      </c>
      <c r="E1761" s="51" t="s">
        <v>6</v>
      </c>
      <c r="F1761" s="45" t="s">
        <v>2207</v>
      </c>
    </row>
    <row r="1762" spans="1:6" hidden="1" x14ac:dyDescent="0.2">
      <c r="A1762" s="46">
        <v>45865</v>
      </c>
      <c r="B1762" s="33" t="s">
        <v>1764</v>
      </c>
      <c r="C1762" s="33">
        <v>6.63</v>
      </c>
      <c r="D1762" s="33" t="s">
        <v>2450</v>
      </c>
      <c r="E1762" s="52" t="s">
        <v>2450</v>
      </c>
      <c r="F1762" s="47" t="s">
        <v>2207</v>
      </c>
    </row>
    <row r="1763" spans="1:6" hidden="1" x14ac:dyDescent="0.2">
      <c r="A1763" s="44">
        <v>45870</v>
      </c>
      <c r="B1763" s="42" t="s">
        <v>1758</v>
      </c>
      <c r="C1763" s="42">
        <v>6.75</v>
      </c>
      <c r="D1763" s="42" t="s">
        <v>2450</v>
      </c>
      <c r="E1763" s="51" t="s">
        <v>2450</v>
      </c>
      <c r="F1763" s="45" t="s">
        <v>2207</v>
      </c>
    </row>
    <row r="1764" spans="1:6" hidden="1" x14ac:dyDescent="0.2">
      <c r="A1764" s="46">
        <v>45893</v>
      </c>
      <c r="B1764" s="33" t="s">
        <v>1695</v>
      </c>
      <c r="C1764" s="33">
        <v>6.75</v>
      </c>
      <c r="D1764" s="33" t="s">
        <v>2450</v>
      </c>
      <c r="E1764" s="52" t="s">
        <v>2450</v>
      </c>
      <c r="F1764" s="47" t="s">
        <v>2207</v>
      </c>
    </row>
    <row r="1765" spans="1:6" hidden="1" x14ac:dyDescent="0.2">
      <c r="A1765" s="44">
        <v>45869</v>
      </c>
      <c r="B1765" s="42" t="s">
        <v>1763</v>
      </c>
      <c r="C1765" s="42">
        <v>6.77</v>
      </c>
      <c r="D1765" s="42" t="s">
        <v>2450</v>
      </c>
      <c r="E1765" s="51" t="s">
        <v>2450</v>
      </c>
      <c r="F1765" s="45" t="s">
        <v>2207</v>
      </c>
    </row>
    <row r="1766" spans="1:6" hidden="1" x14ac:dyDescent="0.2">
      <c r="A1766" s="46">
        <v>45884</v>
      </c>
      <c r="B1766" s="33" t="s">
        <v>1719</v>
      </c>
      <c r="C1766" s="33">
        <v>6.79</v>
      </c>
      <c r="D1766" s="33" t="s">
        <v>2450</v>
      </c>
      <c r="E1766" s="52" t="s">
        <v>2450</v>
      </c>
      <c r="F1766" s="47" t="s">
        <v>2207</v>
      </c>
    </row>
    <row r="1767" spans="1:6" hidden="1" x14ac:dyDescent="0.2">
      <c r="A1767" s="44">
        <v>45866</v>
      </c>
      <c r="B1767" s="42" t="s">
        <v>1787</v>
      </c>
      <c r="C1767" s="42">
        <v>6.81</v>
      </c>
      <c r="D1767" s="42" t="s">
        <v>2450</v>
      </c>
      <c r="E1767" s="51" t="s">
        <v>2450</v>
      </c>
      <c r="F1767" s="45" t="s">
        <v>2207</v>
      </c>
    </row>
    <row r="1768" spans="1:6" hidden="1" x14ac:dyDescent="0.2">
      <c r="A1768" s="46">
        <v>45927</v>
      </c>
      <c r="B1768" s="33" t="s">
        <v>1618</v>
      </c>
      <c r="C1768" s="33">
        <v>7.24</v>
      </c>
      <c r="D1768" s="33" t="s">
        <v>5</v>
      </c>
      <c r="E1768" s="52" t="s">
        <v>45</v>
      </c>
      <c r="F1768" s="47" t="s">
        <v>2207</v>
      </c>
    </row>
    <row r="1769" spans="1:6" hidden="1" x14ac:dyDescent="0.2">
      <c r="A1769" s="44">
        <v>45856</v>
      </c>
      <c r="B1769" s="42" t="s">
        <v>1819</v>
      </c>
      <c r="C1769" s="42">
        <v>7.25</v>
      </c>
      <c r="D1769" s="42" t="s">
        <v>2450</v>
      </c>
      <c r="E1769" s="51" t="s">
        <v>2450</v>
      </c>
      <c r="F1769" s="45" t="s">
        <v>2207</v>
      </c>
    </row>
    <row r="1770" spans="1:6" hidden="1" x14ac:dyDescent="0.2">
      <c r="A1770" s="46">
        <v>45899</v>
      </c>
      <c r="B1770" s="33" t="s">
        <v>1675</v>
      </c>
      <c r="C1770" s="33">
        <v>7.33</v>
      </c>
      <c r="D1770" s="33" t="s">
        <v>2450</v>
      </c>
      <c r="E1770" s="52" t="s">
        <v>2450</v>
      </c>
      <c r="F1770" s="47" t="s">
        <v>2207</v>
      </c>
    </row>
    <row r="1771" spans="1:6" hidden="1" x14ac:dyDescent="0.2">
      <c r="A1771" s="44">
        <v>45908</v>
      </c>
      <c r="B1771" s="42" t="s">
        <v>1658</v>
      </c>
      <c r="C1771" s="42">
        <v>7.7</v>
      </c>
      <c r="D1771" s="42" t="s">
        <v>512</v>
      </c>
      <c r="E1771" s="51" t="s">
        <v>45</v>
      </c>
      <c r="F1771" s="45" t="s">
        <v>2207</v>
      </c>
    </row>
    <row r="1772" spans="1:6" hidden="1" x14ac:dyDescent="0.2">
      <c r="A1772" s="46">
        <v>45867</v>
      </c>
      <c r="B1772" s="33" t="s">
        <v>1778</v>
      </c>
      <c r="C1772" s="33">
        <v>7.83</v>
      </c>
      <c r="D1772" s="33" t="s">
        <v>956</v>
      </c>
      <c r="E1772" s="52" t="s">
        <v>45</v>
      </c>
      <c r="F1772" s="47" t="s">
        <v>2207</v>
      </c>
    </row>
    <row r="1773" spans="1:6" hidden="1" x14ac:dyDescent="0.2">
      <c r="A1773" s="44">
        <v>45890</v>
      </c>
      <c r="B1773" s="42" t="s">
        <v>1701</v>
      </c>
      <c r="C1773" s="42">
        <v>7.9</v>
      </c>
      <c r="D1773" s="42" t="s">
        <v>2450</v>
      </c>
      <c r="E1773" s="51" t="s">
        <v>2450</v>
      </c>
      <c r="F1773" s="45" t="s">
        <v>2207</v>
      </c>
    </row>
    <row r="1774" spans="1:6" hidden="1" x14ac:dyDescent="0.2">
      <c r="A1774" s="46">
        <v>45862</v>
      </c>
      <c r="B1774" s="33" t="s">
        <v>1803</v>
      </c>
      <c r="C1774" s="33">
        <v>8.01</v>
      </c>
      <c r="D1774" s="33" t="s">
        <v>2450</v>
      </c>
      <c r="E1774" s="52" t="s">
        <v>2450</v>
      </c>
      <c r="F1774" s="47" t="s">
        <v>2207</v>
      </c>
    </row>
    <row r="1775" spans="1:6" hidden="1" x14ac:dyDescent="0.2">
      <c r="A1775" s="44">
        <v>45869</v>
      </c>
      <c r="B1775" s="42" t="s">
        <v>1764</v>
      </c>
      <c r="C1775" s="42">
        <v>8.0500000000000007</v>
      </c>
      <c r="D1775" s="42" t="s">
        <v>2450</v>
      </c>
      <c r="E1775" s="51" t="s">
        <v>2450</v>
      </c>
      <c r="F1775" s="45" t="s">
        <v>2207</v>
      </c>
    </row>
    <row r="1776" spans="1:6" hidden="1" x14ac:dyDescent="0.2">
      <c r="A1776" s="46">
        <v>45868</v>
      </c>
      <c r="B1776" s="33" t="s">
        <v>1765</v>
      </c>
      <c r="C1776" s="33">
        <v>8.09</v>
      </c>
      <c r="D1776" s="33" t="s">
        <v>2450</v>
      </c>
      <c r="E1776" s="52" t="s">
        <v>2450</v>
      </c>
      <c r="F1776" s="47" t="s">
        <v>2207</v>
      </c>
    </row>
    <row r="1777" spans="1:6" hidden="1" x14ac:dyDescent="0.2">
      <c r="A1777" s="44">
        <v>45866</v>
      </c>
      <c r="B1777" s="42" t="s">
        <v>1790</v>
      </c>
      <c r="C1777" s="42">
        <v>8.17</v>
      </c>
      <c r="D1777" s="42" t="s">
        <v>2450</v>
      </c>
      <c r="E1777" s="51" t="s">
        <v>2450</v>
      </c>
      <c r="F1777" s="45" t="s">
        <v>2207</v>
      </c>
    </row>
    <row r="1778" spans="1:6" hidden="1" x14ac:dyDescent="0.2">
      <c r="A1778" s="46">
        <v>45867</v>
      </c>
      <c r="B1778" s="33" t="s">
        <v>1783</v>
      </c>
      <c r="C1778" s="33">
        <v>8.25</v>
      </c>
      <c r="D1778" s="33" t="s">
        <v>2450</v>
      </c>
      <c r="E1778" s="52" t="s">
        <v>2450</v>
      </c>
      <c r="F1778" s="47" t="s">
        <v>2207</v>
      </c>
    </row>
    <row r="1779" spans="1:6" hidden="1" x14ac:dyDescent="0.2">
      <c r="A1779" s="44">
        <v>45878</v>
      </c>
      <c r="B1779" s="42" t="s">
        <v>1722</v>
      </c>
      <c r="C1779" s="42">
        <v>8.4</v>
      </c>
      <c r="D1779" s="42" t="s">
        <v>2450</v>
      </c>
      <c r="E1779" s="51" t="s">
        <v>2450</v>
      </c>
      <c r="F1779" s="45" t="s">
        <v>2207</v>
      </c>
    </row>
    <row r="1780" spans="1:6" hidden="1" x14ac:dyDescent="0.2">
      <c r="A1780" s="46">
        <v>45990</v>
      </c>
      <c r="B1780" s="33" t="s">
        <v>1513</v>
      </c>
      <c r="C1780" s="33">
        <v>8.82</v>
      </c>
      <c r="D1780" s="33" t="s">
        <v>2450</v>
      </c>
      <c r="E1780" s="52" t="s">
        <v>2450</v>
      </c>
      <c r="F1780" s="47" t="s">
        <v>2207</v>
      </c>
    </row>
    <row r="1781" spans="1:6" hidden="1" x14ac:dyDescent="0.2">
      <c r="A1781" s="44">
        <v>45912</v>
      </c>
      <c r="B1781" s="42" t="s">
        <v>1650</v>
      </c>
      <c r="C1781" s="42">
        <v>8.99</v>
      </c>
      <c r="D1781" s="42" t="s">
        <v>2450</v>
      </c>
      <c r="E1781" s="51" t="s">
        <v>2450</v>
      </c>
      <c r="F1781" s="45" t="s">
        <v>2207</v>
      </c>
    </row>
    <row r="1782" spans="1:6" hidden="1" x14ac:dyDescent="0.2">
      <c r="A1782" s="46">
        <v>45892</v>
      </c>
      <c r="B1782" s="33" t="s">
        <v>1550</v>
      </c>
      <c r="C1782" s="33">
        <v>9</v>
      </c>
      <c r="D1782" s="33" t="s">
        <v>2450</v>
      </c>
      <c r="E1782" s="52" t="s">
        <v>2450</v>
      </c>
      <c r="F1782" s="47" t="s">
        <v>2207</v>
      </c>
    </row>
    <row r="1783" spans="1:6" hidden="1" x14ac:dyDescent="0.2">
      <c r="A1783" s="44">
        <v>45924</v>
      </c>
      <c r="B1783" s="42" t="s">
        <v>1550</v>
      </c>
      <c r="C1783" s="42">
        <v>9</v>
      </c>
      <c r="D1783" s="42" t="s">
        <v>2450</v>
      </c>
      <c r="E1783" s="51" t="s">
        <v>2450</v>
      </c>
      <c r="F1783" s="45" t="s">
        <v>2207</v>
      </c>
    </row>
    <row r="1784" spans="1:6" hidden="1" x14ac:dyDescent="0.2">
      <c r="A1784" s="46">
        <v>45895</v>
      </c>
      <c r="B1784" s="33" t="s">
        <v>1692</v>
      </c>
      <c r="C1784" s="33">
        <v>9.08</v>
      </c>
      <c r="D1784" s="33" t="s">
        <v>2450</v>
      </c>
      <c r="E1784" s="52" t="s">
        <v>2450</v>
      </c>
      <c r="F1784" s="47" t="s">
        <v>2207</v>
      </c>
    </row>
    <row r="1785" spans="1:6" hidden="1" x14ac:dyDescent="0.2">
      <c r="A1785" s="44">
        <v>45897</v>
      </c>
      <c r="B1785" s="42" t="s">
        <v>1683</v>
      </c>
      <c r="C1785" s="42">
        <v>9.1199999999999992</v>
      </c>
      <c r="D1785" s="42" t="s">
        <v>2450</v>
      </c>
      <c r="E1785" s="51" t="s">
        <v>2450</v>
      </c>
      <c r="F1785" s="45" t="s">
        <v>2207</v>
      </c>
    </row>
    <row r="1786" spans="1:6" hidden="1" x14ac:dyDescent="0.2">
      <c r="A1786" s="46">
        <v>45883</v>
      </c>
      <c r="B1786" s="33" t="s">
        <v>1723</v>
      </c>
      <c r="C1786" s="33">
        <v>9.1999999999999993</v>
      </c>
      <c r="D1786" s="33" t="s">
        <v>2450</v>
      </c>
      <c r="E1786" s="52" t="s">
        <v>2450</v>
      </c>
      <c r="F1786" s="47" t="s">
        <v>2207</v>
      </c>
    </row>
    <row r="1787" spans="1:6" hidden="1" x14ac:dyDescent="0.2">
      <c r="A1787" s="44">
        <v>45895</v>
      </c>
      <c r="B1787" s="42" t="s">
        <v>1621</v>
      </c>
      <c r="C1787" s="42">
        <v>9.4</v>
      </c>
      <c r="D1787" s="42" t="s">
        <v>2450</v>
      </c>
      <c r="E1787" s="51" t="s">
        <v>2450</v>
      </c>
      <c r="F1787" s="45" t="s">
        <v>2207</v>
      </c>
    </row>
    <row r="1788" spans="1:6" hidden="1" x14ac:dyDescent="0.2">
      <c r="A1788" s="46">
        <v>45869</v>
      </c>
      <c r="B1788" s="33" t="s">
        <v>1766</v>
      </c>
      <c r="C1788" s="33">
        <v>9.68</v>
      </c>
      <c r="D1788" s="33" t="s">
        <v>956</v>
      </c>
      <c r="E1788" s="52" t="s">
        <v>45</v>
      </c>
      <c r="F1788" s="47" t="s">
        <v>2207</v>
      </c>
    </row>
    <row r="1789" spans="1:6" hidden="1" x14ac:dyDescent="0.2">
      <c r="A1789" s="44">
        <v>45869</v>
      </c>
      <c r="B1789" s="42" t="s">
        <v>1765</v>
      </c>
      <c r="C1789" s="42">
        <v>9.92</v>
      </c>
      <c r="D1789" s="42" t="s">
        <v>2450</v>
      </c>
      <c r="E1789" s="51" t="s">
        <v>2450</v>
      </c>
      <c r="F1789" s="45" t="s">
        <v>2207</v>
      </c>
    </row>
    <row r="1790" spans="1:6" hidden="1" x14ac:dyDescent="0.2">
      <c r="A1790" s="46">
        <v>45982</v>
      </c>
      <c r="B1790" s="33" t="s">
        <v>1552</v>
      </c>
      <c r="C1790" s="33">
        <v>9.94</v>
      </c>
      <c r="D1790" s="33" t="s">
        <v>2450</v>
      </c>
      <c r="E1790" s="52" t="s">
        <v>2450</v>
      </c>
      <c r="F1790" s="47" t="s">
        <v>2207</v>
      </c>
    </row>
    <row r="1791" spans="1:6" hidden="1" x14ac:dyDescent="0.2">
      <c r="A1791" s="44">
        <v>45908</v>
      </c>
      <c r="B1791" s="42" t="s">
        <v>1659</v>
      </c>
      <c r="C1791" s="42">
        <v>10.02</v>
      </c>
      <c r="D1791" s="42" t="s">
        <v>514</v>
      </c>
      <c r="E1791" s="51" t="s">
        <v>6</v>
      </c>
      <c r="F1791" s="45" t="s">
        <v>2207</v>
      </c>
    </row>
    <row r="1792" spans="1:6" hidden="1" x14ac:dyDescent="0.2">
      <c r="A1792" s="46">
        <v>45878</v>
      </c>
      <c r="B1792" s="33" t="s">
        <v>1747</v>
      </c>
      <c r="C1792" s="33">
        <v>10.199999999999999</v>
      </c>
      <c r="D1792" s="33" t="s">
        <v>2450</v>
      </c>
      <c r="E1792" s="52" t="s">
        <v>2450</v>
      </c>
      <c r="F1792" s="47" t="s">
        <v>2207</v>
      </c>
    </row>
    <row r="1793" spans="1:6" hidden="1" x14ac:dyDescent="0.2">
      <c r="A1793" s="44">
        <v>45864</v>
      </c>
      <c r="B1793" s="42" t="s">
        <v>1795</v>
      </c>
      <c r="C1793" s="42">
        <v>10.34</v>
      </c>
      <c r="D1793" s="42" t="s">
        <v>2450</v>
      </c>
      <c r="E1793" s="51" t="s">
        <v>2450</v>
      </c>
      <c r="F1793" s="45" t="s">
        <v>2207</v>
      </c>
    </row>
    <row r="1794" spans="1:6" hidden="1" x14ac:dyDescent="0.2">
      <c r="A1794" s="46">
        <v>45887</v>
      </c>
      <c r="B1794" s="48" t="s">
        <v>1710</v>
      </c>
      <c r="C1794" s="33">
        <v>11.02</v>
      </c>
      <c r="D1794" s="33" t="s">
        <v>2450</v>
      </c>
      <c r="E1794" s="52" t="s">
        <v>2450</v>
      </c>
      <c r="F1794" s="47" t="s">
        <v>2207</v>
      </c>
    </row>
    <row r="1795" spans="1:6" hidden="1" x14ac:dyDescent="0.2">
      <c r="A1795" s="44">
        <v>45894</v>
      </c>
      <c r="B1795" s="42" t="s">
        <v>1541</v>
      </c>
      <c r="C1795" s="42">
        <v>11.02</v>
      </c>
      <c r="D1795" s="42" t="s">
        <v>2450</v>
      </c>
      <c r="E1795" s="51" t="s">
        <v>2450</v>
      </c>
      <c r="F1795" s="45" t="s">
        <v>2207</v>
      </c>
    </row>
    <row r="1796" spans="1:6" hidden="1" x14ac:dyDescent="0.2">
      <c r="A1796" s="46">
        <v>45924</v>
      </c>
      <c r="B1796" s="33" t="s">
        <v>1541</v>
      </c>
      <c r="C1796" s="33">
        <v>11.02</v>
      </c>
      <c r="D1796" s="33" t="s">
        <v>2450</v>
      </c>
      <c r="E1796" s="52" t="s">
        <v>2450</v>
      </c>
      <c r="F1796" s="47" t="s">
        <v>2207</v>
      </c>
    </row>
    <row r="1797" spans="1:6" hidden="1" x14ac:dyDescent="0.2">
      <c r="A1797" s="44">
        <v>45849</v>
      </c>
      <c r="B1797" s="62" t="s">
        <v>1840</v>
      </c>
      <c r="C1797" s="42">
        <v>11.11</v>
      </c>
      <c r="D1797" s="42" t="s">
        <v>2450</v>
      </c>
      <c r="E1797" s="51" t="s">
        <v>2450</v>
      </c>
      <c r="F1797" s="45" t="s">
        <v>2207</v>
      </c>
    </row>
    <row r="1798" spans="1:6" hidden="1" x14ac:dyDescent="0.2">
      <c r="A1798" s="46">
        <v>45984</v>
      </c>
      <c r="B1798" s="33" t="s">
        <v>1542</v>
      </c>
      <c r="C1798" s="33">
        <v>11.2</v>
      </c>
      <c r="D1798" s="33" t="s">
        <v>2450</v>
      </c>
      <c r="E1798" s="52" t="s">
        <v>2450</v>
      </c>
      <c r="F1798" s="47" t="s">
        <v>2207</v>
      </c>
    </row>
    <row r="1799" spans="1:6" hidden="1" x14ac:dyDescent="0.2">
      <c r="A1799" s="44">
        <v>45856</v>
      </c>
      <c r="B1799" s="42" t="s">
        <v>1819</v>
      </c>
      <c r="C1799" s="42">
        <v>11.35</v>
      </c>
      <c r="D1799" s="42" t="s">
        <v>2450</v>
      </c>
      <c r="E1799" s="51" t="s">
        <v>2450</v>
      </c>
      <c r="F1799" s="45" t="s">
        <v>2207</v>
      </c>
    </row>
    <row r="1800" spans="1:6" hidden="1" x14ac:dyDescent="0.2">
      <c r="A1800" s="46">
        <v>45990</v>
      </c>
      <c r="B1800" s="33" t="s">
        <v>1515</v>
      </c>
      <c r="C1800" s="33">
        <v>11.47</v>
      </c>
      <c r="D1800" s="33" t="s">
        <v>2450</v>
      </c>
      <c r="E1800" s="52" t="s">
        <v>2450</v>
      </c>
      <c r="F1800" s="47" t="s">
        <v>2207</v>
      </c>
    </row>
    <row r="1801" spans="1:6" hidden="1" x14ac:dyDescent="0.2">
      <c r="A1801" s="44">
        <v>45927</v>
      </c>
      <c r="B1801" s="42" t="s">
        <v>1616</v>
      </c>
      <c r="C1801" s="42">
        <v>11.67</v>
      </c>
      <c r="D1801" s="42" t="s">
        <v>2450</v>
      </c>
      <c r="E1801" s="51" t="s">
        <v>2450</v>
      </c>
      <c r="F1801" s="45" t="s">
        <v>2207</v>
      </c>
    </row>
    <row r="1802" spans="1:6" hidden="1" x14ac:dyDescent="0.2">
      <c r="A1802" s="46">
        <v>45985</v>
      </c>
      <c r="B1802" s="33" t="s">
        <v>1540</v>
      </c>
      <c r="C1802" s="33">
        <v>12.1</v>
      </c>
      <c r="D1802" s="33" t="s">
        <v>2450</v>
      </c>
      <c r="E1802" s="52" t="s">
        <v>2450</v>
      </c>
      <c r="F1802" s="47" t="s">
        <v>2207</v>
      </c>
    </row>
    <row r="1803" spans="1:6" hidden="1" x14ac:dyDescent="0.2">
      <c r="A1803" s="44">
        <v>45878</v>
      </c>
      <c r="B1803" s="42" t="s">
        <v>1740</v>
      </c>
      <c r="C1803" s="42">
        <v>12.17</v>
      </c>
      <c r="D1803" s="42" t="s">
        <v>2450</v>
      </c>
      <c r="E1803" s="51" t="s">
        <v>2450</v>
      </c>
      <c r="F1803" s="45" t="s">
        <v>2207</v>
      </c>
    </row>
    <row r="1804" spans="1:6" hidden="1" x14ac:dyDescent="0.2">
      <c r="A1804" s="46">
        <v>45858</v>
      </c>
      <c r="B1804" s="33" t="s">
        <v>1819</v>
      </c>
      <c r="C1804" s="33">
        <v>12.23</v>
      </c>
      <c r="D1804" s="33" t="s">
        <v>2450</v>
      </c>
      <c r="E1804" s="52" t="s">
        <v>2450</v>
      </c>
      <c r="F1804" s="47" t="s">
        <v>2207</v>
      </c>
    </row>
    <row r="1805" spans="1:6" hidden="1" x14ac:dyDescent="0.2">
      <c r="A1805" s="44">
        <v>45918</v>
      </c>
      <c r="B1805" s="42" t="s">
        <v>1641</v>
      </c>
      <c r="C1805" s="42">
        <v>12.67</v>
      </c>
      <c r="D1805" s="42" t="s">
        <v>2450</v>
      </c>
      <c r="E1805" s="51" t="s">
        <v>2450</v>
      </c>
      <c r="F1805" s="45" t="s">
        <v>2207</v>
      </c>
    </row>
    <row r="1806" spans="1:6" hidden="1" x14ac:dyDescent="0.2">
      <c r="A1806" s="46">
        <v>45897</v>
      </c>
      <c r="B1806" s="33" t="s">
        <v>1682</v>
      </c>
      <c r="C1806" s="33">
        <v>12.79</v>
      </c>
      <c r="D1806" s="33" t="s">
        <v>2450</v>
      </c>
      <c r="E1806" s="52" t="s">
        <v>2450</v>
      </c>
      <c r="F1806" s="47" t="s">
        <v>2207</v>
      </c>
    </row>
    <row r="1807" spans="1:6" hidden="1" x14ac:dyDescent="0.2">
      <c r="A1807" s="44">
        <v>45868</v>
      </c>
      <c r="B1807" s="42" t="s">
        <v>1775</v>
      </c>
      <c r="C1807" s="42">
        <v>12.95</v>
      </c>
      <c r="D1807" s="42" t="s">
        <v>2450</v>
      </c>
      <c r="E1807" s="51" t="s">
        <v>2450</v>
      </c>
      <c r="F1807" s="45" t="s">
        <v>2207</v>
      </c>
    </row>
    <row r="1808" spans="1:6" hidden="1" x14ac:dyDescent="0.2">
      <c r="A1808" s="46">
        <v>45989</v>
      </c>
      <c r="B1808" s="33" t="s">
        <v>1520</v>
      </c>
      <c r="C1808" s="33">
        <v>13.09</v>
      </c>
      <c r="D1808" s="33" t="s">
        <v>2450</v>
      </c>
      <c r="E1808" s="52" t="s">
        <v>2450</v>
      </c>
      <c r="F1808" s="47" t="s">
        <v>2207</v>
      </c>
    </row>
    <row r="1809" spans="1:6" hidden="1" x14ac:dyDescent="0.2">
      <c r="A1809" s="44">
        <v>45867</v>
      </c>
      <c r="B1809" s="42" t="s">
        <v>1785</v>
      </c>
      <c r="C1809" s="42">
        <v>13.11</v>
      </c>
      <c r="D1809" s="42" t="s">
        <v>2450</v>
      </c>
      <c r="E1809" s="51" t="s">
        <v>2450</v>
      </c>
      <c r="F1809" s="45" t="s">
        <v>2207</v>
      </c>
    </row>
    <row r="1810" spans="1:6" hidden="1" x14ac:dyDescent="0.2">
      <c r="A1810" s="46">
        <v>45867</v>
      </c>
      <c r="B1810" s="33" t="s">
        <v>1784</v>
      </c>
      <c r="C1810" s="33">
        <v>13.29</v>
      </c>
      <c r="D1810" s="33" t="s">
        <v>2450</v>
      </c>
      <c r="E1810" s="52" t="s">
        <v>2450</v>
      </c>
      <c r="F1810" s="47" t="s">
        <v>2207</v>
      </c>
    </row>
    <row r="1811" spans="1:6" hidden="1" x14ac:dyDescent="0.2">
      <c r="A1811" s="44">
        <v>45867</v>
      </c>
      <c r="B1811" s="42" t="s">
        <v>1763</v>
      </c>
      <c r="C1811" s="42">
        <v>13.56</v>
      </c>
      <c r="D1811" s="42" t="s">
        <v>2450</v>
      </c>
      <c r="E1811" s="51" t="s">
        <v>2450</v>
      </c>
      <c r="F1811" s="45" t="s">
        <v>2207</v>
      </c>
    </row>
    <row r="1812" spans="1:6" hidden="1" x14ac:dyDescent="0.2">
      <c r="A1812" s="46">
        <v>45913</v>
      </c>
      <c r="B1812" s="33" t="s">
        <v>1647</v>
      </c>
      <c r="C1812" s="33">
        <v>13.79</v>
      </c>
      <c r="D1812" s="33" t="s">
        <v>2450</v>
      </c>
      <c r="E1812" s="52" t="s">
        <v>2450</v>
      </c>
      <c r="F1812" s="47" t="s">
        <v>2207</v>
      </c>
    </row>
    <row r="1813" spans="1:6" hidden="1" x14ac:dyDescent="0.2">
      <c r="A1813" s="44">
        <v>45884</v>
      </c>
      <c r="B1813" s="42" t="s">
        <v>1722</v>
      </c>
      <c r="C1813" s="42">
        <v>14.06</v>
      </c>
      <c r="D1813" s="42" t="s">
        <v>2450</v>
      </c>
      <c r="E1813" s="51" t="s">
        <v>2450</v>
      </c>
      <c r="F1813" s="45" t="s">
        <v>2207</v>
      </c>
    </row>
    <row r="1814" spans="1:6" hidden="1" x14ac:dyDescent="0.2">
      <c r="A1814" s="46">
        <v>45914</v>
      </c>
      <c r="B1814" s="33" t="s">
        <v>1647</v>
      </c>
      <c r="C1814" s="33">
        <v>14.07</v>
      </c>
      <c r="D1814" s="33" t="s">
        <v>2450</v>
      </c>
      <c r="E1814" s="52" t="s">
        <v>2450</v>
      </c>
      <c r="F1814" s="47" t="s">
        <v>2207</v>
      </c>
    </row>
    <row r="1815" spans="1:6" hidden="1" x14ac:dyDescent="0.2">
      <c r="A1815" s="44">
        <v>45885</v>
      </c>
      <c r="B1815" s="42" t="s">
        <v>1716</v>
      </c>
      <c r="C1815" s="42">
        <v>14.33</v>
      </c>
      <c r="D1815" s="42" t="s">
        <v>2450</v>
      </c>
      <c r="E1815" s="51" t="s">
        <v>2450</v>
      </c>
      <c r="F1815" s="45" t="s">
        <v>2207</v>
      </c>
    </row>
    <row r="1816" spans="1:6" hidden="1" x14ac:dyDescent="0.2">
      <c r="A1816" s="46">
        <v>45881</v>
      </c>
      <c r="B1816" s="33" t="s">
        <v>1726</v>
      </c>
      <c r="C1816" s="33">
        <v>14.36</v>
      </c>
      <c r="D1816" s="33" t="s">
        <v>2450</v>
      </c>
      <c r="E1816" s="52" t="s">
        <v>2450</v>
      </c>
      <c r="F1816" s="47" t="s">
        <v>2207</v>
      </c>
    </row>
    <row r="1817" spans="1:6" hidden="1" x14ac:dyDescent="0.2">
      <c r="A1817" s="44">
        <v>45883</v>
      </c>
      <c r="B1817" s="42" t="s">
        <v>1726</v>
      </c>
      <c r="C1817" s="42">
        <v>14.36</v>
      </c>
      <c r="D1817" s="42" t="s">
        <v>2450</v>
      </c>
      <c r="E1817" s="51" t="s">
        <v>2450</v>
      </c>
      <c r="F1817" s="45" t="s">
        <v>2207</v>
      </c>
    </row>
    <row r="1818" spans="1:6" hidden="1" x14ac:dyDescent="0.2">
      <c r="A1818" s="46">
        <v>45868</v>
      </c>
      <c r="B1818" s="33" t="s">
        <v>1774</v>
      </c>
      <c r="C1818" s="33">
        <v>14.41</v>
      </c>
      <c r="D1818" s="33" t="s">
        <v>956</v>
      </c>
      <c r="E1818" s="52" t="s">
        <v>45</v>
      </c>
      <c r="F1818" s="47" t="s">
        <v>2207</v>
      </c>
    </row>
    <row r="1819" spans="1:6" hidden="1" x14ac:dyDescent="0.2">
      <c r="A1819" s="44">
        <v>45882</v>
      </c>
      <c r="B1819" s="42" t="s">
        <v>1596</v>
      </c>
      <c r="C1819" s="42">
        <v>14.42</v>
      </c>
      <c r="D1819" s="42" t="s">
        <v>2450</v>
      </c>
      <c r="E1819" s="51" t="s">
        <v>2450</v>
      </c>
      <c r="F1819" s="45" t="s">
        <v>2207</v>
      </c>
    </row>
    <row r="1820" spans="1:6" hidden="1" x14ac:dyDescent="0.2">
      <c r="A1820" s="46">
        <v>45869</v>
      </c>
      <c r="B1820" s="33" t="s">
        <v>1768</v>
      </c>
      <c r="C1820" s="33">
        <v>14.89</v>
      </c>
      <c r="D1820" s="33" t="s">
        <v>2450</v>
      </c>
      <c r="E1820" s="52" t="s">
        <v>2450</v>
      </c>
      <c r="F1820" s="47" t="s">
        <v>2207</v>
      </c>
    </row>
    <row r="1821" spans="1:6" hidden="1" x14ac:dyDescent="0.2">
      <c r="A1821" s="44">
        <v>45899</v>
      </c>
      <c r="B1821" s="42" t="s">
        <v>1674</v>
      </c>
      <c r="C1821" s="42">
        <v>15.04</v>
      </c>
      <c r="D1821" s="42" t="s">
        <v>2450</v>
      </c>
      <c r="E1821" s="51" t="s">
        <v>2450</v>
      </c>
      <c r="F1821" s="45" t="s">
        <v>2207</v>
      </c>
    </row>
    <row r="1822" spans="1:6" hidden="1" x14ac:dyDescent="0.2">
      <c r="A1822" s="46">
        <v>45881</v>
      </c>
      <c r="B1822" s="33" t="s">
        <v>1733</v>
      </c>
      <c r="C1822" s="33">
        <v>16.34</v>
      </c>
      <c r="D1822" s="33" t="s">
        <v>639</v>
      </c>
      <c r="E1822" s="52" t="s">
        <v>6</v>
      </c>
      <c r="F1822" s="47" t="s">
        <v>2207</v>
      </c>
    </row>
    <row r="1823" spans="1:6" hidden="1" x14ac:dyDescent="0.2">
      <c r="A1823" s="44">
        <v>45897</v>
      </c>
      <c r="B1823" s="42" t="s">
        <v>1682</v>
      </c>
      <c r="C1823" s="42">
        <v>16.48</v>
      </c>
      <c r="D1823" s="42" t="s">
        <v>2450</v>
      </c>
      <c r="E1823" s="51" t="s">
        <v>2450</v>
      </c>
      <c r="F1823" s="45" t="s">
        <v>2207</v>
      </c>
    </row>
    <row r="1824" spans="1:6" hidden="1" x14ac:dyDescent="0.2">
      <c r="A1824" s="46">
        <v>45897</v>
      </c>
      <c r="B1824" s="33" t="s">
        <v>1685</v>
      </c>
      <c r="C1824" s="33">
        <v>16.5</v>
      </c>
      <c r="D1824" s="33" t="s">
        <v>2450</v>
      </c>
      <c r="E1824" s="52" t="s">
        <v>2450</v>
      </c>
      <c r="F1824" s="47" t="s">
        <v>2207</v>
      </c>
    </row>
    <row r="1825" spans="1:6" hidden="1" x14ac:dyDescent="0.2">
      <c r="A1825" s="44">
        <v>45901</v>
      </c>
      <c r="B1825" s="42" t="s">
        <v>1669</v>
      </c>
      <c r="C1825" s="42">
        <v>16.5</v>
      </c>
      <c r="D1825" s="42" t="s">
        <v>1148</v>
      </c>
      <c r="E1825" s="51" t="s">
        <v>6</v>
      </c>
      <c r="F1825" s="45" t="s">
        <v>2207</v>
      </c>
    </row>
    <row r="1826" spans="1:6" hidden="1" x14ac:dyDescent="0.2">
      <c r="A1826" s="46">
        <v>45981</v>
      </c>
      <c r="B1826" s="33" t="s">
        <v>1553</v>
      </c>
      <c r="C1826" s="33">
        <v>16.559999999999999</v>
      </c>
      <c r="D1826" s="33" t="s">
        <v>2450</v>
      </c>
      <c r="E1826" s="52" t="s">
        <v>2450</v>
      </c>
      <c r="F1826" s="47" t="s">
        <v>2207</v>
      </c>
    </row>
    <row r="1827" spans="1:6" hidden="1" x14ac:dyDescent="0.2">
      <c r="A1827" s="44">
        <v>45916</v>
      </c>
      <c r="B1827" s="42" t="s">
        <v>1645</v>
      </c>
      <c r="C1827" s="42">
        <v>16.61</v>
      </c>
      <c r="D1827" s="42" t="s">
        <v>2450</v>
      </c>
      <c r="E1827" s="51" t="s">
        <v>2450</v>
      </c>
      <c r="F1827" s="45" t="s">
        <v>2207</v>
      </c>
    </row>
    <row r="1828" spans="1:6" hidden="1" x14ac:dyDescent="0.2">
      <c r="A1828" s="46">
        <v>45865</v>
      </c>
      <c r="B1828" s="33" t="s">
        <v>1794</v>
      </c>
      <c r="C1828" s="33">
        <v>16.690000000000001</v>
      </c>
      <c r="D1828" s="33" t="s">
        <v>956</v>
      </c>
      <c r="E1828" s="52" t="s">
        <v>45</v>
      </c>
      <c r="F1828" s="47" t="s">
        <v>2207</v>
      </c>
    </row>
    <row r="1829" spans="1:6" hidden="1" x14ac:dyDescent="0.2">
      <c r="A1829" s="44">
        <v>45866</v>
      </c>
      <c r="B1829" s="42" t="s">
        <v>1788</v>
      </c>
      <c r="C1829" s="42">
        <v>17.260000000000002</v>
      </c>
      <c r="D1829" s="42" t="s">
        <v>2450</v>
      </c>
      <c r="E1829" s="51" t="s">
        <v>2450</v>
      </c>
      <c r="F1829" s="45" t="s">
        <v>2207</v>
      </c>
    </row>
    <row r="1830" spans="1:6" hidden="1" x14ac:dyDescent="0.2">
      <c r="A1830" s="46">
        <v>45882</v>
      </c>
      <c r="B1830" s="33" t="s">
        <v>1729</v>
      </c>
      <c r="C1830" s="33">
        <v>17.3</v>
      </c>
      <c r="D1830" s="33" t="s">
        <v>2450</v>
      </c>
      <c r="E1830" s="52" t="s">
        <v>2450</v>
      </c>
      <c r="F1830" s="47" t="s">
        <v>2207</v>
      </c>
    </row>
    <row r="1831" spans="1:6" hidden="1" x14ac:dyDescent="0.2">
      <c r="A1831" s="44">
        <v>45875</v>
      </c>
      <c r="B1831" s="42" t="s">
        <v>1749</v>
      </c>
      <c r="C1831" s="42">
        <v>17.45</v>
      </c>
      <c r="D1831" s="42" t="s">
        <v>2450</v>
      </c>
      <c r="E1831" s="51" t="s">
        <v>2450</v>
      </c>
      <c r="F1831" s="45" t="s">
        <v>2207</v>
      </c>
    </row>
    <row r="1832" spans="1:6" hidden="1" x14ac:dyDescent="0.2">
      <c r="A1832" s="46">
        <v>45889</v>
      </c>
      <c r="B1832" s="33" t="s">
        <v>1703</v>
      </c>
      <c r="C1832" s="33">
        <v>17.54</v>
      </c>
      <c r="D1832" s="33" t="s">
        <v>2450</v>
      </c>
      <c r="E1832" s="52" t="s">
        <v>2450</v>
      </c>
      <c r="F1832" s="47" t="s">
        <v>2207</v>
      </c>
    </row>
    <row r="1833" spans="1:6" hidden="1" x14ac:dyDescent="0.2">
      <c r="A1833" s="44">
        <v>45976</v>
      </c>
      <c r="B1833" s="42" t="s">
        <v>1563</v>
      </c>
      <c r="C1833" s="42">
        <v>17.61</v>
      </c>
      <c r="D1833" s="42" t="s">
        <v>2450</v>
      </c>
      <c r="E1833" s="51" t="s">
        <v>2450</v>
      </c>
      <c r="F1833" s="45" t="s">
        <v>2207</v>
      </c>
    </row>
    <row r="1834" spans="1:6" hidden="1" x14ac:dyDescent="0.2">
      <c r="A1834" s="46">
        <v>45884</v>
      </c>
      <c r="B1834" s="33" t="s">
        <v>1721</v>
      </c>
      <c r="C1834" s="33">
        <v>17.66</v>
      </c>
      <c r="D1834" s="33" t="s">
        <v>2450</v>
      </c>
      <c r="E1834" s="52" t="s">
        <v>2450</v>
      </c>
      <c r="F1834" s="47" t="s">
        <v>2207</v>
      </c>
    </row>
    <row r="1835" spans="1:6" hidden="1" x14ac:dyDescent="0.2">
      <c r="A1835" s="44">
        <v>45880</v>
      </c>
      <c r="B1835" s="42" t="s">
        <v>1726</v>
      </c>
      <c r="C1835" s="42">
        <v>17.670000000000002</v>
      </c>
      <c r="D1835" s="42" t="s">
        <v>2450</v>
      </c>
      <c r="E1835" s="51" t="s">
        <v>2450</v>
      </c>
      <c r="F1835" s="45" t="s">
        <v>2207</v>
      </c>
    </row>
    <row r="1836" spans="1:6" hidden="1" x14ac:dyDescent="0.2">
      <c r="A1836" s="46">
        <v>45919</v>
      </c>
      <c r="B1836" s="33" t="s">
        <v>1638</v>
      </c>
      <c r="C1836" s="33">
        <v>17.75</v>
      </c>
      <c r="D1836" s="33" t="s">
        <v>2450</v>
      </c>
      <c r="E1836" s="52" t="s">
        <v>2450</v>
      </c>
      <c r="F1836" s="47" t="s">
        <v>2207</v>
      </c>
    </row>
    <row r="1837" spans="1:6" hidden="1" x14ac:dyDescent="0.2">
      <c r="A1837" s="44">
        <v>45912</v>
      </c>
      <c r="B1837" s="42" t="s">
        <v>1572</v>
      </c>
      <c r="C1837" s="42">
        <v>18</v>
      </c>
      <c r="D1837" s="42" t="s">
        <v>2450</v>
      </c>
      <c r="E1837" s="51" t="s">
        <v>2450</v>
      </c>
      <c r="F1837" s="45" t="s">
        <v>2207</v>
      </c>
    </row>
    <row r="1838" spans="1:6" hidden="1" x14ac:dyDescent="0.2">
      <c r="A1838" s="46">
        <v>45869</v>
      </c>
      <c r="B1838" s="33" t="s">
        <v>1767</v>
      </c>
      <c r="C1838" s="33">
        <v>18.73</v>
      </c>
      <c r="D1838" s="33" t="s">
        <v>2450</v>
      </c>
      <c r="E1838" s="52" t="s">
        <v>2450</v>
      </c>
      <c r="F1838" s="47" t="s">
        <v>2207</v>
      </c>
    </row>
    <row r="1839" spans="1:6" hidden="1" x14ac:dyDescent="0.2">
      <c r="A1839" s="44">
        <v>45926</v>
      </c>
      <c r="B1839" s="42" t="s">
        <v>1621</v>
      </c>
      <c r="C1839" s="42">
        <v>18.760000000000002</v>
      </c>
      <c r="D1839" s="42" t="s">
        <v>2450</v>
      </c>
      <c r="E1839" s="51" t="s">
        <v>2450</v>
      </c>
      <c r="F1839" s="45" t="s">
        <v>2207</v>
      </c>
    </row>
    <row r="1840" spans="1:6" hidden="1" x14ac:dyDescent="0.2">
      <c r="A1840" s="46">
        <v>45851</v>
      </c>
      <c r="B1840" s="33" t="s">
        <v>1836</v>
      </c>
      <c r="C1840" s="33">
        <v>19.079999999999998</v>
      </c>
      <c r="D1840" s="33" t="s">
        <v>2450</v>
      </c>
      <c r="E1840" s="52" t="s">
        <v>2450</v>
      </c>
      <c r="F1840" s="47" t="s">
        <v>2207</v>
      </c>
    </row>
    <row r="1841" spans="1:6" hidden="1" x14ac:dyDescent="0.2">
      <c r="A1841" s="44">
        <v>45866</v>
      </c>
      <c r="B1841" s="42" t="s">
        <v>1787</v>
      </c>
      <c r="C1841" s="42">
        <v>19.41</v>
      </c>
      <c r="D1841" s="42" t="s">
        <v>2450</v>
      </c>
      <c r="E1841" s="51" t="s">
        <v>2450</v>
      </c>
      <c r="F1841" s="45" t="s">
        <v>2207</v>
      </c>
    </row>
    <row r="1842" spans="1:6" hidden="1" x14ac:dyDescent="0.2">
      <c r="A1842" s="46">
        <v>45853</v>
      </c>
      <c r="B1842" s="33" t="s">
        <v>1833</v>
      </c>
      <c r="C1842" s="33">
        <v>19.489999999999998</v>
      </c>
      <c r="D1842" s="33" t="s">
        <v>2450</v>
      </c>
      <c r="E1842" s="52" t="s">
        <v>2450</v>
      </c>
      <c r="F1842" s="47" t="s">
        <v>2207</v>
      </c>
    </row>
    <row r="1843" spans="1:6" hidden="1" x14ac:dyDescent="0.2">
      <c r="A1843" s="44">
        <v>45988</v>
      </c>
      <c r="B1843" s="42" t="s">
        <v>1522</v>
      </c>
      <c r="C1843" s="42">
        <v>19.7</v>
      </c>
      <c r="D1843" s="42" t="s">
        <v>2450</v>
      </c>
      <c r="E1843" s="51" t="s">
        <v>2450</v>
      </c>
      <c r="F1843" s="45" t="s">
        <v>2207</v>
      </c>
    </row>
    <row r="1844" spans="1:6" hidden="1" x14ac:dyDescent="0.2">
      <c r="A1844" s="46">
        <v>45990</v>
      </c>
      <c r="B1844" s="33" t="s">
        <v>1516</v>
      </c>
      <c r="C1844" s="33">
        <v>19.7</v>
      </c>
      <c r="D1844" s="33" t="s">
        <v>2450</v>
      </c>
      <c r="E1844" s="52" t="s">
        <v>2450</v>
      </c>
      <c r="F1844" s="47" t="s">
        <v>2207</v>
      </c>
    </row>
    <row r="1845" spans="1:6" hidden="1" x14ac:dyDescent="0.2">
      <c r="A1845" s="44">
        <v>45879</v>
      </c>
      <c r="B1845" s="42" t="s">
        <v>1565</v>
      </c>
      <c r="C1845" s="42">
        <v>19.899999999999999</v>
      </c>
      <c r="D1845" s="42" t="s">
        <v>639</v>
      </c>
      <c r="E1845" s="51" t="s">
        <v>6</v>
      </c>
      <c r="F1845" s="45" t="s">
        <v>2207</v>
      </c>
    </row>
    <row r="1846" spans="1:6" hidden="1" x14ac:dyDescent="0.2">
      <c r="A1846" s="46">
        <v>45869</v>
      </c>
      <c r="B1846" s="33" t="s">
        <v>1769</v>
      </c>
      <c r="C1846" s="33">
        <v>19.91</v>
      </c>
      <c r="D1846" s="33" t="s">
        <v>2450</v>
      </c>
      <c r="E1846" s="52" t="s">
        <v>2450</v>
      </c>
      <c r="F1846" s="47" t="s">
        <v>2207</v>
      </c>
    </row>
    <row r="1847" spans="1:6" hidden="1" x14ac:dyDescent="0.2">
      <c r="A1847" s="44">
        <v>45862</v>
      </c>
      <c r="B1847" s="42" t="s">
        <v>1802</v>
      </c>
      <c r="C1847" s="42">
        <v>20</v>
      </c>
      <c r="D1847" s="42" t="s">
        <v>2450</v>
      </c>
      <c r="E1847" s="51" t="s">
        <v>2450</v>
      </c>
      <c r="F1847" s="45" t="s">
        <v>2207</v>
      </c>
    </row>
    <row r="1848" spans="1:6" hidden="1" x14ac:dyDescent="0.2">
      <c r="A1848" s="46">
        <v>45923</v>
      </c>
      <c r="B1848" s="33" t="s">
        <v>1630</v>
      </c>
      <c r="C1848" s="33">
        <v>20</v>
      </c>
      <c r="D1848" s="33" t="s">
        <v>2450</v>
      </c>
      <c r="E1848" s="52" t="s">
        <v>2450</v>
      </c>
      <c r="F1848" s="47" t="s">
        <v>2207</v>
      </c>
    </row>
    <row r="1849" spans="1:6" hidden="1" x14ac:dyDescent="0.2">
      <c r="A1849" s="44">
        <v>45870</v>
      </c>
      <c r="B1849" s="42" t="s">
        <v>1759</v>
      </c>
      <c r="C1849" s="42">
        <v>20.059999999999999</v>
      </c>
      <c r="D1849" s="42" t="s">
        <v>2450</v>
      </c>
      <c r="E1849" s="51" t="s">
        <v>2450</v>
      </c>
      <c r="F1849" s="45" t="s">
        <v>2207</v>
      </c>
    </row>
    <row r="1850" spans="1:6" hidden="1" x14ac:dyDescent="0.2">
      <c r="A1850" s="46">
        <v>45858</v>
      </c>
      <c r="B1850" s="33" t="s">
        <v>1775</v>
      </c>
      <c r="C1850" s="33">
        <v>20.28</v>
      </c>
      <c r="D1850" s="33" t="s">
        <v>2450</v>
      </c>
      <c r="E1850" s="52" t="s">
        <v>2450</v>
      </c>
      <c r="F1850" s="47" t="s">
        <v>2207</v>
      </c>
    </row>
    <row r="1851" spans="1:6" hidden="1" x14ac:dyDescent="0.2">
      <c r="A1851" s="44">
        <v>45894</v>
      </c>
      <c r="B1851" s="42" t="s">
        <v>1683</v>
      </c>
      <c r="C1851" s="42">
        <v>20.37</v>
      </c>
      <c r="D1851" s="42" t="s">
        <v>2450</v>
      </c>
      <c r="E1851" s="51" t="s">
        <v>2450</v>
      </c>
      <c r="F1851" s="45" t="s">
        <v>2207</v>
      </c>
    </row>
    <row r="1852" spans="1:6" hidden="1" x14ac:dyDescent="0.2">
      <c r="A1852" s="46">
        <v>45855</v>
      </c>
      <c r="B1852" s="48" t="s">
        <v>1830</v>
      </c>
      <c r="C1852" s="33">
        <v>20.6</v>
      </c>
      <c r="D1852" s="33" t="s">
        <v>2450</v>
      </c>
      <c r="E1852" s="52" t="s">
        <v>2450</v>
      </c>
      <c r="F1852" s="47" t="s">
        <v>2207</v>
      </c>
    </row>
    <row r="1853" spans="1:6" hidden="1" x14ac:dyDescent="0.2">
      <c r="A1853" s="44">
        <v>45863</v>
      </c>
      <c r="B1853" s="42" t="s">
        <v>1799</v>
      </c>
      <c r="C1853" s="42">
        <v>20.94</v>
      </c>
      <c r="D1853" s="42" t="s">
        <v>2450</v>
      </c>
      <c r="E1853" s="51" t="s">
        <v>2450</v>
      </c>
      <c r="F1853" s="45" t="s">
        <v>2207</v>
      </c>
    </row>
    <row r="1854" spans="1:6" hidden="1" x14ac:dyDescent="0.2">
      <c r="A1854" s="46">
        <v>45886</v>
      </c>
      <c r="B1854" s="33" t="s">
        <v>1565</v>
      </c>
      <c r="C1854" s="33">
        <v>21.41</v>
      </c>
      <c r="D1854" s="33" t="s">
        <v>639</v>
      </c>
      <c r="E1854" s="52" t="s">
        <v>6</v>
      </c>
      <c r="F1854" s="47" t="s">
        <v>2207</v>
      </c>
    </row>
    <row r="1855" spans="1:6" hidden="1" x14ac:dyDescent="0.2">
      <c r="A1855" s="44">
        <v>45987</v>
      </c>
      <c r="B1855" s="42" t="s">
        <v>1532</v>
      </c>
      <c r="C1855" s="42">
        <v>21.73</v>
      </c>
      <c r="D1855" s="42" t="s">
        <v>2450</v>
      </c>
      <c r="E1855" s="51" t="s">
        <v>2450</v>
      </c>
      <c r="F1855" s="45" t="s">
        <v>2207</v>
      </c>
    </row>
    <row r="1856" spans="1:6" hidden="1" x14ac:dyDescent="0.2">
      <c r="A1856" s="46">
        <v>45857</v>
      </c>
      <c r="B1856" s="33" t="s">
        <v>1778</v>
      </c>
      <c r="C1856" s="33">
        <v>21.88</v>
      </c>
      <c r="D1856" s="33" t="s">
        <v>956</v>
      </c>
      <c r="E1856" s="52" t="s">
        <v>45</v>
      </c>
      <c r="F1856" s="47" t="s">
        <v>2207</v>
      </c>
    </row>
    <row r="1857" spans="1:6" hidden="1" x14ac:dyDescent="0.2">
      <c r="A1857" s="44">
        <v>45868</v>
      </c>
      <c r="B1857" s="42" t="s">
        <v>1773</v>
      </c>
      <c r="C1857" s="42">
        <v>21.94</v>
      </c>
      <c r="D1857" s="42" t="s">
        <v>2450</v>
      </c>
      <c r="E1857" s="51" t="s">
        <v>2450</v>
      </c>
      <c r="F1857" s="45" t="s">
        <v>2207</v>
      </c>
    </row>
    <row r="1858" spans="1:6" hidden="1" x14ac:dyDescent="0.2">
      <c r="A1858" s="46">
        <v>45850</v>
      </c>
      <c r="B1858" s="48" t="s">
        <v>1838</v>
      </c>
      <c r="C1858" s="33">
        <v>22.04</v>
      </c>
      <c r="D1858" s="33" t="s">
        <v>2450</v>
      </c>
      <c r="E1858" s="52" t="s">
        <v>2450</v>
      </c>
      <c r="F1858" s="47" t="s">
        <v>2207</v>
      </c>
    </row>
    <row r="1859" spans="1:6" hidden="1" x14ac:dyDescent="0.2">
      <c r="A1859" s="44">
        <v>45866</v>
      </c>
      <c r="B1859" s="42" t="s">
        <v>1793</v>
      </c>
      <c r="C1859" s="42">
        <v>22.06</v>
      </c>
      <c r="D1859" s="42" t="s">
        <v>2450</v>
      </c>
      <c r="E1859" s="51" t="s">
        <v>2450</v>
      </c>
      <c r="F1859" s="45" t="s">
        <v>2207</v>
      </c>
    </row>
    <row r="1860" spans="1:6" hidden="1" x14ac:dyDescent="0.2">
      <c r="A1860" s="46">
        <v>45897</v>
      </c>
      <c r="B1860" s="33" t="s">
        <v>1686</v>
      </c>
      <c r="C1860" s="33">
        <v>22.06</v>
      </c>
      <c r="D1860" s="33" t="s">
        <v>2450</v>
      </c>
      <c r="E1860" s="52" t="s">
        <v>2450</v>
      </c>
      <c r="F1860" s="47" t="s">
        <v>2207</v>
      </c>
    </row>
    <row r="1861" spans="1:6" hidden="1" x14ac:dyDescent="0.2">
      <c r="A1861" s="44">
        <v>45928</v>
      </c>
      <c r="B1861" s="42" t="s">
        <v>1614</v>
      </c>
      <c r="C1861" s="42">
        <v>22.06</v>
      </c>
      <c r="D1861" s="42" t="s">
        <v>2450</v>
      </c>
      <c r="E1861" s="51" t="s">
        <v>2450</v>
      </c>
      <c r="F1861" s="45" t="s">
        <v>2207</v>
      </c>
    </row>
    <row r="1862" spans="1:6" hidden="1" x14ac:dyDescent="0.2">
      <c r="A1862" s="46">
        <v>45989</v>
      </c>
      <c r="B1862" s="33" t="s">
        <v>1521</v>
      </c>
      <c r="C1862" s="33">
        <v>22.06</v>
      </c>
      <c r="D1862" s="33" t="s">
        <v>2450</v>
      </c>
      <c r="E1862" s="52" t="s">
        <v>2450</v>
      </c>
      <c r="F1862" s="47" t="s">
        <v>2207</v>
      </c>
    </row>
    <row r="1863" spans="1:6" hidden="1" x14ac:dyDescent="0.2">
      <c r="A1863" s="44">
        <v>45870</v>
      </c>
      <c r="B1863" s="42" t="s">
        <v>1761</v>
      </c>
      <c r="C1863" s="42">
        <v>22.2</v>
      </c>
      <c r="D1863" s="42" t="s">
        <v>2450</v>
      </c>
      <c r="E1863" s="51" t="s">
        <v>2450</v>
      </c>
      <c r="F1863" s="45" t="s">
        <v>2207</v>
      </c>
    </row>
    <row r="1864" spans="1:6" hidden="1" x14ac:dyDescent="0.2">
      <c r="A1864" s="46">
        <v>45903</v>
      </c>
      <c r="B1864" s="33" t="s">
        <v>1664</v>
      </c>
      <c r="C1864" s="33">
        <v>22.47</v>
      </c>
      <c r="D1864" s="33" t="s">
        <v>2450</v>
      </c>
      <c r="E1864" s="52" t="s">
        <v>2450</v>
      </c>
      <c r="F1864" s="47" t="s">
        <v>2207</v>
      </c>
    </row>
    <row r="1865" spans="1:6" hidden="1" x14ac:dyDescent="0.2">
      <c r="A1865" s="44">
        <v>45921</v>
      </c>
      <c r="B1865" s="42" t="s">
        <v>1633</v>
      </c>
      <c r="C1865" s="42">
        <v>22.63</v>
      </c>
      <c r="D1865" s="42" t="s">
        <v>2450</v>
      </c>
      <c r="E1865" s="51" t="s">
        <v>2450</v>
      </c>
      <c r="F1865" s="45" t="s">
        <v>2207</v>
      </c>
    </row>
    <row r="1866" spans="1:6" hidden="1" x14ac:dyDescent="0.2">
      <c r="A1866" s="46">
        <v>45898</v>
      </c>
      <c r="B1866" s="33" t="s">
        <v>1680</v>
      </c>
      <c r="C1866" s="33">
        <v>23.79</v>
      </c>
      <c r="D1866" s="33" t="s">
        <v>2450</v>
      </c>
      <c r="E1866" s="52" t="s">
        <v>2450</v>
      </c>
      <c r="F1866" s="47" t="s">
        <v>2207</v>
      </c>
    </row>
    <row r="1867" spans="1:6" hidden="1" x14ac:dyDescent="0.2">
      <c r="A1867" s="44">
        <v>45883</v>
      </c>
      <c r="B1867" s="42" t="s">
        <v>1565</v>
      </c>
      <c r="C1867" s="42">
        <v>24.19</v>
      </c>
      <c r="D1867" s="42" t="s">
        <v>639</v>
      </c>
      <c r="E1867" s="51" t="s">
        <v>6</v>
      </c>
      <c r="F1867" s="45" t="s">
        <v>2207</v>
      </c>
    </row>
    <row r="1868" spans="1:6" hidden="1" x14ac:dyDescent="0.2">
      <c r="A1868" s="46">
        <v>45869</v>
      </c>
      <c r="B1868" s="33" t="s">
        <v>1771</v>
      </c>
      <c r="C1868" s="33">
        <v>24.24</v>
      </c>
      <c r="D1868" s="33" t="s">
        <v>2450</v>
      </c>
      <c r="E1868" s="52" t="s">
        <v>2450</v>
      </c>
      <c r="F1868" s="47" t="s">
        <v>2207</v>
      </c>
    </row>
    <row r="1869" spans="1:6" hidden="1" x14ac:dyDescent="0.2">
      <c r="A1869" s="44">
        <v>45988</v>
      </c>
      <c r="B1869" s="42" t="s">
        <v>1525</v>
      </c>
      <c r="C1869" s="42">
        <v>24.8</v>
      </c>
      <c r="D1869" s="42" t="s">
        <v>2450</v>
      </c>
      <c r="E1869" s="51" t="s">
        <v>2450</v>
      </c>
      <c r="F1869" s="45" t="s">
        <v>2207</v>
      </c>
    </row>
    <row r="1870" spans="1:6" hidden="1" x14ac:dyDescent="0.2">
      <c r="A1870" s="46">
        <v>45855</v>
      </c>
      <c r="B1870" s="33" t="s">
        <v>1827</v>
      </c>
      <c r="C1870" s="33">
        <v>25</v>
      </c>
      <c r="D1870" s="33" t="s">
        <v>2450</v>
      </c>
      <c r="E1870" s="52" t="s">
        <v>2450</v>
      </c>
      <c r="F1870" s="47" t="s">
        <v>2207</v>
      </c>
    </row>
    <row r="1871" spans="1:6" hidden="1" x14ac:dyDescent="0.2">
      <c r="A1871" s="44">
        <v>45872</v>
      </c>
      <c r="B1871" s="42" t="s">
        <v>1751</v>
      </c>
      <c r="C1871" s="42">
        <v>25.04</v>
      </c>
      <c r="D1871" s="42" t="s">
        <v>2450</v>
      </c>
      <c r="E1871" s="51" t="s">
        <v>2450</v>
      </c>
      <c r="F1871" s="45" t="s">
        <v>2207</v>
      </c>
    </row>
    <row r="1872" spans="1:6" hidden="1" x14ac:dyDescent="0.2">
      <c r="A1872" s="46">
        <v>45927</v>
      </c>
      <c r="B1872" s="33" t="s">
        <v>1617</v>
      </c>
      <c r="C1872" s="33">
        <v>25.1</v>
      </c>
      <c r="D1872" s="33" t="s">
        <v>639</v>
      </c>
      <c r="E1872" s="52" t="s">
        <v>45</v>
      </c>
      <c r="F1872" s="47" t="s">
        <v>2207</v>
      </c>
    </row>
    <row r="1873" spans="1:6" hidden="1" x14ac:dyDescent="0.2">
      <c r="A1873" s="44">
        <v>45878</v>
      </c>
      <c r="B1873" s="42" t="s">
        <v>1743</v>
      </c>
      <c r="C1873" s="42">
        <v>25.13</v>
      </c>
      <c r="D1873" s="42" t="s">
        <v>2450</v>
      </c>
      <c r="E1873" s="51" t="s">
        <v>2450</v>
      </c>
      <c r="F1873" s="45" t="s">
        <v>2207</v>
      </c>
    </row>
    <row r="1874" spans="1:6" hidden="1" x14ac:dyDescent="0.2">
      <c r="A1874" s="46">
        <v>45861</v>
      </c>
      <c r="B1874" s="33" t="s">
        <v>1808</v>
      </c>
      <c r="C1874" s="33">
        <v>25.84</v>
      </c>
      <c r="D1874" s="33" t="s">
        <v>2450</v>
      </c>
      <c r="E1874" s="52" t="s">
        <v>2450</v>
      </c>
      <c r="F1874" s="47" t="s">
        <v>2207</v>
      </c>
    </row>
    <row r="1875" spans="1:6" hidden="1" x14ac:dyDescent="0.2">
      <c r="A1875" s="44">
        <v>45908</v>
      </c>
      <c r="B1875" s="42" t="s">
        <v>1660</v>
      </c>
      <c r="C1875" s="42">
        <v>25.95</v>
      </c>
      <c r="D1875" s="42" t="s">
        <v>2450</v>
      </c>
      <c r="E1875" s="51" t="s">
        <v>2450</v>
      </c>
      <c r="F1875" s="45" t="s">
        <v>2207</v>
      </c>
    </row>
    <row r="1876" spans="1:6" hidden="1" x14ac:dyDescent="0.2">
      <c r="A1876" s="46">
        <v>45924</v>
      </c>
      <c r="B1876" s="33" t="s">
        <v>1625</v>
      </c>
      <c r="C1876" s="33">
        <v>25.98</v>
      </c>
      <c r="D1876" s="33" t="s">
        <v>956</v>
      </c>
      <c r="E1876" s="52" t="s">
        <v>45</v>
      </c>
      <c r="F1876" s="47" t="s">
        <v>2207</v>
      </c>
    </row>
    <row r="1877" spans="1:6" hidden="1" x14ac:dyDescent="0.2">
      <c r="A1877" s="44">
        <v>45908</v>
      </c>
      <c r="B1877" s="42" t="s">
        <v>1658</v>
      </c>
      <c r="C1877" s="42">
        <v>26.43</v>
      </c>
      <c r="D1877" s="42" t="s">
        <v>512</v>
      </c>
      <c r="E1877" s="51" t="s">
        <v>45</v>
      </c>
      <c r="F1877" s="45" t="s">
        <v>2207</v>
      </c>
    </row>
    <row r="1878" spans="1:6" hidden="1" x14ac:dyDescent="0.2">
      <c r="A1878" s="46">
        <v>45893</v>
      </c>
      <c r="B1878" s="49" t="s">
        <v>1696</v>
      </c>
      <c r="C1878" s="33">
        <v>26.46</v>
      </c>
      <c r="D1878" s="33" t="s">
        <v>639</v>
      </c>
      <c r="E1878" s="52" t="s">
        <v>6</v>
      </c>
      <c r="F1878" s="47" t="s">
        <v>2207</v>
      </c>
    </row>
    <row r="1879" spans="1:6" hidden="1" x14ac:dyDescent="0.2">
      <c r="A1879" s="44">
        <v>45864</v>
      </c>
      <c r="B1879" s="42" t="s">
        <v>1774</v>
      </c>
      <c r="C1879" s="42">
        <v>26.68</v>
      </c>
      <c r="D1879" s="42" t="s">
        <v>956</v>
      </c>
      <c r="E1879" s="51" t="s">
        <v>45</v>
      </c>
      <c r="F1879" s="45" t="s">
        <v>2207</v>
      </c>
    </row>
    <row r="1880" spans="1:6" hidden="1" x14ac:dyDescent="0.2">
      <c r="A1880" s="46">
        <v>45921</v>
      </c>
      <c r="B1880" s="33" t="s">
        <v>1634</v>
      </c>
      <c r="C1880" s="33">
        <v>26.83</v>
      </c>
      <c r="D1880" s="33" t="s">
        <v>956</v>
      </c>
      <c r="E1880" s="52" t="s">
        <v>45</v>
      </c>
      <c r="F1880" s="47" t="s">
        <v>2207</v>
      </c>
    </row>
    <row r="1881" spans="1:6" hidden="1" x14ac:dyDescent="0.2">
      <c r="A1881" s="44">
        <v>45879</v>
      </c>
      <c r="B1881" s="42" t="s">
        <v>1565</v>
      </c>
      <c r="C1881" s="42">
        <v>27.16</v>
      </c>
      <c r="D1881" s="42" t="s">
        <v>639</v>
      </c>
      <c r="E1881" s="51" t="s">
        <v>6</v>
      </c>
      <c r="F1881" s="45" t="s">
        <v>2207</v>
      </c>
    </row>
    <row r="1882" spans="1:6" hidden="1" x14ac:dyDescent="0.2">
      <c r="A1882" s="46">
        <v>45854</v>
      </c>
      <c r="B1882" s="33" t="s">
        <v>1832</v>
      </c>
      <c r="C1882" s="33">
        <v>27.37</v>
      </c>
      <c r="D1882" s="33" t="s">
        <v>165</v>
      </c>
      <c r="E1882" s="52" t="s">
        <v>45</v>
      </c>
      <c r="F1882" s="47" t="s">
        <v>2207</v>
      </c>
    </row>
    <row r="1883" spans="1:6" hidden="1" x14ac:dyDescent="0.2">
      <c r="A1883" s="44">
        <v>45868</v>
      </c>
      <c r="B1883" s="42" t="s">
        <v>1772</v>
      </c>
      <c r="C1883" s="42">
        <v>27.68</v>
      </c>
      <c r="D1883" s="42" t="s">
        <v>956</v>
      </c>
      <c r="E1883" s="51" t="s">
        <v>45</v>
      </c>
      <c r="F1883" s="45" t="s">
        <v>2207</v>
      </c>
    </row>
    <row r="1884" spans="1:6" hidden="1" x14ac:dyDescent="0.2">
      <c r="A1884" s="46">
        <v>45868</v>
      </c>
      <c r="B1884" s="33" t="s">
        <v>1777</v>
      </c>
      <c r="C1884" s="33">
        <v>28.35</v>
      </c>
      <c r="D1884" s="33" t="s">
        <v>956</v>
      </c>
      <c r="E1884" s="52" t="s">
        <v>45</v>
      </c>
      <c r="F1884" s="47" t="s">
        <v>2207</v>
      </c>
    </row>
    <row r="1885" spans="1:6" hidden="1" x14ac:dyDescent="0.2">
      <c r="A1885" s="44">
        <v>45899</v>
      </c>
      <c r="B1885" s="42" t="s">
        <v>1673</v>
      </c>
      <c r="C1885" s="42">
        <v>29</v>
      </c>
      <c r="D1885" s="42" t="s">
        <v>165</v>
      </c>
      <c r="E1885" s="51" t="s">
        <v>45</v>
      </c>
      <c r="F1885" s="45" t="s">
        <v>2207</v>
      </c>
    </row>
    <row r="1886" spans="1:6" hidden="1" x14ac:dyDescent="0.2">
      <c r="A1886" s="46">
        <v>45879</v>
      </c>
      <c r="B1886" s="33" t="s">
        <v>1737</v>
      </c>
      <c r="C1886" s="33">
        <v>29.19</v>
      </c>
      <c r="D1886" s="33" t="s">
        <v>165</v>
      </c>
      <c r="E1886" s="52" t="s">
        <v>45</v>
      </c>
      <c r="F1886" s="47" t="s">
        <v>2207</v>
      </c>
    </row>
    <row r="1887" spans="1:6" hidden="1" x14ac:dyDescent="0.2">
      <c r="A1887" s="44">
        <v>45860</v>
      </c>
      <c r="B1887" s="42" t="s">
        <v>1778</v>
      </c>
      <c r="C1887" s="42">
        <v>29.45</v>
      </c>
      <c r="D1887" s="42" t="s">
        <v>956</v>
      </c>
      <c r="E1887" s="51" t="s">
        <v>45</v>
      </c>
      <c r="F1887" s="45" t="s">
        <v>2207</v>
      </c>
    </row>
    <row r="1888" spans="1:6" hidden="1" x14ac:dyDescent="0.2">
      <c r="A1888" s="46">
        <v>45913</v>
      </c>
      <c r="B1888" s="33" t="s">
        <v>1648</v>
      </c>
      <c r="C1888" s="33">
        <v>29.55</v>
      </c>
      <c r="D1888" s="33" t="s">
        <v>5</v>
      </c>
      <c r="E1888" s="52" t="s">
        <v>6</v>
      </c>
      <c r="F1888" s="47" t="s">
        <v>2207</v>
      </c>
    </row>
    <row r="1889" spans="1:6" hidden="1" x14ac:dyDescent="0.2">
      <c r="A1889" s="44">
        <v>45869</v>
      </c>
      <c r="B1889" s="42" t="s">
        <v>1766</v>
      </c>
      <c r="C1889" s="42">
        <v>29.77</v>
      </c>
      <c r="D1889" s="42" t="s">
        <v>956</v>
      </c>
      <c r="E1889" s="51" t="s">
        <v>45</v>
      </c>
      <c r="F1889" s="45" t="s">
        <v>2207</v>
      </c>
    </row>
    <row r="1890" spans="1:6" hidden="1" x14ac:dyDescent="0.2">
      <c r="A1890" s="46">
        <v>45899</v>
      </c>
      <c r="B1890" s="33" t="s">
        <v>1676</v>
      </c>
      <c r="C1890" s="33">
        <v>30.35</v>
      </c>
      <c r="D1890" s="33" t="s">
        <v>165</v>
      </c>
      <c r="E1890" s="52" t="s">
        <v>45</v>
      </c>
      <c r="F1890" s="47" t="s">
        <v>2207</v>
      </c>
    </row>
    <row r="1891" spans="1:6" hidden="1" x14ac:dyDescent="0.2">
      <c r="A1891" s="44">
        <v>45883</v>
      </c>
      <c r="B1891" s="42" t="s">
        <v>1724</v>
      </c>
      <c r="C1891" s="42">
        <v>30.8</v>
      </c>
      <c r="D1891" s="42" t="s">
        <v>165</v>
      </c>
      <c r="E1891" s="51" t="s">
        <v>45</v>
      </c>
      <c r="F1891" s="45" t="s">
        <v>2207</v>
      </c>
    </row>
    <row r="1892" spans="1:6" hidden="1" x14ac:dyDescent="0.2">
      <c r="A1892" s="46">
        <v>45921</v>
      </c>
      <c r="B1892" s="33" t="s">
        <v>1635</v>
      </c>
      <c r="C1892" s="33">
        <v>31.42</v>
      </c>
      <c r="D1892" s="33" t="s">
        <v>956</v>
      </c>
      <c r="E1892" s="52" t="s">
        <v>45</v>
      </c>
      <c r="F1892" s="47" t="s">
        <v>2207</v>
      </c>
    </row>
    <row r="1893" spans="1:6" hidden="1" x14ac:dyDescent="0.2">
      <c r="A1893" s="44">
        <v>45856</v>
      </c>
      <c r="B1893" s="62" t="s">
        <v>1826</v>
      </c>
      <c r="C1893" s="42">
        <v>31.53</v>
      </c>
      <c r="D1893" s="42" t="s">
        <v>639</v>
      </c>
      <c r="E1893" s="51" t="s">
        <v>6</v>
      </c>
      <c r="F1893" s="45" t="s">
        <v>2207</v>
      </c>
    </row>
    <row r="1894" spans="1:6" hidden="1" x14ac:dyDescent="0.2">
      <c r="A1894" s="46">
        <v>45924</v>
      </c>
      <c r="B1894" s="33" t="s">
        <v>1628</v>
      </c>
      <c r="C1894" s="33">
        <v>32.5</v>
      </c>
      <c r="D1894" s="33" t="s">
        <v>514</v>
      </c>
      <c r="E1894" s="52" t="s">
        <v>6</v>
      </c>
      <c r="F1894" s="47" t="s">
        <v>2207</v>
      </c>
    </row>
    <row r="1895" spans="1:6" hidden="1" x14ac:dyDescent="0.2">
      <c r="A1895" s="44">
        <v>45878</v>
      </c>
      <c r="B1895" s="42" t="s">
        <v>1607</v>
      </c>
      <c r="C1895" s="42">
        <v>33.299999999999997</v>
      </c>
      <c r="D1895" s="42" t="s">
        <v>165</v>
      </c>
      <c r="E1895" s="51" t="s">
        <v>45</v>
      </c>
      <c r="F1895" s="45" t="s">
        <v>2207</v>
      </c>
    </row>
    <row r="1896" spans="1:6" hidden="1" x14ac:dyDescent="0.2">
      <c r="A1896" s="46">
        <v>45867</v>
      </c>
      <c r="B1896" s="33" t="s">
        <v>1779</v>
      </c>
      <c r="C1896" s="33">
        <v>33.9</v>
      </c>
      <c r="D1896" s="33" t="s">
        <v>956</v>
      </c>
      <c r="E1896" s="52" t="s">
        <v>45</v>
      </c>
      <c r="F1896" s="47" t="s">
        <v>2207</v>
      </c>
    </row>
    <row r="1897" spans="1:6" hidden="1" x14ac:dyDescent="0.2">
      <c r="A1897" s="44">
        <v>45923</v>
      </c>
      <c r="B1897" s="42" t="s">
        <v>1632</v>
      </c>
      <c r="C1897" s="42">
        <v>33.96</v>
      </c>
      <c r="D1897" s="42" t="s">
        <v>600</v>
      </c>
      <c r="E1897" s="51" t="s">
        <v>6</v>
      </c>
      <c r="F1897" s="45" t="s">
        <v>2207</v>
      </c>
    </row>
    <row r="1898" spans="1:6" hidden="1" x14ac:dyDescent="0.2">
      <c r="A1898" s="46">
        <v>45888</v>
      </c>
      <c r="B1898" s="48" t="s">
        <v>1707</v>
      </c>
      <c r="C1898" s="33">
        <v>34.19</v>
      </c>
      <c r="D1898" s="33" t="s">
        <v>639</v>
      </c>
      <c r="E1898" s="52" t="s">
        <v>6</v>
      </c>
      <c r="F1898" s="47" t="s">
        <v>2207</v>
      </c>
    </row>
    <row r="1899" spans="1:6" hidden="1" x14ac:dyDescent="0.2">
      <c r="A1899" s="44">
        <v>45865</v>
      </c>
      <c r="B1899" s="42" t="s">
        <v>1794</v>
      </c>
      <c r="C1899" s="42">
        <v>35</v>
      </c>
      <c r="D1899" s="42" t="s">
        <v>956</v>
      </c>
      <c r="E1899" s="51" t="s">
        <v>45</v>
      </c>
      <c r="F1899" s="45" t="s">
        <v>2207</v>
      </c>
    </row>
    <row r="1900" spans="1:6" hidden="1" x14ac:dyDescent="0.2">
      <c r="A1900" s="46">
        <v>45986</v>
      </c>
      <c r="B1900" s="33" t="s">
        <v>1537</v>
      </c>
      <c r="C1900" s="33">
        <v>35</v>
      </c>
      <c r="D1900" s="33" t="s">
        <v>98</v>
      </c>
      <c r="E1900" s="52" t="s">
        <v>6</v>
      </c>
      <c r="F1900" s="47" t="s">
        <v>2207</v>
      </c>
    </row>
    <row r="1901" spans="1:6" hidden="1" x14ac:dyDescent="0.2">
      <c r="A1901" s="44">
        <v>45878</v>
      </c>
      <c r="B1901" s="42" t="s">
        <v>1742</v>
      </c>
      <c r="C1901" s="42">
        <v>37.270000000000003</v>
      </c>
      <c r="D1901" s="42" t="s">
        <v>469</v>
      </c>
      <c r="E1901" s="51" t="s">
        <v>6</v>
      </c>
      <c r="F1901" s="45" t="s">
        <v>2207</v>
      </c>
    </row>
    <row r="1902" spans="1:6" hidden="1" x14ac:dyDescent="0.2">
      <c r="A1902" s="46">
        <v>45853</v>
      </c>
      <c r="B1902" s="48" t="s">
        <v>1834</v>
      </c>
      <c r="C1902" s="33">
        <v>38.68</v>
      </c>
      <c r="D1902" s="33">
        <v>0</v>
      </c>
      <c r="E1902" s="52">
        <v>0</v>
      </c>
      <c r="F1902" s="47" t="s">
        <v>2207</v>
      </c>
    </row>
    <row r="1903" spans="1:6" hidden="1" x14ac:dyDescent="0.2">
      <c r="A1903" s="44">
        <v>45896</v>
      </c>
      <c r="B1903" s="42" t="s">
        <v>1689</v>
      </c>
      <c r="C1903" s="42">
        <v>39.35</v>
      </c>
      <c r="D1903" s="42" t="s">
        <v>514</v>
      </c>
      <c r="E1903" s="51" t="s">
        <v>6</v>
      </c>
      <c r="F1903" s="45" t="s">
        <v>2207</v>
      </c>
    </row>
    <row r="1904" spans="1:6" hidden="1" x14ac:dyDescent="0.2">
      <c r="A1904" s="46">
        <v>45867</v>
      </c>
      <c r="B1904" s="33" t="s">
        <v>1782</v>
      </c>
      <c r="C1904" s="33">
        <v>39.6</v>
      </c>
      <c r="D1904" s="33" t="s">
        <v>165</v>
      </c>
      <c r="E1904" s="52" t="s">
        <v>45</v>
      </c>
      <c r="F1904" s="47" t="s">
        <v>2207</v>
      </c>
    </row>
    <row r="1905" spans="1:6" hidden="1" x14ac:dyDescent="0.2">
      <c r="A1905" s="44">
        <v>45859</v>
      </c>
      <c r="B1905" s="42" t="s">
        <v>1816</v>
      </c>
      <c r="C1905" s="42">
        <v>40.5</v>
      </c>
      <c r="D1905" s="42" t="s">
        <v>956</v>
      </c>
      <c r="E1905" s="51" t="s">
        <v>45</v>
      </c>
      <c r="F1905" s="45" t="s">
        <v>2207</v>
      </c>
    </row>
    <row r="1906" spans="1:6" hidden="1" x14ac:dyDescent="0.2">
      <c r="A1906" s="46">
        <v>45897</v>
      </c>
      <c r="B1906" s="33" t="s">
        <v>1684</v>
      </c>
      <c r="C1906" s="33">
        <v>41.25</v>
      </c>
      <c r="D1906" s="33" t="s">
        <v>796</v>
      </c>
      <c r="E1906" s="52" t="s">
        <v>6</v>
      </c>
      <c r="F1906" s="47" t="s">
        <v>2207</v>
      </c>
    </row>
    <row r="1907" spans="1:6" hidden="1" x14ac:dyDescent="0.2">
      <c r="A1907" s="44">
        <v>45889</v>
      </c>
      <c r="B1907" s="42" t="s">
        <v>1704</v>
      </c>
      <c r="C1907" s="42">
        <v>42.73</v>
      </c>
      <c r="D1907" s="42" t="s">
        <v>165</v>
      </c>
      <c r="E1907" s="51" t="s">
        <v>45</v>
      </c>
      <c r="F1907" s="45" t="s">
        <v>2207</v>
      </c>
    </row>
    <row r="1908" spans="1:6" hidden="1" x14ac:dyDescent="0.2">
      <c r="A1908" s="46">
        <v>45878</v>
      </c>
      <c r="B1908" s="33" t="s">
        <v>1741</v>
      </c>
      <c r="C1908" s="33">
        <v>43.48</v>
      </c>
      <c r="D1908" s="33" t="s">
        <v>469</v>
      </c>
      <c r="E1908" s="52" t="s">
        <v>6</v>
      </c>
      <c r="F1908" s="47" t="s">
        <v>2207</v>
      </c>
    </row>
    <row r="1909" spans="1:6" hidden="1" x14ac:dyDescent="0.2">
      <c r="A1909" s="44">
        <v>45856</v>
      </c>
      <c r="B1909" s="42" t="s">
        <v>1825</v>
      </c>
      <c r="C1909" s="42">
        <v>43.53</v>
      </c>
      <c r="D1909" s="42" t="s">
        <v>514</v>
      </c>
      <c r="E1909" s="51" t="s">
        <v>6</v>
      </c>
      <c r="F1909" s="45" t="s">
        <v>2207</v>
      </c>
    </row>
    <row r="1910" spans="1:6" hidden="1" x14ac:dyDescent="0.2">
      <c r="A1910" s="46">
        <v>45864</v>
      </c>
      <c r="B1910" s="33" t="s">
        <v>1797</v>
      </c>
      <c r="C1910" s="33">
        <v>44.42</v>
      </c>
      <c r="D1910" s="33" t="s">
        <v>98</v>
      </c>
      <c r="E1910" s="52" t="s">
        <v>45</v>
      </c>
      <c r="F1910" s="47" t="s">
        <v>2207</v>
      </c>
    </row>
    <row r="1911" spans="1:6" hidden="1" x14ac:dyDescent="0.2">
      <c r="A1911" s="44">
        <v>45896</v>
      </c>
      <c r="B1911" s="42" t="s">
        <v>1690</v>
      </c>
      <c r="C1911" s="42">
        <v>44.78</v>
      </c>
      <c r="D1911" s="42" t="s">
        <v>98</v>
      </c>
      <c r="E1911" s="51" t="s">
        <v>45</v>
      </c>
      <c r="F1911" s="45" t="s">
        <v>2207</v>
      </c>
    </row>
    <row r="1912" spans="1:6" hidden="1" x14ac:dyDescent="0.2">
      <c r="A1912" s="46">
        <v>45986</v>
      </c>
      <c r="B1912" s="33" t="s">
        <v>1535</v>
      </c>
      <c r="C1912" s="33">
        <v>46.32</v>
      </c>
      <c r="D1912" s="33" t="s">
        <v>639</v>
      </c>
      <c r="E1912" s="52" t="s">
        <v>6</v>
      </c>
      <c r="F1912" s="47" t="s">
        <v>2207</v>
      </c>
    </row>
    <row r="1913" spans="1:6" hidden="1" x14ac:dyDescent="0.2">
      <c r="A1913" s="44">
        <v>45863</v>
      </c>
      <c r="B1913" s="42" t="s">
        <v>1800</v>
      </c>
      <c r="C1913" s="42">
        <v>46.37</v>
      </c>
      <c r="D1913" s="42" t="s">
        <v>1170</v>
      </c>
      <c r="E1913" s="51" t="s">
        <v>45</v>
      </c>
      <c r="F1913" s="45" t="s">
        <v>2207</v>
      </c>
    </row>
    <row r="1914" spans="1:6" hidden="1" x14ac:dyDescent="0.2">
      <c r="A1914" s="46">
        <v>45859</v>
      </c>
      <c r="B1914" s="33" t="s">
        <v>1815</v>
      </c>
      <c r="C1914" s="33">
        <v>46.55</v>
      </c>
      <c r="D1914" s="33" t="s">
        <v>956</v>
      </c>
      <c r="E1914" s="52" t="s">
        <v>45</v>
      </c>
      <c r="F1914" s="47" t="s">
        <v>2207</v>
      </c>
    </row>
    <row r="1915" spans="1:6" hidden="1" x14ac:dyDescent="0.2">
      <c r="A1915" s="44">
        <v>45903</v>
      </c>
      <c r="B1915" s="42" t="s">
        <v>1617</v>
      </c>
      <c r="C1915" s="42">
        <v>47.32</v>
      </c>
      <c r="D1915" s="42" t="s">
        <v>639</v>
      </c>
      <c r="E1915" s="51" t="s">
        <v>45</v>
      </c>
      <c r="F1915" s="45" t="s">
        <v>2207</v>
      </c>
    </row>
    <row r="1916" spans="1:6" hidden="1" x14ac:dyDescent="0.2">
      <c r="A1916" s="46">
        <v>45890</v>
      </c>
      <c r="B1916" s="33" t="s">
        <v>1700</v>
      </c>
      <c r="C1916" s="33">
        <v>47.34</v>
      </c>
      <c r="D1916" s="33" t="s">
        <v>165</v>
      </c>
      <c r="E1916" s="52" t="s">
        <v>45</v>
      </c>
      <c r="F1916" s="47" t="s">
        <v>2207</v>
      </c>
    </row>
    <row r="1917" spans="1:6" hidden="1" x14ac:dyDescent="0.2">
      <c r="A1917" s="44">
        <v>45870</v>
      </c>
      <c r="B1917" s="42" t="s">
        <v>1756</v>
      </c>
      <c r="C1917" s="42">
        <v>47.72</v>
      </c>
      <c r="D1917" s="42" t="s">
        <v>469</v>
      </c>
      <c r="E1917" s="51" t="s">
        <v>45</v>
      </c>
      <c r="F1917" s="45" t="s">
        <v>2207</v>
      </c>
    </row>
    <row r="1918" spans="1:6" hidden="1" x14ac:dyDescent="0.2">
      <c r="A1918" s="46">
        <v>45897</v>
      </c>
      <c r="B1918" s="33" t="s">
        <v>1657</v>
      </c>
      <c r="C1918" s="33">
        <v>48.45</v>
      </c>
      <c r="D1918" s="33" t="s">
        <v>5</v>
      </c>
      <c r="E1918" s="52" t="s">
        <v>45</v>
      </c>
      <c r="F1918" s="47" t="s">
        <v>2207</v>
      </c>
    </row>
    <row r="1919" spans="1:6" hidden="1" x14ac:dyDescent="0.2">
      <c r="A1919" s="44">
        <v>45908</v>
      </c>
      <c r="B1919" s="42" t="s">
        <v>1657</v>
      </c>
      <c r="C1919" s="42">
        <v>48.45</v>
      </c>
      <c r="D1919" s="42" t="s">
        <v>5</v>
      </c>
      <c r="E1919" s="51" t="s">
        <v>45</v>
      </c>
      <c r="F1919" s="45" t="s">
        <v>2207</v>
      </c>
    </row>
    <row r="1920" spans="1:6" hidden="1" x14ac:dyDescent="0.2">
      <c r="A1920" s="46">
        <v>45861</v>
      </c>
      <c r="B1920" s="33" t="s">
        <v>1812</v>
      </c>
      <c r="C1920" s="33">
        <v>48.53</v>
      </c>
      <c r="D1920" s="33" t="s">
        <v>858</v>
      </c>
      <c r="E1920" s="52" t="s">
        <v>6</v>
      </c>
      <c r="F1920" s="47" t="s">
        <v>2207</v>
      </c>
    </row>
    <row r="1921" spans="1:6" hidden="1" x14ac:dyDescent="0.2">
      <c r="A1921" s="44">
        <v>45989</v>
      </c>
      <c r="B1921" s="42" t="s">
        <v>1519</v>
      </c>
      <c r="C1921" s="42">
        <v>49.13</v>
      </c>
      <c r="D1921" s="42" t="s">
        <v>469</v>
      </c>
      <c r="E1921" s="51" t="s">
        <v>6</v>
      </c>
      <c r="F1921" s="45" t="s">
        <v>2207</v>
      </c>
    </row>
    <row r="1922" spans="1:6" hidden="1" x14ac:dyDescent="0.2">
      <c r="A1922" s="46">
        <v>45878</v>
      </c>
      <c r="B1922" s="33" t="s">
        <v>1739</v>
      </c>
      <c r="C1922" s="33">
        <v>49.32</v>
      </c>
      <c r="D1922" s="33" t="s">
        <v>956</v>
      </c>
      <c r="E1922" s="52" t="s">
        <v>45</v>
      </c>
      <c r="F1922" s="47" t="s">
        <v>2207</v>
      </c>
    </row>
    <row r="1923" spans="1:6" hidden="1" x14ac:dyDescent="0.2">
      <c r="A1923" s="44">
        <v>45925</v>
      </c>
      <c r="B1923" s="42" t="s">
        <v>1624</v>
      </c>
      <c r="C1923" s="42">
        <v>50</v>
      </c>
      <c r="D1923" s="42" t="s">
        <v>5</v>
      </c>
      <c r="E1923" s="51" t="s">
        <v>6</v>
      </c>
      <c r="F1923" s="45" t="s">
        <v>2207</v>
      </c>
    </row>
    <row r="1924" spans="1:6" hidden="1" x14ac:dyDescent="0.2">
      <c r="A1924" s="46">
        <v>45987</v>
      </c>
      <c r="B1924" s="33" t="s">
        <v>1530</v>
      </c>
      <c r="C1924" s="33">
        <v>50</v>
      </c>
      <c r="D1924" s="33" t="s">
        <v>901</v>
      </c>
      <c r="E1924" s="52" t="s">
        <v>45</v>
      </c>
      <c r="F1924" s="47" t="s">
        <v>2207</v>
      </c>
    </row>
    <row r="1925" spans="1:6" hidden="1" x14ac:dyDescent="0.2">
      <c r="A1925" s="44">
        <v>45861</v>
      </c>
      <c r="B1925" s="42" t="s">
        <v>1813</v>
      </c>
      <c r="C1925" s="42">
        <v>50.74</v>
      </c>
      <c r="D1925" s="42" t="s">
        <v>835</v>
      </c>
      <c r="E1925" s="51" t="s">
        <v>6</v>
      </c>
      <c r="F1925" s="45" t="s">
        <v>2207</v>
      </c>
    </row>
    <row r="1926" spans="1:6" hidden="1" x14ac:dyDescent="0.2">
      <c r="A1926" s="46">
        <v>45887</v>
      </c>
      <c r="B1926" s="33" t="s">
        <v>1709</v>
      </c>
      <c r="C1926" s="33">
        <v>51.58</v>
      </c>
      <c r="D1926" s="33" t="s">
        <v>165</v>
      </c>
      <c r="E1926" s="52" t="s">
        <v>45</v>
      </c>
      <c r="F1926" s="47" t="s">
        <v>2207</v>
      </c>
    </row>
    <row r="1927" spans="1:6" hidden="1" x14ac:dyDescent="0.2">
      <c r="A1927" s="44">
        <v>45861</v>
      </c>
      <c r="B1927" s="42" t="s">
        <v>1809</v>
      </c>
      <c r="C1927" s="42">
        <v>52.43</v>
      </c>
      <c r="D1927" s="42" t="s">
        <v>956</v>
      </c>
      <c r="E1927" s="51" t="s">
        <v>45</v>
      </c>
      <c r="F1927" s="45" t="s">
        <v>2207</v>
      </c>
    </row>
    <row r="1928" spans="1:6" hidden="1" x14ac:dyDescent="0.2">
      <c r="A1928" s="46">
        <v>45886</v>
      </c>
      <c r="B1928" s="33" t="s">
        <v>1711</v>
      </c>
      <c r="C1928" s="33">
        <v>53.94</v>
      </c>
      <c r="D1928" s="33" t="s">
        <v>639</v>
      </c>
      <c r="E1928" s="52" t="s">
        <v>6</v>
      </c>
      <c r="F1928" s="47" t="s">
        <v>2207</v>
      </c>
    </row>
    <row r="1929" spans="1:6" hidden="1" x14ac:dyDescent="0.2">
      <c r="A1929" s="44">
        <v>45987</v>
      </c>
      <c r="B1929" s="42" t="s">
        <v>1531</v>
      </c>
      <c r="C1929" s="42">
        <v>54.56</v>
      </c>
      <c r="D1929" s="42" t="s">
        <v>639</v>
      </c>
      <c r="E1929" s="51" t="s">
        <v>6</v>
      </c>
      <c r="F1929" s="45" t="s">
        <v>2207</v>
      </c>
    </row>
    <row r="1930" spans="1:6" hidden="1" x14ac:dyDescent="0.2">
      <c r="A1930" s="46">
        <v>45914</v>
      </c>
      <c r="B1930" s="33" t="s">
        <v>1646</v>
      </c>
      <c r="C1930" s="33">
        <v>54.9</v>
      </c>
      <c r="D1930" s="33" t="s">
        <v>5</v>
      </c>
      <c r="E1930" s="52" t="s">
        <v>6</v>
      </c>
      <c r="F1930" s="47" t="s">
        <v>2207</v>
      </c>
    </row>
    <row r="1931" spans="1:6" hidden="1" x14ac:dyDescent="0.2">
      <c r="A1931" s="44">
        <v>45878</v>
      </c>
      <c r="B1931" s="42" t="s">
        <v>1745</v>
      </c>
      <c r="C1931" s="42">
        <v>55</v>
      </c>
      <c r="D1931" s="42">
        <v>0</v>
      </c>
      <c r="E1931" s="51">
        <v>0</v>
      </c>
      <c r="F1931" s="45" t="s">
        <v>2207</v>
      </c>
    </row>
    <row r="1932" spans="1:6" hidden="1" x14ac:dyDescent="0.2">
      <c r="A1932" s="46">
        <v>45903</v>
      </c>
      <c r="B1932" s="33" t="s">
        <v>1663</v>
      </c>
      <c r="C1932" s="33">
        <v>55.26</v>
      </c>
      <c r="D1932" s="33" t="s">
        <v>98</v>
      </c>
      <c r="E1932" s="52" t="s">
        <v>6</v>
      </c>
      <c r="F1932" s="47" t="s">
        <v>2207</v>
      </c>
    </row>
    <row r="1933" spans="1:6" hidden="1" x14ac:dyDescent="0.2">
      <c r="A1933" s="44">
        <v>45911</v>
      </c>
      <c r="B1933" s="42" t="s">
        <v>1653</v>
      </c>
      <c r="C1933" s="42">
        <v>56.18</v>
      </c>
      <c r="D1933" s="42" t="s">
        <v>514</v>
      </c>
      <c r="E1933" s="51" t="s">
        <v>45</v>
      </c>
      <c r="F1933" s="45" t="s">
        <v>2207</v>
      </c>
    </row>
    <row r="1934" spans="1:6" hidden="1" x14ac:dyDescent="0.2">
      <c r="A1934" s="46">
        <v>45866</v>
      </c>
      <c r="B1934" s="33" t="s">
        <v>1385</v>
      </c>
      <c r="C1934" s="33">
        <v>15</v>
      </c>
      <c r="D1934" s="33" t="s">
        <v>68</v>
      </c>
      <c r="E1934" s="52" t="s">
        <v>45</v>
      </c>
      <c r="F1934" s="47" t="s">
        <v>2207</v>
      </c>
    </row>
    <row r="1935" spans="1:6" hidden="1" x14ac:dyDescent="0.2">
      <c r="A1935" s="44">
        <v>45920</v>
      </c>
      <c r="B1935" s="42" t="s">
        <v>1637</v>
      </c>
      <c r="C1935" s="42">
        <v>57.39</v>
      </c>
      <c r="D1935" s="42" t="s">
        <v>956</v>
      </c>
      <c r="E1935" s="51" t="s">
        <v>45</v>
      </c>
      <c r="F1935" s="45" t="s">
        <v>2207</v>
      </c>
    </row>
    <row r="1936" spans="1:6" hidden="1" x14ac:dyDescent="0.2">
      <c r="A1936" s="46">
        <v>45902</v>
      </c>
      <c r="B1936" s="33" t="s">
        <v>1607</v>
      </c>
      <c r="C1936" s="33">
        <v>59.17</v>
      </c>
      <c r="D1936" s="33" t="s">
        <v>165</v>
      </c>
      <c r="E1936" s="52" t="s">
        <v>45</v>
      </c>
      <c r="F1936" s="47" t="s">
        <v>2207</v>
      </c>
    </row>
    <row r="1937" spans="1:6" hidden="1" x14ac:dyDescent="0.2">
      <c r="A1937" s="44">
        <v>45987</v>
      </c>
      <c r="B1937" s="42" t="s">
        <v>1527</v>
      </c>
      <c r="C1937" s="42">
        <v>59.17</v>
      </c>
      <c r="D1937" s="42">
        <v>0</v>
      </c>
      <c r="E1937" s="51">
        <v>0</v>
      </c>
      <c r="F1937" s="45" t="s">
        <v>2207</v>
      </c>
    </row>
    <row r="1938" spans="1:6" hidden="1" x14ac:dyDescent="0.2">
      <c r="A1938" s="46">
        <v>45868</v>
      </c>
      <c r="B1938" s="33" t="s">
        <v>1776</v>
      </c>
      <c r="C1938" s="33">
        <v>59.41</v>
      </c>
      <c r="D1938" s="33" t="s">
        <v>956</v>
      </c>
      <c r="E1938" s="52" t="s">
        <v>45</v>
      </c>
      <c r="F1938" s="47" t="s">
        <v>2207</v>
      </c>
    </row>
    <row r="1939" spans="1:6" hidden="1" x14ac:dyDescent="0.2">
      <c r="A1939" s="44">
        <v>45870</v>
      </c>
      <c r="B1939" s="42" t="s">
        <v>1760</v>
      </c>
      <c r="C1939" s="42">
        <v>60</v>
      </c>
      <c r="D1939" s="42" t="s">
        <v>5</v>
      </c>
      <c r="E1939" s="51" t="s">
        <v>6</v>
      </c>
      <c r="F1939" s="45" t="s">
        <v>2207</v>
      </c>
    </row>
    <row r="1940" spans="1:6" hidden="1" x14ac:dyDescent="0.2">
      <c r="A1940" s="46">
        <v>45862</v>
      </c>
      <c r="B1940" s="33" t="s">
        <v>1804</v>
      </c>
      <c r="C1940" s="33">
        <v>60.24</v>
      </c>
      <c r="D1940" s="33" t="s">
        <v>956</v>
      </c>
      <c r="E1940" s="52" t="s">
        <v>45</v>
      </c>
      <c r="F1940" s="47" t="s">
        <v>2207</v>
      </c>
    </row>
    <row r="1941" spans="1:6" hidden="1" x14ac:dyDescent="0.2">
      <c r="A1941" s="44">
        <v>45910</v>
      </c>
      <c r="B1941" s="42" t="s">
        <v>1655</v>
      </c>
      <c r="C1941" s="42">
        <v>60.6</v>
      </c>
      <c r="D1941" s="42" t="s">
        <v>165</v>
      </c>
      <c r="E1941" s="51" t="s">
        <v>45</v>
      </c>
      <c r="F1941" s="45" t="s">
        <v>2207</v>
      </c>
    </row>
    <row r="1942" spans="1:6" hidden="1" x14ac:dyDescent="0.2">
      <c r="A1942" s="46">
        <v>45891</v>
      </c>
      <c r="B1942" s="48" t="s">
        <v>1699</v>
      </c>
      <c r="C1942" s="33">
        <v>60.69</v>
      </c>
      <c r="D1942" s="33" t="s">
        <v>98</v>
      </c>
      <c r="E1942" s="52" t="s">
        <v>45</v>
      </c>
      <c r="F1942" s="47" t="s">
        <v>2207</v>
      </c>
    </row>
    <row r="1943" spans="1:6" hidden="1" x14ac:dyDescent="0.2">
      <c r="A1943" s="44">
        <v>45882</v>
      </c>
      <c r="B1943" s="42" t="s">
        <v>1731</v>
      </c>
      <c r="C1943" s="42">
        <v>64.959999999999994</v>
      </c>
      <c r="D1943" s="42" t="s">
        <v>5</v>
      </c>
      <c r="E1943" s="51" t="s">
        <v>6</v>
      </c>
      <c r="F1943" s="45" t="s">
        <v>2207</v>
      </c>
    </row>
    <row r="1944" spans="1:6" hidden="1" x14ac:dyDescent="0.2">
      <c r="A1944" s="46">
        <v>45911</v>
      </c>
      <c r="B1944" s="33" t="s">
        <v>1652</v>
      </c>
      <c r="C1944" s="33">
        <v>65.010000000000005</v>
      </c>
      <c r="D1944" s="33" t="s">
        <v>514</v>
      </c>
      <c r="E1944" s="52" t="s">
        <v>6</v>
      </c>
      <c r="F1944" s="47" t="s">
        <v>2207</v>
      </c>
    </row>
    <row r="1945" spans="1:6" hidden="1" x14ac:dyDescent="0.2">
      <c r="A1945" s="44">
        <v>45931</v>
      </c>
      <c r="B1945" s="42" t="s">
        <v>1607</v>
      </c>
      <c r="C1945" s="42">
        <v>65.98</v>
      </c>
      <c r="D1945" s="42" t="s">
        <v>165</v>
      </c>
      <c r="E1945" s="51" t="s">
        <v>45</v>
      </c>
      <c r="F1945" s="45" t="s">
        <v>2207</v>
      </c>
    </row>
    <row r="1946" spans="1:6" hidden="1" x14ac:dyDescent="0.2">
      <c r="A1946" s="46">
        <v>45847</v>
      </c>
      <c r="B1946" s="33" t="s">
        <v>1845</v>
      </c>
      <c r="C1946" s="33">
        <v>67.06</v>
      </c>
      <c r="D1946" s="33" t="s">
        <v>165</v>
      </c>
      <c r="E1946" s="52" t="s">
        <v>45</v>
      </c>
      <c r="F1946" s="47" t="s">
        <v>2207</v>
      </c>
    </row>
    <row r="1947" spans="1:6" hidden="1" x14ac:dyDescent="0.2">
      <c r="A1947" s="44">
        <v>45884</v>
      </c>
      <c r="B1947" s="42" t="s">
        <v>1720</v>
      </c>
      <c r="C1947" s="42">
        <v>67.680000000000007</v>
      </c>
      <c r="D1947" s="42" t="s">
        <v>165</v>
      </c>
      <c r="E1947" s="51" t="s">
        <v>45</v>
      </c>
      <c r="F1947" s="45" t="s">
        <v>2207</v>
      </c>
    </row>
    <row r="1948" spans="1:6" hidden="1" x14ac:dyDescent="0.2">
      <c r="A1948" s="46">
        <v>45849</v>
      </c>
      <c r="B1948" s="48" t="s">
        <v>1841</v>
      </c>
      <c r="C1948" s="33">
        <v>68.83</v>
      </c>
      <c r="D1948" s="33" t="s">
        <v>639</v>
      </c>
      <c r="E1948" s="52" t="s">
        <v>6</v>
      </c>
      <c r="F1948" s="47" t="s">
        <v>2207</v>
      </c>
    </row>
    <row r="1949" spans="1:6" hidden="1" x14ac:dyDescent="0.2">
      <c r="A1949" s="44">
        <v>45914</v>
      </c>
      <c r="B1949" s="42" t="s">
        <v>1595</v>
      </c>
      <c r="C1949" s="42">
        <v>69.11</v>
      </c>
      <c r="D1949" s="42" t="s">
        <v>828</v>
      </c>
      <c r="E1949" s="51" t="s">
        <v>6</v>
      </c>
      <c r="F1949" s="45" t="s">
        <v>2207</v>
      </c>
    </row>
    <row r="1950" spans="1:6" hidden="1" x14ac:dyDescent="0.2">
      <c r="A1950" s="46">
        <v>45862</v>
      </c>
      <c r="B1950" s="33" t="s">
        <v>1805</v>
      </c>
      <c r="C1950" s="33">
        <v>71.290000000000006</v>
      </c>
      <c r="D1950" s="33" t="s">
        <v>956</v>
      </c>
      <c r="E1950" s="52" t="s">
        <v>45</v>
      </c>
      <c r="F1950" s="47" t="s">
        <v>2207</v>
      </c>
    </row>
    <row r="1951" spans="1:6" hidden="1" x14ac:dyDescent="0.2">
      <c r="A1951" s="44">
        <v>45886</v>
      </c>
      <c r="B1951" s="42" t="s">
        <v>1689</v>
      </c>
      <c r="C1951" s="42">
        <v>72.540000000000006</v>
      </c>
      <c r="D1951" s="42" t="s">
        <v>514</v>
      </c>
      <c r="E1951" s="51" t="s">
        <v>6</v>
      </c>
      <c r="F1951" s="45" t="s">
        <v>2207</v>
      </c>
    </row>
    <row r="1952" spans="1:6" hidden="1" x14ac:dyDescent="0.2">
      <c r="A1952" s="46">
        <v>45888</v>
      </c>
      <c r="B1952" s="33" t="s">
        <v>1581</v>
      </c>
      <c r="C1952" s="33">
        <v>72.81</v>
      </c>
      <c r="D1952" s="33" t="s">
        <v>514</v>
      </c>
      <c r="E1952" s="52" t="s">
        <v>6</v>
      </c>
      <c r="F1952" s="47" t="s">
        <v>2207</v>
      </c>
    </row>
    <row r="1953" spans="1:6" hidden="1" x14ac:dyDescent="0.2">
      <c r="A1953" s="44">
        <v>45899</v>
      </c>
      <c r="B1953" s="42" t="s">
        <v>1677</v>
      </c>
      <c r="C1953" s="42">
        <v>75.97</v>
      </c>
      <c r="D1953" s="42" t="s">
        <v>514</v>
      </c>
      <c r="E1953" s="51" t="s">
        <v>6</v>
      </c>
      <c r="F1953" s="45" t="s">
        <v>2207</v>
      </c>
    </row>
    <row r="1954" spans="1:6" hidden="1" x14ac:dyDescent="0.2">
      <c r="A1954" s="46">
        <v>45898</v>
      </c>
      <c r="B1954" s="33" t="s">
        <v>1679</v>
      </c>
      <c r="C1954" s="33">
        <v>77.25</v>
      </c>
      <c r="D1954" s="33" t="s">
        <v>98</v>
      </c>
      <c r="E1954" s="52" t="s">
        <v>6</v>
      </c>
      <c r="F1954" s="47" t="s">
        <v>2207</v>
      </c>
    </row>
    <row r="1955" spans="1:6" hidden="1" x14ac:dyDescent="0.2">
      <c r="A1955" s="44">
        <v>45908</v>
      </c>
      <c r="B1955" s="42" t="s">
        <v>1659</v>
      </c>
      <c r="C1955" s="42">
        <v>78.41</v>
      </c>
      <c r="D1955" s="42" t="s">
        <v>514</v>
      </c>
      <c r="E1955" s="51" t="s">
        <v>6</v>
      </c>
      <c r="F1955" s="45" t="s">
        <v>2207</v>
      </c>
    </row>
    <row r="1956" spans="1:6" hidden="1" x14ac:dyDescent="0.2">
      <c r="A1956" s="46">
        <v>45888</v>
      </c>
      <c r="B1956" s="33" t="s">
        <v>1708</v>
      </c>
      <c r="C1956" s="33">
        <v>80.5</v>
      </c>
      <c r="D1956" s="33">
        <v>0</v>
      </c>
      <c r="E1956" s="52">
        <v>0</v>
      </c>
      <c r="F1956" s="47" t="s">
        <v>2207</v>
      </c>
    </row>
    <row r="1957" spans="1:6" hidden="1" x14ac:dyDescent="0.2">
      <c r="A1957" s="44">
        <v>45885</v>
      </c>
      <c r="B1957" s="42" t="s">
        <v>1718</v>
      </c>
      <c r="C1957" s="42">
        <v>81.44</v>
      </c>
      <c r="D1957" s="42" t="s">
        <v>165</v>
      </c>
      <c r="E1957" s="51" t="s">
        <v>45</v>
      </c>
      <c r="F1957" s="45" t="s">
        <v>2207</v>
      </c>
    </row>
    <row r="1958" spans="1:6" hidden="1" x14ac:dyDescent="0.2">
      <c r="A1958" s="46">
        <v>45856</v>
      </c>
      <c r="B1958" s="33" t="s">
        <v>1823</v>
      </c>
      <c r="C1958" s="33">
        <v>81.69</v>
      </c>
      <c r="D1958" s="33" t="s">
        <v>956</v>
      </c>
      <c r="E1958" s="52" t="s">
        <v>45</v>
      </c>
      <c r="F1958" s="47" t="s">
        <v>2207</v>
      </c>
    </row>
    <row r="1959" spans="1:6" hidden="1" x14ac:dyDescent="0.2">
      <c r="A1959" s="44">
        <v>45858</v>
      </c>
      <c r="B1959" s="42" t="s">
        <v>1820</v>
      </c>
      <c r="C1959" s="42">
        <v>82.43</v>
      </c>
      <c r="D1959" s="42" t="s">
        <v>5</v>
      </c>
      <c r="E1959" s="51" t="s">
        <v>6</v>
      </c>
      <c r="F1959" s="45" t="s">
        <v>2207</v>
      </c>
    </row>
    <row r="1960" spans="1:6" hidden="1" x14ac:dyDescent="0.2">
      <c r="A1960" s="46">
        <v>45924</v>
      </c>
      <c r="B1960" s="33" t="s">
        <v>1625</v>
      </c>
      <c r="C1960" s="33">
        <v>83.16</v>
      </c>
      <c r="D1960" s="33" t="s">
        <v>956</v>
      </c>
      <c r="E1960" s="52" t="s">
        <v>45</v>
      </c>
      <c r="F1960" s="47" t="s">
        <v>2207</v>
      </c>
    </row>
    <row r="1961" spans="1:6" hidden="1" x14ac:dyDescent="0.2">
      <c r="A1961" s="44">
        <v>45918</v>
      </c>
      <c r="B1961" s="42" t="s">
        <v>1640</v>
      </c>
      <c r="C1961" s="42">
        <v>84.75</v>
      </c>
      <c r="D1961" s="42" t="s">
        <v>956</v>
      </c>
      <c r="E1961" s="51" t="s">
        <v>45</v>
      </c>
      <c r="F1961" s="45" t="s">
        <v>2207</v>
      </c>
    </row>
    <row r="1962" spans="1:6" hidden="1" x14ac:dyDescent="0.2">
      <c r="A1962" s="46">
        <v>45919</v>
      </c>
      <c r="B1962" s="33" t="s">
        <v>1640</v>
      </c>
      <c r="C1962" s="33">
        <v>84.75</v>
      </c>
      <c r="D1962" s="33" t="s">
        <v>956</v>
      </c>
      <c r="E1962" s="52" t="s">
        <v>45</v>
      </c>
      <c r="F1962" s="47" t="s">
        <v>2207</v>
      </c>
    </row>
    <row r="1963" spans="1:6" hidden="1" x14ac:dyDescent="0.2">
      <c r="A1963" s="44">
        <v>45858</v>
      </c>
      <c r="B1963" s="42" t="s">
        <v>1818</v>
      </c>
      <c r="C1963" s="42">
        <v>85.64</v>
      </c>
      <c r="D1963" s="42" t="s">
        <v>956</v>
      </c>
      <c r="E1963" s="51" t="s">
        <v>45</v>
      </c>
      <c r="F1963" s="45" t="s">
        <v>2207</v>
      </c>
    </row>
    <row r="1964" spans="1:6" hidden="1" x14ac:dyDescent="0.2">
      <c r="A1964" s="46">
        <v>45930</v>
      </c>
      <c r="B1964" s="33" t="s">
        <v>1610</v>
      </c>
      <c r="C1964" s="33">
        <v>85.66</v>
      </c>
      <c r="D1964" s="33">
        <v>0</v>
      </c>
      <c r="E1964" s="52">
        <v>0</v>
      </c>
      <c r="F1964" s="47" t="s">
        <v>2207</v>
      </c>
    </row>
    <row r="1965" spans="1:6" hidden="1" x14ac:dyDescent="0.2">
      <c r="A1965" s="44">
        <v>45886</v>
      </c>
      <c r="B1965" s="42" t="s">
        <v>1712</v>
      </c>
      <c r="C1965" s="42">
        <v>86.03</v>
      </c>
      <c r="D1965" s="42" t="s">
        <v>5</v>
      </c>
      <c r="E1965" s="51" t="s">
        <v>6</v>
      </c>
      <c r="F1965" s="45" t="s">
        <v>2207</v>
      </c>
    </row>
    <row r="1966" spans="1:6" hidden="1" x14ac:dyDescent="0.2">
      <c r="A1966" s="46">
        <v>45889</v>
      </c>
      <c r="B1966" s="33" t="s">
        <v>1705</v>
      </c>
      <c r="C1966" s="33">
        <v>86.5</v>
      </c>
      <c r="D1966" s="33">
        <v>0</v>
      </c>
      <c r="E1966" s="52">
        <v>0</v>
      </c>
      <c r="F1966" s="47" t="s">
        <v>2207</v>
      </c>
    </row>
    <row r="1967" spans="1:6" hidden="1" x14ac:dyDescent="0.2">
      <c r="A1967" s="44">
        <v>45821</v>
      </c>
      <c r="B1967" s="42" t="s">
        <v>1944</v>
      </c>
      <c r="C1967" s="42">
        <v>86.63</v>
      </c>
      <c r="D1967" s="42" t="s">
        <v>1170</v>
      </c>
      <c r="E1967" s="51" t="s">
        <v>45</v>
      </c>
      <c r="F1967" s="45" t="s">
        <v>2207</v>
      </c>
    </row>
    <row r="1968" spans="1:6" hidden="1" x14ac:dyDescent="0.2">
      <c r="A1968" s="46">
        <v>45880</v>
      </c>
      <c r="B1968" s="33" t="s">
        <v>1736</v>
      </c>
      <c r="C1968" s="33">
        <v>86.68</v>
      </c>
      <c r="D1968" s="33" t="s">
        <v>5</v>
      </c>
      <c r="E1968" s="52" t="s">
        <v>6</v>
      </c>
      <c r="F1968" s="47" t="s">
        <v>2207</v>
      </c>
    </row>
    <row r="1969" spans="1:6" hidden="1" x14ac:dyDescent="0.2">
      <c r="A1969" s="44">
        <v>45929</v>
      </c>
      <c r="B1969" s="42" t="s">
        <v>1591</v>
      </c>
      <c r="C1969" s="42">
        <v>86.88</v>
      </c>
      <c r="D1969" s="42" t="s">
        <v>514</v>
      </c>
      <c r="E1969" s="51" t="s">
        <v>6</v>
      </c>
      <c r="F1969" s="45" t="s">
        <v>2207</v>
      </c>
    </row>
    <row r="1970" spans="1:6" hidden="1" x14ac:dyDescent="0.2">
      <c r="A1970" s="46">
        <v>45870</v>
      </c>
      <c r="B1970" s="33" t="s">
        <v>1669</v>
      </c>
      <c r="C1970" s="33">
        <v>88.11</v>
      </c>
      <c r="D1970" s="33" t="s">
        <v>1148</v>
      </c>
      <c r="E1970" s="52" t="s">
        <v>6</v>
      </c>
      <c r="F1970" s="47" t="s">
        <v>2207</v>
      </c>
    </row>
    <row r="1971" spans="1:6" hidden="1" x14ac:dyDescent="0.2">
      <c r="A1971" s="44">
        <v>45848</v>
      </c>
      <c r="B1971" s="42" t="s">
        <v>1842</v>
      </c>
      <c r="C1971" s="42">
        <v>88.27</v>
      </c>
      <c r="D1971" s="42" t="s">
        <v>639</v>
      </c>
      <c r="E1971" s="51" t="s">
        <v>6</v>
      </c>
      <c r="F1971" s="45" t="s">
        <v>2207</v>
      </c>
    </row>
    <row r="1972" spans="1:6" hidden="1" x14ac:dyDescent="0.2">
      <c r="A1972" s="46">
        <v>45986</v>
      </c>
      <c r="B1972" s="33" t="s">
        <v>1518</v>
      </c>
      <c r="C1972" s="33">
        <v>88.27</v>
      </c>
      <c r="D1972" s="33" t="s">
        <v>514</v>
      </c>
      <c r="E1972" s="52" t="s">
        <v>6</v>
      </c>
      <c r="F1972" s="47" t="s">
        <v>2207</v>
      </c>
    </row>
    <row r="1973" spans="1:6" hidden="1" x14ac:dyDescent="0.2">
      <c r="A1973" s="44">
        <v>45862</v>
      </c>
      <c r="B1973" s="42" t="s">
        <v>1806</v>
      </c>
      <c r="C1973" s="42">
        <v>88.29</v>
      </c>
      <c r="D1973" s="42" t="s">
        <v>639</v>
      </c>
      <c r="E1973" s="51" t="s">
        <v>6</v>
      </c>
      <c r="F1973" s="45" t="s">
        <v>2207</v>
      </c>
    </row>
    <row r="1974" spans="1:6" hidden="1" x14ac:dyDescent="0.2">
      <c r="A1974" s="46">
        <v>45878</v>
      </c>
      <c r="B1974" s="33" t="s">
        <v>1733</v>
      </c>
      <c r="C1974" s="33">
        <v>94.14</v>
      </c>
      <c r="D1974" s="33" t="s">
        <v>639</v>
      </c>
      <c r="E1974" s="52" t="s">
        <v>6</v>
      </c>
      <c r="F1974" s="47" t="s">
        <v>2207</v>
      </c>
    </row>
    <row r="1975" spans="1:6" hidden="1" x14ac:dyDescent="0.2">
      <c r="A1975" s="44">
        <v>45859</v>
      </c>
      <c r="B1975" s="42" t="s">
        <v>1618</v>
      </c>
      <c r="C1975" s="42">
        <v>96.17</v>
      </c>
      <c r="D1975" s="42" t="s">
        <v>5</v>
      </c>
      <c r="E1975" s="51" t="s">
        <v>45</v>
      </c>
      <c r="F1975" s="45" t="s">
        <v>2207</v>
      </c>
    </row>
    <row r="1976" spans="1:6" hidden="1" x14ac:dyDescent="0.2">
      <c r="A1976" s="46">
        <v>45896</v>
      </c>
      <c r="B1976" s="33" t="s">
        <v>1691</v>
      </c>
      <c r="C1976" s="33">
        <v>96.17</v>
      </c>
      <c r="D1976" s="33" t="s">
        <v>5</v>
      </c>
      <c r="E1976" s="52" t="s">
        <v>6</v>
      </c>
      <c r="F1976" s="47" t="s">
        <v>2207</v>
      </c>
    </row>
    <row r="1977" spans="1:6" hidden="1" x14ac:dyDescent="0.2">
      <c r="A1977" s="44">
        <v>45923</v>
      </c>
      <c r="B1977" s="42" t="s">
        <v>1631</v>
      </c>
      <c r="C1977" s="42">
        <v>97.98</v>
      </c>
      <c r="D1977" s="42" t="s">
        <v>5</v>
      </c>
      <c r="E1977" s="51" t="s">
        <v>6</v>
      </c>
      <c r="F1977" s="45" t="s">
        <v>2207</v>
      </c>
    </row>
    <row r="1978" spans="1:6" hidden="1" x14ac:dyDescent="0.2">
      <c r="A1978" s="46">
        <v>45926</v>
      </c>
      <c r="B1978" s="33" t="s">
        <v>1622</v>
      </c>
      <c r="C1978" s="33">
        <v>99.32</v>
      </c>
      <c r="D1978" s="33">
        <v>0</v>
      </c>
      <c r="E1978" s="52">
        <v>0</v>
      </c>
      <c r="F1978" s="47" t="s">
        <v>2207</v>
      </c>
    </row>
    <row r="1979" spans="1:6" hidden="1" x14ac:dyDescent="0.2">
      <c r="A1979" s="44">
        <v>45864</v>
      </c>
      <c r="B1979" s="62" t="s">
        <v>1798</v>
      </c>
      <c r="C1979" s="42">
        <v>108</v>
      </c>
      <c r="D1979" s="42" t="s">
        <v>87</v>
      </c>
      <c r="E1979" s="51" t="s">
        <v>6</v>
      </c>
      <c r="F1979" s="45" t="s">
        <v>2207</v>
      </c>
    </row>
    <row r="1980" spans="1:6" hidden="1" x14ac:dyDescent="0.2">
      <c r="A1980" s="46">
        <v>45928</v>
      </c>
      <c r="B1980" s="48" t="s">
        <v>1615</v>
      </c>
      <c r="C1980" s="33">
        <v>108.14</v>
      </c>
      <c r="D1980" s="33" t="s">
        <v>469</v>
      </c>
      <c r="E1980" s="52" t="s">
        <v>6</v>
      </c>
      <c r="F1980" s="47" t="s">
        <v>2207</v>
      </c>
    </row>
    <row r="1981" spans="1:6" hidden="1" x14ac:dyDescent="0.2">
      <c r="A1981" s="44">
        <v>45929</v>
      </c>
      <c r="B1981" s="42" t="s">
        <v>1611</v>
      </c>
      <c r="C1981" s="42">
        <v>110</v>
      </c>
      <c r="D1981" s="42" t="s">
        <v>600</v>
      </c>
      <c r="E1981" s="51" t="s">
        <v>6</v>
      </c>
      <c r="F1981" s="45" t="s">
        <v>2207</v>
      </c>
    </row>
    <row r="1982" spans="1:6" hidden="1" x14ac:dyDescent="0.2">
      <c r="A1982" s="46">
        <v>45990</v>
      </c>
      <c r="B1982" s="33" t="s">
        <v>1514</v>
      </c>
      <c r="C1982" s="33">
        <v>110.4</v>
      </c>
      <c r="D1982" s="33" t="s">
        <v>165</v>
      </c>
      <c r="E1982" s="52" t="s">
        <v>45</v>
      </c>
      <c r="F1982" s="47" t="s">
        <v>2207</v>
      </c>
    </row>
    <row r="1983" spans="1:6" hidden="1" x14ac:dyDescent="0.2">
      <c r="A1983" s="44">
        <v>45987</v>
      </c>
      <c r="B1983" s="42" t="s">
        <v>1528</v>
      </c>
      <c r="C1983" s="42">
        <v>111.25</v>
      </c>
      <c r="D1983" s="42" t="s">
        <v>165</v>
      </c>
      <c r="E1983" s="51" t="s">
        <v>45</v>
      </c>
      <c r="F1983" s="45" t="s">
        <v>2207</v>
      </c>
    </row>
    <row r="1984" spans="1:6" hidden="1" x14ac:dyDescent="0.2">
      <c r="A1984" s="46">
        <v>45867</v>
      </c>
      <c r="B1984" s="33" t="s">
        <v>1780</v>
      </c>
      <c r="C1984" s="33">
        <v>114.86</v>
      </c>
      <c r="D1984" s="33" t="s">
        <v>956</v>
      </c>
      <c r="E1984" s="52" t="s">
        <v>45</v>
      </c>
      <c r="F1984" s="47" t="s">
        <v>2207</v>
      </c>
    </row>
    <row r="1985" spans="1:6" hidden="1" x14ac:dyDescent="0.2">
      <c r="A1985" s="44">
        <v>45866</v>
      </c>
      <c r="B1985" s="42" t="s">
        <v>1791</v>
      </c>
      <c r="C1985" s="42">
        <v>115.99</v>
      </c>
      <c r="D1985" s="42" t="s">
        <v>5</v>
      </c>
      <c r="E1985" s="51" t="s">
        <v>6</v>
      </c>
      <c r="F1985" s="45" t="s">
        <v>2207</v>
      </c>
    </row>
    <row r="1986" spans="1:6" hidden="1" x14ac:dyDescent="0.2">
      <c r="A1986" s="46">
        <v>45929</v>
      </c>
      <c r="B1986" s="33" t="s">
        <v>1612</v>
      </c>
      <c r="C1986" s="33">
        <v>121.5</v>
      </c>
      <c r="D1986" s="33">
        <v>0</v>
      </c>
      <c r="E1986" s="52">
        <v>0</v>
      </c>
      <c r="F1986" s="47" t="s">
        <v>2207</v>
      </c>
    </row>
    <row r="1987" spans="1:6" hidden="1" x14ac:dyDescent="0.2">
      <c r="A1987" s="44">
        <v>45851</v>
      </c>
      <c r="B1987" s="42" t="s">
        <v>1837</v>
      </c>
      <c r="C1987" s="42">
        <v>123.29</v>
      </c>
      <c r="D1987" s="42" t="s">
        <v>639</v>
      </c>
      <c r="E1987" s="51" t="s">
        <v>6</v>
      </c>
      <c r="F1987" s="45" t="s">
        <v>2207</v>
      </c>
    </row>
    <row r="1988" spans="1:6" hidden="1" x14ac:dyDescent="0.2">
      <c r="A1988" s="46">
        <v>45984</v>
      </c>
      <c r="B1988" s="33" t="s">
        <v>1544</v>
      </c>
      <c r="C1988" s="33">
        <v>127.55</v>
      </c>
      <c r="D1988" s="33" t="s">
        <v>639</v>
      </c>
      <c r="E1988" s="52" t="s">
        <v>6</v>
      </c>
      <c r="F1988" s="47" t="s">
        <v>2207</v>
      </c>
    </row>
    <row r="1989" spans="1:6" hidden="1" x14ac:dyDescent="0.2">
      <c r="A1989" s="44">
        <v>45879</v>
      </c>
      <c r="B1989" s="42" t="s">
        <v>1618</v>
      </c>
      <c r="C1989" s="42">
        <v>129.11000000000001</v>
      </c>
      <c r="D1989" s="42" t="s">
        <v>5</v>
      </c>
      <c r="E1989" s="51" t="s">
        <v>45</v>
      </c>
      <c r="F1989" s="45" t="s">
        <v>2207</v>
      </c>
    </row>
    <row r="1990" spans="1:6" hidden="1" x14ac:dyDescent="0.2">
      <c r="A1990" s="46">
        <v>45869</v>
      </c>
      <c r="B1990" s="33" t="s">
        <v>1770</v>
      </c>
      <c r="C1990" s="33">
        <v>130.56</v>
      </c>
      <c r="D1990" s="33" t="s">
        <v>5</v>
      </c>
      <c r="E1990" s="52" t="s">
        <v>6</v>
      </c>
      <c r="F1990" s="47" t="s">
        <v>2207</v>
      </c>
    </row>
    <row r="1991" spans="1:6" hidden="1" x14ac:dyDescent="0.2">
      <c r="A1991" s="44">
        <v>45849</v>
      </c>
      <c r="B1991" s="42" t="s">
        <v>1839</v>
      </c>
      <c r="C1991" s="42">
        <v>132.41</v>
      </c>
      <c r="D1991" s="42" t="s">
        <v>98</v>
      </c>
      <c r="E1991" s="51" t="s">
        <v>45</v>
      </c>
      <c r="F1991" s="45" t="s">
        <v>2207</v>
      </c>
    </row>
    <row r="1992" spans="1:6" hidden="1" x14ac:dyDescent="0.2">
      <c r="A1992" s="46">
        <v>45879</v>
      </c>
      <c r="B1992" s="48" t="s">
        <v>1738</v>
      </c>
      <c r="C1992" s="33">
        <v>141.25</v>
      </c>
      <c r="D1992" s="33" t="s">
        <v>98</v>
      </c>
      <c r="E1992" s="52" t="s">
        <v>45</v>
      </c>
      <c r="F1992" s="47" t="s">
        <v>2207</v>
      </c>
    </row>
    <row r="1993" spans="1:6" hidden="1" x14ac:dyDescent="0.2">
      <c r="A1993" s="44">
        <v>45875</v>
      </c>
      <c r="B1993" s="42" t="s">
        <v>1748</v>
      </c>
      <c r="C1993" s="42">
        <v>146.34</v>
      </c>
      <c r="D1993" s="42" t="s">
        <v>835</v>
      </c>
      <c r="E1993" s="51" t="s">
        <v>45</v>
      </c>
      <c r="F1993" s="45" t="s">
        <v>2207</v>
      </c>
    </row>
    <row r="1994" spans="1:6" hidden="1" x14ac:dyDescent="0.2">
      <c r="A1994" s="46">
        <v>45881</v>
      </c>
      <c r="B1994" s="33" t="s">
        <v>1735</v>
      </c>
      <c r="C1994" s="33">
        <v>151.80000000000001</v>
      </c>
      <c r="D1994" s="33" t="s">
        <v>165</v>
      </c>
      <c r="E1994" s="52" t="s">
        <v>45</v>
      </c>
      <c r="F1994" s="47" t="s">
        <v>2207</v>
      </c>
    </row>
    <row r="1995" spans="1:6" hidden="1" x14ac:dyDescent="0.2">
      <c r="A1995" s="44">
        <v>45860</v>
      </c>
      <c r="B1995" s="62" t="s">
        <v>1814</v>
      </c>
      <c r="C1995" s="42">
        <v>158.80000000000001</v>
      </c>
      <c r="D1995" s="42" t="s">
        <v>956</v>
      </c>
      <c r="E1995" s="51" t="s">
        <v>45</v>
      </c>
      <c r="F1995" s="45" t="s">
        <v>2207</v>
      </c>
    </row>
    <row r="1996" spans="1:6" hidden="1" x14ac:dyDescent="0.2">
      <c r="A1996" s="46">
        <v>45988</v>
      </c>
      <c r="B1996" s="33" t="s">
        <v>1523</v>
      </c>
      <c r="C1996" s="33">
        <v>162</v>
      </c>
      <c r="D1996" s="33" t="s">
        <v>956</v>
      </c>
      <c r="E1996" s="52" t="s">
        <v>45</v>
      </c>
      <c r="F1996" s="47" t="s">
        <v>2207</v>
      </c>
    </row>
    <row r="1997" spans="1:6" hidden="1" x14ac:dyDescent="0.2">
      <c r="A1997" s="44">
        <v>45914</v>
      </c>
      <c r="B1997" s="42" t="s">
        <v>1597</v>
      </c>
      <c r="C1997" s="42">
        <v>165</v>
      </c>
      <c r="D1997" s="42" t="s">
        <v>1170</v>
      </c>
      <c r="E1997" s="51" t="s">
        <v>45</v>
      </c>
      <c r="F1997" s="45" t="s">
        <v>2207</v>
      </c>
    </row>
    <row r="1998" spans="1:6" hidden="1" x14ac:dyDescent="0.2">
      <c r="A1998" s="46">
        <v>45929</v>
      </c>
      <c r="B1998" s="33" t="s">
        <v>1591</v>
      </c>
      <c r="C1998" s="33">
        <v>172.98</v>
      </c>
      <c r="D1998" s="33" t="s">
        <v>514</v>
      </c>
      <c r="E1998" s="52" t="s">
        <v>6</v>
      </c>
      <c r="F1998" s="47" t="s">
        <v>2207</v>
      </c>
    </row>
    <row r="1999" spans="1:6" hidden="1" x14ac:dyDescent="0.2">
      <c r="A1999" s="44">
        <v>45847</v>
      </c>
      <c r="B1999" s="42" t="s">
        <v>1852</v>
      </c>
      <c r="C1999" s="42">
        <v>173.15</v>
      </c>
      <c r="D1999" s="42">
        <v>0</v>
      </c>
      <c r="E1999" s="51">
        <v>0</v>
      </c>
      <c r="F1999" s="45" t="s">
        <v>2207</v>
      </c>
    </row>
    <row r="2000" spans="1:6" hidden="1" x14ac:dyDescent="0.2">
      <c r="A2000" s="46">
        <v>45930</v>
      </c>
      <c r="B2000" s="33" t="s">
        <v>1581</v>
      </c>
      <c r="C2000" s="33">
        <v>199.98</v>
      </c>
      <c r="D2000" s="33" t="s">
        <v>514</v>
      </c>
      <c r="E2000" s="52" t="s">
        <v>6</v>
      </c>
      <c r="F2000" s="47" t="s">
        <v>2207</v>
      </c>
    </row>
    <row r="2001" spans="1:6" hidden="1" x14ac:dyDescent="0.2">
      <c r="A2001" s="44">
        <v>45870</v>
      </c>
      <c r="B2001" s="42" t="s">
        <v>1757</v>
      </c>
      <c r="C2001" s="42">
        <v>218.62</v>
      </c>
      <c r="D2001" s="42" t="s">
        <v>165</v>
      </c>
      <c r="E2001" s="51" t="s">
        <v>45</v>
      </c>
      <c r="F2001" s="45" t="s">
        <v>2207</v>
      </c>
    </row>
    <row r="2002" spans="1:6" hidden="1" x14ac:dyDescent="0.2">
      <c r="A2002" s="46">
        <v>45902</v>
      </c>
      <c r="B2002" s="33" t="s">
        <v>1668</v>
      </c>
      <c r="C2002" s="33">
        <v>298.69</v>
      </c>
      <c r="D2002" s="33">
        <v>0</v>
      </c>
      <c r="E2002" s="52">
        <v>0</v>
      </c>
      <c r="F2002" s="47" t="s">
        <v>2207</v>
      </c>
    </row>
    <row r="2003" spans="1:6" hidden="1" x14ac:dyDescent="0.2">
      <c r="A2003" s="44">
        <v>45908</v>
      </c>
      <c r="B2003" s="42" t="s">
        <v>1564</v>
      </c>
      <c r="C2003" s="42">
        <v>300</v>
      </c>
      <c r="D2003" s="42" t="s">
        <v>165</v>
      </c>
      <c r="E2003" s="51" t="s">
        <v>45</v>
      </c>
      <c r="F2003" s="45" t="s">
        <v>2207</v>
      </c>
    </row>
    <row r="2004" spans="1:6" hidden="1" x14ac:dyDescent="0.2">
      <c r="A2004" s="46">
        <v>45897</v>
      </c>
      <c r="B2004" s="33" t="s">
        <v>1687</v>
      </c>
      <c r="C2004" s="33">
        <v>303.47000000000003</v>
      </c>
      <c r="D2004" s="33" t="s">
        <v>639</v>
      </c>
      <c r="E2004" s="52" t="s">
        <v>6</v>
      </c>
      <c r="F2004" s="47" t="s">
        <v>2207</v>
      </c>
    </row>
    <row r="2005" spans="1:6" hidden="1" x14ac:dyDescent="0.2">
      <c r="A2005" s="44">
        <v>45871</v>
      </c>
      <c r="B2005" s="42" t="s">
        <v>1753</v>
      </c>
      <c r="C2005" s="42">
        <v>307.14</v>
      </c>
      <c r="D2005" s="42" t="s">
        <v>514</v>
      </c>
      <c r="E2005" s="51" t="s">
        <v>6</v>
      </c>
      <c r="F2005" s="45" t="s">
        <v>2207</v>
      </c>
    </row>
    <row r="2006" spans="1:6" hidden="1" x14ac:dyDescent="0.2">
      <c r="A2006" s="46">
        <v>45886</v>
      </c>
      <c r="B2006" s="33" t="s">
        <v>1713</v>
      </c>
      <c r="C2006" s="33">
        <v>314.55</v>
      </c>
      <c r="D2006" s="33" t="s">
        <v>514</v>
      </c>
      <c r="E2006" s="52" t="s">
        <v>6</v>
      </c>
      <c r="F2006" s="47" t="s">
        <v>2207</v>
      </c>
    </row>
    <row r="2007" spans="1:6" hidden="1" x14ac:dyDescent="0.2">
      <c r="A2007" s="44">
        <v>45881</v>
      </c>
      <c r="B2007" s="42" t="s">
        <v>1732</v>
      </c>
      <c r="C2007" s="42">
        <v>328.14</v>
      </c>
      <c r="D2007" s="42" t="s">
        <v>514</v>
      </c>
      <c r="E2007" s="51" t="s">
        <v>6</v>
      </c>
      <c r="F2007" s="45" t="s">
        <v>2207</v>
      </c>
    </row>
    <row r="2008" spans="1:6" hidden="1" x14ac:dyDescent="0.2">
      <c r="A2008" s="46">
        <v>45988</v>
      </c>
      <c r="B2008" s="33" t="s">
        <v>1526</v>
      </c>
      <c r="C2008" s="33">
        <v>360.51</v>
      </c>
      <c r="D2008" s="33" t="s">
        <v>956</v>
      </c>
      <c r="E2008" s="52" t="s">
        <v>45</v>
      </c>
      <c r="F2008" s="47" t="s">
        <v>2207</v>
      </c>
    </row>
    <row r="2009" spans="1:6" hidden="1" x14ac:dyDescent="0.2">
      <c r="A2009" s="44">
        <v>45871</v>
      </c>
      <c r="B2009" s="42" t="s">
        <v>1599</v>
      </c>
      <c r="C2009" s="42">
        <v>369.4</v>
      </c>
      <c r="D2009" s="42" t="s">
        <v>639</v>
      </c>
      <c r="E2009" s="51" t="s">
        <v>6</v>
      </c>
      <c r="F2009" s="45" t="s">
        <v>2207</v>
      </c>
    </row>
    <row r="2010" spans="1:6" hidden="1" x14ac:dyDescent="0.2">
      <c r="A2010" s="46">
        <v>45903</v>
      </c>
      <c r="B2010" s="33" t="s">
        <v>1591</v>
      </c>
      <c r="C2010" s="33">
        <v>374.33</v>
      </c>
      <c r="D2010" s="33" t="s">
        <v>514</v>
      </c>
      <c r="E2010" s="52" t="s">
        <v>6</v>
      </c>
      <c r="F2010" s="47" t="s">
        <v>2207</v>
      </c>
    </row>
    <row r="2011" spans="1:6" hidden="1" x14ac:dyDescent="0.2">
      <c r="A2011" s="44">
        <v>45988</v>
      </c>
      <c r="B2011" s="42" t="s">
        <v>1524</v>
      </c>
      <c r="C2011" s="42">
        <v>377.6</v>
      </c>
      <c r="D2011" s="42" t="s">
        <v>956</v>
      </c>
      <c r="E2011" s="51" t="s">
        <v>45</v>
      </c>
      <c r="F2011" s="45" t="s">
        <v>2207</v>
      </c>
    </row>
    <row r="2012" spans="1:6" hidden="1" x14ac:dyDescent="0.2">
      <c r="A2012" s="46">
        <v>45900</v>
      </c>
      <c r="B2012" s="33" t="s">
        <v>1672</v>
      </c>
      <c r="C2012" s="33">
        <v>453.16</v>
      </c>
      <c r="D2012" s="33" t="s">
        <v>469</v>
      </c>
      <c r="E2012" s="52" t="s">
        <v>45</v>
      </c>
      <c r="F2012" s="47" t="s">
        <v>2207</v>
      </c>
    </row>
    <row r="2013" spans="1:6" hidden="1" x14ac:dyDescent="0.2">
      <c r="A2013" s="44">
        <v>45856</v>
      </c>
      <c r="B2013" s="42" t="s">
        <v>1824</v>
      </c>
      <c r="C2013" s="42">
        <v>484.43</v>
      </c>
      <c r="D2013" s="42" t="s">
        <v>858</v>
      </c>
      <c r="E2013" s="51" t="s">
        <v>45</v>
      </c>
      <c r="F2013" s="45" t="s">
        <v>2207</v>
      </c>
    </row>
    <row r="2014" spans="1:6" hidden="1" x14ac:dyDescent="0.2">
      <c r="A2014" s="46">
        <v>45866</v>
      </c>
      <c r="B2014" s="33" t="s">
        <v>1789</v>
      </c>
      <c r="C2014" s="33">
        <v>500</v>
      </c>
      <c r="D2014" s="33" t="s">
        <v>956</v>
      </c>
      <c r="E2014" s="52" t="s">
        <v>45</v>
      </c>
      <c r="F2014" s="47" t="s">
        <v>2207</v>
      </c>
    </row>
    <row r="2015" spans="1:6" hidden="1" x14ac:dyDescent="0.2">
      <c r="A2015" s="44">
        <v>45980</v>
      </c>
      <c r="B2015" s="42" t="s">
        <v>1557</v>
      </c>
      <c r="C2015" s="42">
        <v>983.46</v>
      </c>
      <c r="D2015" s="42" t="s">
        <v>639</v>
      </c>
      <c r="E2015" s="51" t="s">
        <v>45</v>
      </c>
      <c r="F2015" s="45" t="s">
        <v>2207</v>
      </c>
    </row>
    <row r="2016" spans="1:6" hidden="1" x14ac:dyDescent="0.2">
      <c r="A2016" s="46">
        <v>45694</v>
      </c>
      <c r="B2016" s="33" t="s">
        <v>2125</v>
      </c>
      <c r="C2016" s="33">
        <v>1029.3</v>
      </c>
      <c r="D2016" s="33" t="s">
        <v>1170</v>
      </c>
      <c r="E2016" s="52" t="s">
        <v>45</v>
      </c>
      <c r="F2016" s="47" t="s">
        <v>2207</v>
      </c>
    </row>
    <row r="2017" spans="1:6" hidden="1" x14ac:dyDescent="0.2">
      <c r="A2017" s="44">
        <v>45979</v>
      </c>
      <c r="B2017" s="42" t="s">
        <v>1558</v>
      </c>
      <c r="C2017" s="42">
        <v>1036</v>
      </c>
      <c r="D2017" s="42">
        <v>0</v>
      </c>
      <c r="E2017" s="51">
        <v>0</v>
      </c>
      <c r="F2017" s="45" t="s">
        <v>2207</v>
      </c>
    </row>
    <row r="2018" spans="1:6" hidden="1" x14ac:dyDescent="0.2">
      <c r="A2018" s="46">
        <v>45874</v>
      </c>
      <c r="B2018" s="33" t="s">
        <v>1750</v>
      </c>
      <c r="C2018" s="33">
        <v>1083.04</v>
      </c>
      <c r="D2018" s="33" t="s">
        <v>5</v>
      </c>
      <c r="E2018" s="52" t="s">
        <v>6</v>
      </c>
      <c r="F2018" s="47" t="s">
        <v>2207</v>
      </c>
    </row>
    <row r="2019" spans="1:6" hidden="1" x14ac:dyDescent="0.2">
      <c r="A2019" s="44">
        <v>45866</v>
      </c>
      <c r="B2019" s="42" t="s">
        <v>1792</v>
      </c>
      <c r="C2019" s="42">
        <v>2000</v>
      </c>
      <c r="D2019" s="42" t="s">
        <v>1170</v>
      </c>
      <c r="E2019" s="51" t="s">
        <v>45</v>
      </c>
      <c r="F2019" s="45" t="s">
        <v>2207</v>
      </c>
    </row>
    <row r="2020" spans="1:6" hidden="1" x14ac:dyDescent="0.2">
      <c r="A2020" s="46">
        <v>45899</v>
      </c>
      <c r="B2020" s="33" t="s">
        <v>1678</v>
      </c>
      <c r="C2020" s="33">
        <v>8097.57</v>
      </c>
      <c r="D2020" s="33" t="s">
        <v>956</v>
      </c>
      <c r="E2020" s="52" t="s">
        <v>45</v>
      </c>
      <c r="F2020" s="47" t="s">
        <v>2207</v>
      </c>
    </row>
    <row r="2021" spans="1:6" hidden="1" x14ac:dyDescent="0.2">
      <c r="A2021" s="44">
        <v>45862</v>
      </c>
      <c r="B2021" s="42" t="s">
        <v>1807</v>
      </c>
      <c r="C2021" s="42">
        <v>9010.41</v>
      </c>
      <c r="D2021" s="42" t="s">
        <v>1170</v>
      </c>
      <c r="E2021" s="51" t="s">
        <v>45</v>
      </c>
      <c r="F2021" s="45" t="s">
        <v>2207</v>
      </c>
    </row>
    <row r="2022" spans="1:6" hidden="1" x14ac:dyDescent="0.2">
      <c r="A2022" s="46">
        <v>45976</v>
      </c>
      <c r="B2022" s="33" t="s">
        <v>1150</v>
      </c>
      <c r="C2022" s="33">
        <v>193.94</v>
      </c>
      <c r="D2022" s="33" t="s">
        <v>1148</v>
      </c>
      <c r="E2022" s="52" t="s">
        <v>6</v>
      </c>
      <c r="F2022" s="47" t="s">
        <v>2207</v>
      </c>
    </row>
    <row r="2023" spans="1:6" hidden="1" x14ac:dyDescent="0.2">
      <c r="A2023" s="44">
        <v>45945</v>
      </c>
      <c r="B2023" s="42" t="s">
        <v>1150</v>
      </c>
      <c r="C2023" s="42">
        <v>193.94</v>
      </c>
      <c r="D2023" s="42" t="s">
        <v>1148</v>
      </c>
      <c r="E2023" s="51" t="s">
        <v>6</v>
      </c>
      <c r="F2023" s="45" t="s">
        <v>2207</v>
      </c>
    </row>
    <row r="2024" spans="1:6" hidden="1" x14ac:dyDescent="0.2">
      <c r="A2024" s="46">
        <v>45990</v>
      </c>
      <c r="B2024" s="33" t="s">
        <v>1517</v>
      </c>
      <c r="C2024" s="33">
        <v>85.89</v>
      </c>
      <c r="D2024" s="33" t="s">
        <v>1148</v>
      </c>
      <c r="E2024" s="52" t="s">
        <v>6</v>
      </c>
      <c r="F2024" s="47" t="s">
        <v>2207</v>
      </c>
    </row>
    <row r="2025" spans="1:6" hidden="1" x14ac:dyDescent="0.2">
      <c r="A2025" s="44">
        <v>45929</v>
      </c>
      <c r="B2025" s="42" t="s">
        <v>1590</v>
      </c>
      <c r="C2025" s="42">
        <v>80.89</v>
      </c>
      <c r="D2025" s="42" t="s">
        <v>1148</v>
      </c>
      <c r="E2025" s="51" t="s">
        <v>6</v>
      </c>
      <c r="F2025" s="45" t="s">
        <v>2207</v>
      </c>
    </row>
    <row r="2026" spans="1:6" hidden="1" x14ac:dyDescent="0.2">
      <c r="A2026" s="46">
        <v>45915</v>
      </c>
      <c r="B2026" s="33" t="s">
        <v>1561</v>
      </c>
      <c r="C2026" s="33">
        <v>193.94</v>
      </c>
      <c r="D2026" s="33" t="s">
        <v>1148</v>
      </c>
      <c r="E2026" s="52" t="s">
        <v>6</v>
      </c>
      <c r="F2026" s="47" t="s">
        <v>2207</v>
      </c>
    </row>
    <row r="2027" spans="1:6" hidden="1" x14ac:dyDescent="0.2">
      <c r="A2027" s="44">
        <v>45898</v>
      </c>
      <c r="B2027" s="42" t="s">
        <v>1590</v>
      </c>
      <c r="C2027" s="42">
        <v>80.89</v>
      </c>
      <c r="D2027" s="42" t="s">
        <v>1148</v>
      </c>
      <c r="E2027" s="51" t="s">
        <v>6</v>
      </c>
      <c r="F2027" s="45" t="s">
        <v>2207</v>
      </c>
    </row>
    <row r="2028" spans="1:6" hidden="1" x14ac:dyDescent="0.2">
      <c r="A2028" s="46">
        <v>45884</v>
      </c>
      <c r="B2028" s="33" t="s">
        <v>1561</v>
      </c>
      <c r="C2028" s="33">
        <v>193.94</v>
      </c>
      <c r="D2028" s="33" t="s">
        <v>1148</v>
      </c>
      <c r="E2028" s="52" t="s">
        <v>6</v>
      </c>
      <c r="F2028" s="47" t="s">
        <v>2207</v>
      </c>
    </row>
    <row r="2029" spans="1:6" hidden="1" x14ac:dyDescent="0.2">
      <c r="A2029" s="44">
        <v>45871</v>
      </c>
      <c r="B2029" s="42" t="s">
        <v>1754</v>
      </c>
      <c r="C2029" s="42">
        <v>20.04</v>
      </c>
      <c r="D2029" s="42" t="s">
        <v>1148</v>
      </c>
      <c r="E2029" s="51" t="s">
        <v>6</v>
      </c>
      <c r="F2029" s="45" t="s">
        <v>2207</v>
      </c>
    </row>
    <row r="2030" spans="1:6" hidden="1" x14ac:dyDescent="0.2">
      <c r="A2030" s="46">
        <v>45867</v>
      </c>
      <c r="B2030" s="33" t="s">
        <v>1590</v>
      </c>
      <c r="C2030" s="33">
        <v>80</v>
      </c>
      <c r="D2030" s="33" t="s">
        <v>1148</v>
      </c>
      <c r="E2030" s="52" t="s">
        <v>6</v>
      </c>
      <c r="F2030" s="47" t="s">
        <v>2207</v>
      </c>
    </row>
    <row r="2031" spans="1:6" hidden="1" x14ac:dyDescent="0.2">
      <c r="A2031" s="44">
        <v>45853</v>
      </c>
      <c r="B2031" s="42" t="s">
        <v>1561</v>
      </c>
      <c r="C2031" s="42">
        <v>193.94</v>
      </c>
      <c r="D2031" s="42" t="s">
        <v>1148</v>
      </c>
      <c r="E2031" s="51" t="s">
        <v>6</v>
      </c>
      <c r="F2031" s="45" t="s">
        <v>2207</v>
      </c>
    </row>
    <row r="2032" spans="1:6" hidden="1" x14ac:dyDescent="0.2">
      <c r="A2032" s="46">
        <v>45844</v>
      </c>
      <c r="B2032" s="33" t="s">
        <v>1754</v>
      </c>
      <c r="C2032" s="33">
        <v>5.65</v>
      </c>
      <c r="D2032" s="33" t="s">
        <v>1148</v>
      </c>
      <c r="E2032" s="52" t="s">
        <v>6</v>
      </c>
      <c r="F2032" s="47" t="s">
        <v>2207</v>
      </c>
    </row>
    <row r="2033" spans="1:6" hidden="1" x14ac:dyDescent="0.2">
      <c r="A2033" s="44">
        <v>45844</v>
      </c>
      <c r="B2033" s="42" t="s">
        <v>1754</v>
      </c>
      <c r="C2033" s="42">
        <v>15.44</v>
      </c>
      <c r="D2033" s="42" t="s">
        <v>1148</v>
      </c>
      <c r="E2033" s="51" t="s">
        <v>6</v>
      </c>
      <c r="F2033" s="45" t="s">
        <v>2207</v>
      </c>
    </row>
    <row r="2034" spans="1:6" hidden="1" x14ac:dyDescent="0.2">
      <c r="A2034" s="46">
        <v>45837</v>
      </c>
      <c r="B2034" s="33" t="s">
        <v>1590</v>
      </c>
      <c r="C2034" s="33">
        <v>75</v>
      </c>
      <c r="D2034" s="33" t="s">
        <v>1148</v>
      </c>
      <c r="E2034" s="52" t="s">
        <v>6</v>
      </c>
      <c r="F2034" s="47" t="s">
        <v>2207</v>
      </c>
    </row>
    <row r="2035" spans="1:6" hidden="1" x14ac:dyDescent="0.2">
      <c r="A2035" s="44">
        <v>45823</v>
      </c>
      <c r="B2035" s="42" t="s">
        <v>1561</v>
      </c>
      <c r="C2035" s="42">
        <v>193.91</v>
      </c>
      <c r="D2035" s="42" t="s">
        <v>1148</v>
      </c>
      <c r="E2035" s="51" t="s">
        <v>6</v>
      </c>
      <c r="F2035" s="45" t="s">
        <v>2207</v>
      </c>
    </row>
    <row r="2036" spans="1:6" hidden="1" x14ac:dyDescent="0.2">
      <c r="A2036" s="46">
        <v>45821</v>
      </c>
      <c r="B2036" s="33" t="s">
        <v>1754</v>
      </c>
      <c r="C2036" s="33">
        <v>11.07</v>
      </c>
      <c r="D2036" s="33" t="s">
        <v>1148</v>
      </c>
      <c r="E2036" s="52" t="s">
        <v>6</v>
      </c>
      <c r="F2036" s="47" t="s">
        <v>2207</v>
      </c>
    </row>
    <row r="2037" spans="1:6" hidden="1" x14ac:dyDescent="0.2">
      <c r="A2037" s="44">
        <v>45821</v>
      </c>
      <c r="B2037" s="42" t="s">
        <v>1754</v>
      </c>
      <c r="C2037" s="42">
        <v>24.22</v>
      </c>
      <c r="D2037" s="42" t="s">
        <v>1148</v>
      </c>
      <c r="E2037" s="51" t="s">
        <v>6</v>
      </c>
      <c r="F2037" s="45" t="s">
        <v>2207</v>
      </c>
    </row>
    <row r="2038" spans="1:6" hidden="1" x14ac:dyDescent="0.2">
      <c r="A2038" s="46">
        <v>45806</v>
      </c>
      <c r="B2038" s="33" t="s">
        <v>1590</v>
      </c>
      <c r="C2038" s="33">
        <v>75</v>
      </c>
      <c r="D2038" s="33" t="s">
        <v>1148</v>
      </c>
      <c r="E2038" s="52" t="s">
        <v>6</v>
      </c>
      <c r="F2038" s="47" t="s">
        <v>2207</v>
      </c>
    </row>
    <row r="2039" spans="1:6" hidden="1" x14ac:dyDescent="0.2">
      <c r="A2039" s="44">
        <v>45792</v>
      </c>
      <c r="B2039" s="42" t="s">
        <v>1998</v>
      </c>
      <c r="C2039" s="42">
        <v>193.91</v>
      </c>
      <c r="D2039" s="42" t="s">
        <v>1148</v>
      </c>
      <c r="E2039" s="51" t="s">
        <v>6</v>
      </c>
      <c r="F2039" s="45" t="s">
        <v>2207</v>
      </c>
    </row>
    <row r="2040" spans="1:6" hidden="1" x14ac:dyDescent="0.2">
      <c r="A2040" s="46">
        <v>45776</v>
      </c>
      <c r="B2040" s="33" t="s">
        <v>1590</v>
      </c>
      <c r="C2040" s="33">
        <v>75</v>
      </c>
      <c r="D2040" s="33" t="s">
        <v>1148</v>
      </c>
      <c r="E2040" s="52" t="s">
        <v>6</v>
      </c>
      <c r="F2040" s="47" t="s">
        <v>2207</v>
      </c>
    </row>
    <row r="2041" spans="1:6" hidden="1" x14ac:dyDescent="0.2">
      <c r="A2041" s="44">
        <v>45762</v>
      </c>
      <c r="B2041" s="42" t="s">
        <v>1998</v>
      </c>
      <c r="C2041" s="42">
        <v>193.91</v>
      </c>
      <c r="D2041" s="42" t="s">
        <v>1148</v>
      </c>
      <c r="E2041" s="51" t="s">
        <v>6</v>
      </c>
      <c r="F2041" s="45" t="s">
        <v>2207</v>
      </c>
    </row>
    <row r="2042" spans="1:6" hidden="1" x14ac:dyDescent="0.2">
      <c r="A2042" s="46">
        <v>45755</v>
      </c>
      <c r="B2042" s="33" t="s">
        <v>2045</v>
      </c>
      <c r="C2042" s="33">
        <v>105</v>
      </c>
      <c r="D2042" s="33" t="s">
        <v>1148</v>
      </c>
      <c r="E2042" s="52" t="s">
        <v>6</v>
      </c>
      <c r="F2042" s="47" t="s">
        <v>2207</v>
      </c>
    </row>
    <row r="2043" spans="1:6" hidden="1" x14ac:dyDescent="0.2">
      <c r="A2043" s="44">
        <v>45755</v>
      </c>
      <c r="B2043" s="42" t="s">
        <v>2045</v>
      </c>
      <c r="C2043" s="42">
        <v>80</v>
      </c>
      <c r="D2043" s="42" t="s">
        <v>1148</v>
      </c>
      <c r="E2043" s="51" t="s">
        <v>6</v>
      </c>
      <c r="F2043" s="45" t="s">
        <v>2207</v>
      </c>
    </row>
    <row r="2044" spans="1:6" hidden="1" x14ac:dyDescent="0.2">
      <c r="A2044" s="46">
        <v>45755</v>
      </c>
      <c r="B2044" s="33" t="s">
        <v>2046</v>
      </c>
      <c r="C2044" s="33">
        <v>670.97</v>
      </c>
      <c r="D2044" s="33" t="s">
        <v>1148</v>
      </c>
      <c r="E2044" s="52" t="s">
        <v>6</v>
      </c>
      <c r="F2044" s="47" t="s">
        <v>2207</v>
      </c>
    </row>
    <row r="2045" spans="1:6" hidden="1" x14ac:dyDescent="0.2">
      <c r="A2045" s="44">
        <v>45745</v>
      </c>
      <c r="B2045" s="42" t="s">
        <v>1590</v>
      </c>
      <c r="C2045" s="42">
        <v>75</v>
      </c>
      <c r="D2045" s="42" t="s">
        <v>1148</v>
      </c>
      <c r="E2045" s="51" t="s">
        <v>6</v>
      </c>
      <c r="F2045" s="45" t="s">
        <v>2207</v>
      </c>
    </row>
    <row r="2046" spans="1:6" hidden="1" x14ac:dyDescent="0.2">
      <c r="A2046" s="46">
        <v>45731</v>
      </c>
      <c r="B2046" s="33" t="s">
        <v>1998</v>
      </c>
      <c r="C2046" s="33">
        <v>193.91</v>
      </c>
      <c r="D2046" s="33" t="s">
        <v>1148</v>
      </c>
      <c r="E2046" s="52" t="s">
        <v>6</v>
      </c>
      <c r="F2046" s="47" t="s">
        <v>2207</v>
      </c>
    </row>
    <row r="2047" spans="1:6" hidden="1" x14ac:dyDescent="0.2">
      <c r="A2047" s="44">
        <v>45717</v>
      </c>
      <c r="B2047" s="42" t="s">
        <v>1590</v>
      </c>
      <c r="C2047" s="42">
        <v>75</v>
      </c>
      <c r="D2047" s="42" t="s">
        <v>1148</v>
      </c>
      <c r="E2047" s="51" t="s">
        <v>6</v>
      </c>
      <c r="F2047" s="45" t="s">
        <v>2207</v>
      </c>
    </row>
    <row r="2048" spans="1:6" hidden="1" x14ac:dyDescent="0.2">
      <c r="A2048" s="46">
        <v>45703</v>
      </c>
      <c r="B2048" s="33" t="s">
        <v>1998</v>
      </c>
      <c r="C2048" s="33">
        <v>185.33</v>
      </c>
      <c r="D2048" s="33" t="s">
        <v>1148</v>
      </c>
      <c r="E2048" s="52" t="s">
        <v>6</v>
      </c>
      <c r="F2048" s="47" t="s">
        <v>2207</v>
      </c>
    </row>
    <row r="2049" spans="1:6" hidden="1" x14ac:dyDescent="0.2">
      <c r="A2049" s="44">
        <v>45686</v>
      </c>
      <c r="B2049" s="42" t="s">
        <v>1590</v>
      </c>
      <c r="C2049" s="42">
        <v>75</v>
      </c>
      <c r="D2049" s="42" t="s">
        <v>1148</v>
      </c>
      <c r="E2049" s="51" t="s">
        <v>6</v>
      </c>
      <c r="F2049" s="45" t="s">
        <v>2207</v>
      </c>
    </row>
    <row r="2050" spans="1:6" hidden="1" x14ac:dyDescent="0.2">
      <c r="A2050" s="46">
        <v>45672</v>
      </c>
      <c r="B2050" s="33" t="s">
        <v>1998</v>
      </c>
      <c r="C2050" s="33">
        <v>178.96</v>
      </c>
      <c r="D2050" s="33" t="s">
        <v>1148</v>
      </c>
      <c r="E2050" s="52" t="s">
        <v>6</v>
      </c>
      <c r="F2050" s="47" t="s">
        <v>2207</v>
      </c>
    </row>
    <row r="2051" spans="1:6" hidden="1" x14ac:dyDescent="0.2">
      <c r="A2051" s="44">
        <v>45959</v>
      </c>
      <c r="B2051" s="42" t="s">
        <v>1156</v>
      </c>
      <c r="C2051" s="42">
        <v>85.89</v>
      </c>
      <c r="D2051" s="42" t="s">
        <v>1148</v>
      </c>
      <c r="E2051" s="51" t="s">
        <v>6</v>
      </c>
      <c r="F2051" s="45" t="s">
        <v>2207</v>
      </c>
    </row>
    <row r="2052" spans="1:6" hidden="1" x14ac:dyDescent="0.2">
      <c r="A2052" s="46">
        <v>45906</v>
      </c>
      <c r="B2052" s="33" t="s">
        <v>1661</v>
      </c>
      <c r="C2052" s="33">
        <v>99.22</v>
      </c>
      <c r="D2052" s="33" t="s">
        <v>1170</v>
      </c>
      <c r="E2052" s="52" t="s">
        <v>45</v>
      </c>
      <c r="F2052" s="47" t="s">
        <v>2207</v>
      </c>
    </row>
    <row r="2053" spans="1:6" hidden="1" x14ac:dyDescent="0.2">
      <c r="A2053" s="44">
        <v>45883</v>
      </c>
      <c r="B2053" s="42" t="s">
        <v>1567</v>
      </c>
      <c r="C2053" s="42">
        <v>165</v>
      </c>
      <c r="D2053" s="42" t="s">
        <v>1170</v>
      </c>
      <c r="E2053" s="51" t="s">
        <v>45</v>
      </c>
      <c r="F2053" s="45" t="s">
        <v>2207</v>
      </c>
    </row>
    <row r="2054" spans="1:6" hidden="1" x14ac:dyDescent="0.2">
      <c r="A2054" s="46">
        <v>45877</v>
      </c>
      <c r="B2054" s="33" t="s">
        <v>1567</v>
      </c>
      <c r="C2054" s="33">
        <v>22.06</v>
      </c>
      <c r="D2054" s="33" t="s">
        <v>1170</v>
      </c>
      <c r="E2054" s="52" t="s">
        <v>45</v>
      </c>
      <c r="F2054" s="47" t="s">
        <v>2207</v>
      </c>
    </row>
    <row r="2055" spans="1:6" hidden="1" x14ac:dyDescent="0.2">
      <c r="A2055" s="44">
        <v>45877</v>
      </c>
      <c r="B2055" s="42" t="s">
        <v>1567</v>
      </c>
      <c r="C2055" s="42">
        <v>34.21</v>
      </c>
      <c r="D2055" s="42" t="s">
        <v>1170</v>
      </c>
      <c r="E2055" s="51" t="s">
        <v>45</v>
      </c>
      <c r="F2055" s="45" t="s">
        <v>2207</v>
      </c>
    </row>
    <row r="2056" spans="1:6" hidden="1" x14ac:dyDescent="0.2">
      <c r="A2056" s="46">
        <v>45863</v>
      </c>
      <c r="B2056" s="33" t="s">
        <v>1661</v>
      </c>
      <c r="C2056" s="33">
        <v>33.08</v>
      </c>
      <c r="D2056" s="33" t="s">
        <v>1170</v>
      </c>
      <c r="E2056" s="52" t="s">
        <v>45</v>
      </c>
      <c r="F2056" s="47" t="s">
        <v>2207</v>
      </c>
    </row>
    <row r="2057" spans="1:6" hidden="1" x14ac:dyDescent="0.2">
      <c r="A2057" s="44">
        <v>45852</v>
      </c>
      <c r="B2057" s="42" t="s">
        <v>1567</v>
      </c>
      <c r="C2057" s="42">
        <v>50</v>
      </c>
      <c r="D2057" s="42" t="s">
        <v>1170</v>
      </c>
      <c r="E2057" s="51" t="s">
        <v>45</v>
      </c>
      <c r="F2057" s="45" t="s">
        <v>2207</v>
      </c>
    </row>
    <row r="2058" spans="1:6" hidden="1" x14ac:dyDescent="0.2">
      <c r="A2058" s="46">
        <v>45848</v>
      </c>
      <c r="B2058" s="33" t="s">
        <v>1567</v>
      </c>
      <c r="C2058" s="33">
        <v>374.09</v>
      </c>
      <c r="D2058" s="33" t="s">
        <v>1170</v>
      </c>
      <c r="E2058" s="52" t="s">
        <v>45</v>
      </c>
      <c r="F2058" s="47" t="s">
        <v>2207</v>
      </c>
    </row>
    <row r="2059" spans="1:6" hidden="1" x14ac:dyDescent="0.2">
      <c r="A2059" s="44">
        <v>45844</v>
      </c>
      <c r="B2059" s="42" t="s">
        <v>1661</v>
      </c>
      <c r="C2059" s="42">
        <v>91.58</v>
      </c>
      <c r="D2059" s="42" t="s">
        <v>1170</v>
      </c>
      <c r="E2059" s="51" t="s">
        <v>45</v>
      </c>
      <c r="F2059" s="45" t="s">
        <v>2207</v>
      </c>
    </row>
    <row r="2060" spans="1:6" hidden="1" x14ac:dyDescent="0.2">
      <c r="A2060" s="46">
        <v>45810</v>
      </c>
      <c r="B2060" s="33" t="s">
        <v>1964</v>
      </c>
      <c r="C2060" s="33">
        <v>35</v>
      </c>
      <c r="D2060" s="33" t="s">
        <v>1170</v>
      </c>
      <c r="E2060" s="52" t="s">
        <v>45</v>
      </c>
      <c r="F2060" s="47" t="s">
        <v>2207</v>
      </c>
    </row>
    <row r="2061" spans="1:6" hidden="1" x14ac:dyDescent="0.2">
      <c r="A2061" s="44">
        <v>45975</v>
      </c>
      <c r="B2061" s="42" t="s">
        <v>1179</v>
      </c>
      <c r="C2061" s="42">
        <v>5</v>
      </c>
      <c r="D2061" s="42" t="s">
        <v>1170</v>
      </c>
      <c r="E2061" s="51" t="s">
        <v>45</v>
      </c>
      <c r="F2061" s="45" t="s">
        <v>2207</v>
      </c>
    </row>
    <row r="2062" spans="1:6" hidden="1" x14ac:dyDescent="0.2">
      <c r="A2062" s="46">
        <v>45944</v>
      </c>
      <c r="B2062" s="33" t="s">
        <v>1179</v>
      </c>
      <c r="C2062" s="33">
        <v>5</v>
      </c>
      <c r="D2062" s="33" t="s">
        <v>1170</v>
      </c>
      <c r="E2062" s="52" t="s">
        <v>45</v>
      </c>
      <c r="F2062" s="47" t="s">
        <v>2207</v>
      </c>
    </row>
    <row r="2063" spans="1:6" hidden="1" x14ac:dyDescent="0.2">
      <c r="A2063" s="44">
        <v>46006</v>
      </c>
      <c r="B2063" s="42" t="s">
        <v>790</v>
      </c>
      <c r="C2063" s="42">
        <v>1233.93</v>
      </c>
      <c r="D2063" s="51"/>
      <c r="E2063" s="51" t="s">
        <v>6</v>
      </c>
      <c r="F2063" s="45" t="s">
        <v>2207</v>
      </c>
    </row>
    <row r="2064" spans="1:6" hidden="1" x14ac:dyDescent="0.2">
      <c r="A2064" s="63">
        <v>45984</v>
      </c>
      <c r="B2064" t="s">
        <v>861</v>
      </c>
      <c r="C2064">
        <v>22.07</v>
      </c>
      <c r="D2064" t="s">
        <v>858</v>
      </c>
      <c r="E2064" t="s">
        <v>45</v>
      </c>
      <c r="F2064" t="s">
        <v>2208</v>
      </c>
    </row>
    <row r="2065" spans="1:6" hidden="1" x14ac:dyDescent="0.2">
      <c r="A2065" s="63">
        <v>45984</v>
      </c>
      <c r="B2065" t="s">
        <v>2411</v>
      </c>
      <c r="C2065">
        <v>96.53</v>
      </c>
      <c r="D2065" t="s">
        <v>165</v>
      </c>
      <c r="E2065" t="s">
        <v>45</v>
      </c>
      <c r="F2065" t="s">
        <v>2208</v>
      </c>
    </row>
    <row r="2066" spans="1:6" hidden="1" x14ac:dyDescent="0.2">
      <c r="A2066" s="63">
        <v>45983</v>
      </c>
      <c r="B2066" t="s">
        <v>946</v>
      </c>
      <c r="C2066">
        <v>-5520.71</v>
      </c>
      <c r="D2066" t="s">
        <v>77</v>
      </c>
      <c r="E2066" t="s">
        <v>6</v>
      </c>
      <c r="F2066" t="s">
        <v>2208</v>
      </c>
    </row>
    <row r="2067" spans="1:6" hidden="1" x14ac:dyDescent="0.2">
      <c r="A2067" s="63">
        <v>45980</v>
      </c>
      <c r="B2067" t="s">
        <v>2390</v>
      </c>
      <c r="C2067">
        <v>61.81</v>
      </c>
      <c r="D2067" t="s">
        <v>5</v>
      </c>
      <c r="E2067" t="s">
        <v>6</v>
      </c>
      <c r="F2067" t="s">
        <v>2208</v>
      </c>
    </row>
    <row r="2068" spans="1:6" hidden="1" x14ac:dyDescent="0.2">
      <c r="A2068" s="63">
        <v>45980</v>
      </c>
      <c r="B2068" t="s">
        <v>2447</v>
      </c>
      <c r="C2068">
        <v>983.46</v>
      </c>
      <c r="D2068" t="s">
        <v>639</v>
      </c>
      <c r="E2068" t="s">
        <v>6</v>
      </c>
      <c r="F2068" t="s">
        <v>2208</v>
      </c>
    </row>
    <row r="2069" spans="1:6" hidden="1" x14ac:dyDescent="0.2">
      <c r="A2069" s="63">
        <v>45980</v>
      </c>
      <c r="B2069" t="s">
        <v>2269</v>
      </c>
      <c r="C2069">
        <v>9</v>
      </c>
      <c r="D2069" t="s">
        <v>165</v>
      </c>
      <c r="E2069" t="s">
        <v>45</v>
      </c>
      <c r="F2069" t="s">
        <v>2208</v>
      </c>
    </row>
    <row r="2070" spans="1:6" hidden="1" x14ac:dyDescent="0.2">
      <c r="A2070" s="63">
        <v>45979</v>
      </c>
      <c r="B2070" t="s">
        <v>859</v>
      </c>
      <c r="C2070">
        <v>97.74</v>
      </c>
      <c r="D2070" t="s">
        <v>858</v>
      </c>
      <c r="E2070" t="s">
        <v>45</v>
      </c>
      <c r="F2070" t="s">
        <v>2208</v>
      </c>
    </row>
    <row r="2071" spans="1:6" hidden="1" x14ac:dyDescent="0.2">
      <c r="A2071" s="63">
        <v>45979</v>
      </c>
      <c r="B2071" t="s">
        <v>2227</v>
      </c>
      <c r="C2071">
        <v>2.79</v>
      </c>
      <c r="D2071" t="s">
        <v>165</v>
      </c>
      <c r="E2071" t="s">
        <v>45</v>
      </c>
      <c r="F2071" t="s">
        <v>2208</v>
      </c>
    </row>
    <row r="2072" spans="1:6" hidden="1" x14ac:dyDescent="0.2">
      <c r="A2072" s="63">
        <v>45979</v>
      </c>
      <c r="B2072" t="s">
        <v>2269</v>
      </c>
      <c r="C2072">
        <v>9</v>
      </c>
      <c r="D2072" t="s">
        <v>165</v>
      </c>
      <c r="E2072" t="s">
        <v>45</v>
      </c>
      <c r="F2072" t="s">
        <v>2208</v>
      </c>
    </row>
    <row r="2073" spans="1:6" hidden="1" x14ac:dyDescent="0.2">
      <c r="A2073" s="63">
        <v>45978</v>
      </c>
      <c r="B2073" t="s">
        <v>2390</v>
      </c>
      <c r="C2073">
        <v>68.92</v>
      </c>
      <c r="D2073" t="s">
        <v>5</v>
      </c>
      <c r="E2073" t="s">
        <v>6</v>
      </c>
      <c r="F2073" t="s">
        <v>2208</v>
      </c>
    </row>
    <row r="2074" spans="1:6" hidden="1" x14ac:dyDescent="0.2">
      <c r="A2074" s="63">
        <v>45978</v>
      </c>
      <c r="B2074" t="s">
        <v>2344</v>
      </c>
      <c r="C2074">
        <v>28.29</v>
      </c>
      <c r="D2074" t="s">
        <v>165</v>
      </c>
      <c r="E2074" t="s">
        <v>45</v>
      </c>
      <c r="F2074" t="s">
        <v>2208</v>
      </c>
    </row>
    <row r="2075" spans="1:6" hidden="1" x14ac:dyDescent="0.2">
      <c r="A2075" s="63">
        <v>45978</v>
      </c>
      <c r="B2075" t="s">
        <v>2357</v>
      </c>
      <c r="C2075">
        <v>34.5</v>
      </c>
      <c r="D2075" t="s">
        <v>469</v>
      </c>
      <c r="E2075" t="s">
        <v>45</v>
      </c>
      <c r="F2075" t="s">
        <v>2208</v>
      </c>
    </row>
    <row r="2076" spans="1:6" hidden="1" x14ac:dyDescent="0.2">
      <c r="A2076" s="63">
        <v>45977</v>
      </c>
      <c r="B2076" t="s">
        <v>2313</v>
      </c>
      <c r="C2076">
        <v>17.05</v>
      </c>
      <c r="D2076" t="s">
        <v>165</v>
      </c>
      <c r="E2076" t="s">
        <v>45</v>
      </c>
      <c r="F2076" t="s">
        <v>2208</v>
      </c>
    </row>
    <row r="2077" spans="1:6" hidden="1" x14ac:dyDescent="0.2">
      <c r="A2077" s="63">
        <v>45976</v>
      </c>
      <c r="B2077" t="s">
        <v>1196</v>
      </c>
      <c r="C2077">
        <v>33.049999999999997</v>
      </c>
      <c r="D2077" t="s">
        <v>469</v>
      </c>
      <c r="E2077" t="s">
        <v>45</v>
      </c>
      <c r="F2077" t="s">
        <v>2208</v>
      </c>
    </row>
    <row r="2078" spans="1:6" hidden="1" x14ac:dyDescent="0.2">
      <c r="A2078" s="63">
        <v>45975</v>
      </c>
      <c r="B2078" t="s">
        <v>675</v>
      </c>
      <c r="C2078">
        <v>11.87</v>
      </c>
      <c r="D2078" t="s">
        <v>639</v>
      </c>
      <c r="E2078" t="s">
        <v>6</v>
      </c>
      <c r="F2078" t="s">
        <v>2208</v>
      </c>
    </row>
    <row r="2079" spans="1:6" hidden="1" x14ac:dyDescent="0.2">
      <c r="A2079" s="63">
        <v>45972</v>
      </c>
      <c r="B2079" t="s">
        <v>511</v>
      </c>
      <c r="C2079">
        <v>125</v>
      </c>
      <c r="D2079" t="s">
        <v>512</v>
      </c>
      <c r="E2079" t="s">
        <v>45</v>
      </c>
      <c r="F2079" t="s">
        <v>2208</v>
      </c>
    </row>
    <row r="2080" spans="1:6" hidden="1" x14ac:dyDescent="0.2">
      <c r="A2080" s="63">
        <v>45971</v>
      </c>
      <c r="B2080" t="s">
        <v>926</v>
      </c>
      <c r="C2080">
        <v>11.23</v>
      </c>
      <c r="D2080" t="s">
        <v>901</v>
      </c>
      <c r="E2080" t="s">
        <v>45</v>
      </c>
      <c r="F2080" t="s">
        <v>2208</v>
      </c>
    </row>
    <row r="2081" spans="1:6" hidden="1" x14ac:dyDescent="0.2">
      <c r="A2081" s="63">
        <v>45970</v>
      </c>
      <c r="B2081" t="s">
        <v>879</v>
      </c>
      <c r="C2081">
        <v>220.7</v>
      </c>
      <c r="D2081" t="s">
        <v>858</v>
      </c>
      <c r="E2081" t="s">
        <v>45</v>
      </c>
      <c r="F2081" t="s">
        <v>2208</v>
      </c>
    </row>
    <row r="2082" spans="1:6" hidden="1" x14ac:dyDescent="0.2">
      <c r="A2082" s="63">
        <v>45970</v>
      </c>
      <c r="B2082" t="s">
        <v>557</v>
      </c>
      <c r="C2082">
        <v>26.14</v>
      </c>
      <c r="D2082" t="s">
        <v>514</v>
      </c>
      <c r="E2082" t="s">
        <v>6</v>
      </c>
      <c r="F2082" t="s">
        <v>2208</v>
      </c>
    </row>
    <row r="2083" spans="1:6" hidden="1" x14ac:dyDescent="0.2">
      <c r="A2083" s="63">
        <v>45970</v>
      </c>
      <c r="B2083" t="s">
        <v>801</v>
      </c>
      <c r="C2083">
        <v>125</v>
      </c>
      <c r="D2083" t="s">
        <v>796</v>
      </c>
      <c r="E2083" t="s">
        <v>45</v>
      </c>
      <c r="F2083" t="s">
        <v>2208</v>
      </c>
    </row>
    <row r="2084" spans="1:6" hidden="1" x14ac:dyDescent="0.2">
      <c r="A2084" s="63">
        <v>45970</v>
      </c>
      <c r="B2084" t="s">
        <v>431</v>
      </c>
      <c r="C2084">
        <v>64.16</v>
      </c>
      <c r="D2084" t="s">
        <v>165</v>
      </c>
      <c r="E2084" t="s">
        <v>45</v>
      </c>
      <c r="F2084" t="s">
        <v>2208</v>
      </c>
    </row>
    <row r="2085" spans="1:6" hidden="1" x14ac:dyDescent="0.2">
      <c r="A2085" s="63">
        <v>45969</v>
      </c>
      <c r="B2085" t="s">
        <v>233</v>
      </c>
      <c r="C2085">
        <v>6.53</v>
      </c>
      <c r="D2085" t="s">
        <v>165</v>
      </c>
      <c r="E2085" t="s">
        <v>45</v>
      </c>
      <c r="F2085" t="s">
        <v>2208</v>
      </c>
    </row>
    <row r="2086" spans="1:6" hidden="1" x14ac:dyDescent="0.2">
      <c r="A2086" s="63">
        <v>45969</v>
      </c>
      <c r="B2086" t="s">
        <v>565</v>
      </c>
      <c r="C2086">
        <v>7.61</v>
      </c>
      <c r="D2086" t="s">
        <v>514</v>
      </c>
      <c r="E2086" t="s">
        <v>6</v>
      </c>
      <c r="F2086" t="s">
        <v>2208</v>
      </c>
    </row>
    <row r="2087" spans="1:6" hidden="1" x14ac:dyDescent="0.2">
      <c r="A2087" s="63">
        <v>45967</v>
      </c>
      <c r="B2087" t="s">
        <v>672</v>
      </c>
      <c r="C2087">
        <v>5.86</v>
      </c>
      <c r="D2087" t="s">
        <v>639</v>
      </c>
      <c r="E2087" t="s">
        <v>6</v>
      </c>
      <c r="F2087" t="s">
        <v>2208</v>
      </c>
    </row>
    <row r="2088" spans="1:6" hidden="1" x14ac:dyDescent="0.2">
      <c r="A2088" s="63">
        <v>45966</v>
      </c>
      <c r="B2088" t="s">
        <v>875</v>
      </c>
      <c r="C2088">
        <v>66.2</v>
      </c>
      <c r="D2088" t="s">
        <v>858</v>
      </c>
      <c r="E2088" t="s">
        <v>45</v>
      </c>
      <c r="F2088" t="s">
        <v>2208</v>
      </c>
    </row>
    <row r="2089" spans="1:6" hidden="1" x14ac:dyDescent="0.2">
      <c r="A2089" s="63">
        <v>45965</v>
      </c>
      <c r="B2089" t="s">
        <v>1192</v>
      </c>
      <c r="C2089">
        <v>12.41</v>
      </c>
      <c r="D2089" t="s">
        <v>593</v>
      </c>
      <c r="E2089" t="s">
        <v>6</v>
      </c>
      <c r="F2089" t="s">
        <v>2208</v>
      </c>
    </row>
    <row r="2090" spans="1:6" hidden="1" x14ac:dyDescent="0.2">
      <c r="A2090" s="63">
        <v>45965</v>
      </c>
      <c r="B2090" t="s">
        <v>1192</v>
      </c>
      <c r="C2090">
        <v>22.07</v>
      </c>
      <c r="D2090" t="s">
        <v>593</v>
      </c>
      <c r="E2090" t="s">
        <v>6</v>
      </c>
      <c r="F2090" t="s">
        <v>2208</v>
      </c>
    </row>
    <row r="2091" spans="1:6" hidden="1" x14ac:dyDescent="0.2">
      <c r="A2091" s="63">
        <v>45963</v>
      </c>
      <c r="B2091" t="s">
        <v>931</v>
      </c>
      <c r="C2091">
        <v>3.3</v>
      </c>
      <c r="D2091" t="s">
        <v>901</v>
      </c>
      <c r="E2091" t="s">
        <v>6</v>
      </c>
      <c r="F2091" t="s">
        <v>2208</v>
      </c>
    </row>
    <row r="2092" spans="1:6" hidden="1" x14ac:dyDescent="0.2">
      <c r="A2092" s="63">
        <v>45963</v>
      </c>
      <c r="B2092" t="s">
        <v>55</v>
      </c>
      <c r="C2092">
        <v>7.35</v>
      </c>
      <c r="D2092" t="s">
        <v>5</v>
      </c>
      <c r="E2092" t="s">
        <v>56</v>
      </c>
      <c r="F2092" t="s">
        <v>2208</v>
      </c>
    </row>
    <row r="2093" spans="1:6" hidden="1" x14ac:dyDescent="0.2">
      <c r="A2093" s="63">
        <v>45962</v>
      </c>
      <c r="B2093" t="s">
        <v>859</v>
      </c>
      <c r="C2093">
        <v>110.35</v>
      </c>
      <c r="D2093" t="s">
        <v>858</v>
      </c>
      <c r="E2093" t="s">
        <v>45</v>
      </c>
      <c r="F2093" t="s">
        <v>2208</v>
      </c>
    </row>
    <row r="2094" spans="1:6" hidden="1" x14ac:dyDescent="0.2">
      <c r="A2094" s="63">
        <v>45962</v>
      </c>
      <c r="B2094" t="s">
        <v>55</v>
      </c>
      <c r="C2094">
        <v>14.41</v>
      </c>
      <c r="D2094" t="s">
        <v>5</v>
      </c>
      <c r="E2094" t="s">
        <v>56</v>
      </c>
      <c r="F2094" t="s">
        <v>2208</v>
      </c>
    </row>
    <row r="2095" spans="1:6" hidden="1" x14ac:dyDescent="0.2">
      <c r="A2095" s="63">
        <v>45962</v>
      </c>
      <c r="B2095" t="s">
        <v>55</v>
      </c>
      <c r="C2095">
        <v>17.25</v>
      </c>
      <c r="D2095" t="s">
        <v>5</v>
      </c>
      <c r="E2095" t="s">
        <v>56</v>
      </c>
      <c r="F2095" t="s">
        <v>2208</v>
      </c>
    </row>
    <row r="2096" spans="1:6" hidden="1" x14ac:dyDescent="0.2">
      <c r="A2096" s="63">
        <v>45959</v>
      </c>
      <c r="B2096" t="s">
        <v>423</v>
      </c>
      <c r="C2096">
        <v>16.95</v>
      </c>
      <c r="D2096" t="s">
        <v>165</v>
      </c>
      <c r="E2096" t="s">
        <v>45</v>
      </c>
      <c r="F2096" t="s">
        <v>2208</v>
      </c>
    </row>
    <row r="2097" spans="1:6" hidden="1" x14ac:dyDescent="0.2">
      <c r="A2097" s="63">
        <v>45956</v>
      </c>
      <c r="B2097" t="s">
        <v>420</v>
      </c>
      <c r="C2097">
        <v>24</v>
      </c>
      <c r="D2097" t="s">
        <v>165</v>
      </c>
      <c r="E2097" t="s">
        <v>45</v>
      </c>
      <c r="F2097" t="s">
        <v>2208</v>
      </c>
    </row>
    <row r="2098" spans="1:6" hidden="1" x14ac:dyDescent="0.2">
      <c r="A2098" s="63">
        <v>45955</v>
      </c>
      <c r="B2098" t="s">
        <v>1193</v>
      </c>
      <c r="C2098">
        <v>8.42</v>
      </c>
      <c r="D2098" t="s">
        <v>593</v>
      </c>
      <c r="E2098" t="s">
        <v>6</v>
      </c>
      <c r="F2098" t="s">
        <v>2208</v>
      </c>
    </row>
    <row r="2099" spans="1:6" hidden="1" x14ac:dyDescent="0.2">
      <c r="A2099" s="63">
        <v>45955</v>
      </c>
      <c r="B2099" t="s">
        <v>557</v>
      </c>
      <c r="C2099">
        <v>13.99</v>
      </c>
      <c r="D2099" t="s">
        <v>514</v>
      </c>
      <c r="E2099" t="s">
        <v>6</v>
      </c>
      <c r="F2099" t="s">
        <v>2208</v>
      </c>
    </row>
    <row r="2100" spans="1:6" hidden="1" x14ac:dyDescent="0.2">
      <c r="A2100" s="63">
        <v>45955</v>
      </c>
      <c r="B2100" t="s">
        <v>422</v>
      </c>
      <c r="C2100">
        <v>49.17</v>
      </c>
      <c r="D2100" t="s">
        <v>165</v>
      </c>
      <c r="E2100" t="s">
        <v>45</v>
      </c>
      <c r="F2100" t="s">
        <v>2208</v>
      </c>
    </row>
    <row r="2101" spans="1:6" hidden="1" x14ac:dyDescent="0.2">
      <c r="A2101" s="63">
        <v>45955</v>
      </c>
      <c r="B2101" t="s">
        <v>431</v>
      </c>
      <c r="C2101">
        <v>33.74</v>
      </c>
      <c r="D2101" t="s">
        <v>165</v>
      </c>
      <c r="E2101" t="s">
        <v>45</v>
      </c>
      <c r="F2101" t="s">
        <v>2208</v>
      </c>
    </row>
    <row r="2102" spans="1:6" hidden="1" x14ac:dyDescent="0.2">
      <c r="A2102" s="63">
        <v>45954</v>
      </c>
      <c r="B2102" t="s">
        <v>860</v>
      </c>
      <c r="C2102">
        <v>21.35</v>
      </c>
      <c r="D2102" t="s">
        <v>858</v>
      </c>
      <c r="E2102" t="s">
        <v>45</v>
      </c>
      <c r="F2102" t="s">
        <v>2208</v>
      </c>
    </row>
    <row r="2103" spans="1:6" hidden="1" x14ac:dyDescent="0.2">
      <c r="A2103" s="63">
        <v>45954</v>
      </c>
      <c r="B2103" t="s">
        <v>477</v>
      </c>
      <c r="C2103">
        <v>10</v>
      </c>
      <c r="D2103" t="s">
        <v>469</v>
      </c>
      <c r="E2103" t="s">
        <v>45</v>
      </c>
      <c r="F2103" t="s">
        <v>2208</v>
      </c>
    </row>
    <row r="2104" spans="1:6" hidden="1" x14ac:dyDescent="0.2">
      <c r="A2104" s="63">
        <v>45953</v>
      </c>
      <c r="B2104" t="s">
        <v>861</v>
      </c>
      <c r="C2104">
        <v>22.07</v>
      </c>
      <c r="D2104" t="s">
        <v>858</v>
      </c>
      <c r="E2104" t="s">
        <v>45</v>
      </c>
      <c r="F2104" t="s">
        <v>2208</v>
      </c>
    </row>
    <row r="2105" spans="1:6" hidden="1" x14ac:dyDescent="0.2">
      <c r="A2105" s="63">
        <v>45953</v>
      </c>
      <c r="B2105" t="s">
        <v>511</v>
      </c>
      <c r="C2105">
        <v>125</v>
      </c>
      <c r="D2105" t="s">
        <v>512</v>
      </c>
      <c r="E2105" t="s">
        <v>45</v>
      </c>
      <c r="F2105" t="s">
        <v>2208</v>
      </c>
    </row>
    <row r="2106" spans="1:6" hidden="1" x14ac:dyDescent="0.2">
      <c r="A2106" s="63">
        <v>45953</v>
      </c>
      <c r="B2106" t="s">
        <v>494</v>
      </c>
      <c r="C2106">
        <v>6.37</v>
      </c>
      <c r="D2106" t="s">
        <v>469</v>
      </c>
      <c r="E2106" t="s">
        <v>6</v>
      </c>
      <c r="F2106" t="s">
        <v>2208</v>
      </c>
    </row>
    <row r="2107" spans="1:6" hidden="1" x14ac:dyDescent="0.2">
      <c r="A2107" s="63">
        <v>45952</v>
      </c>
      <c r="B2107" t="s">
        <v>946</v>
      </c>
      <c r="C2107">
        <v>-5822.76</v>
      </c>
      <c r="D2107" t="s">
        <v>77</v>
      </c>
      <c r="E2107" t="s">
        <v>6</v>
      </c>
      <c r="F2107" t="s">
        <v>2208</v>
      </c>
    </row>
    <row r="2108" spans="1:6" hidden="1" x14ac:dyDescent="0.2">
      <c r="A2108" s="63">
        <v>45952</v>
      </c>
      <c r="B2108" t="s">
        <v>333</v>
      </c>
      <c r="C2108">
        <v>16.5</v>
      </c>
      <c r="D2108" t="s">
        <v>165</v>
      </c>
      <c r="E2108" t="s">
        <v>45</v>
      </c>
      <c r="F2108" t="s">
        <v>2208</v>
      </c>
    </row>
    <row r="2109" spans="1:6" hidden="1" x14ac:dyDescent="0.2">
      <c r="A2109" s="63">
        <v>45951</v>
      </c>
      <c r="B2109" t="s">
        <v>962</v>
      </c>
      <c r="C2109">
        <v>1374.13</v>
      </c>
      <c r="D2109" t="s">
        <v>956</v>
      </c>
      <c r="E2109" t="s">
        <v>45</v>
      </c>
      <c r="F2109" t="s">
        <v>2208</v>
      </c>
    </row>
    <row r="2110" spans="1:6" hidden="1" x14ac:dyDescent="0.2">
      <c r="A2110" s="63">
        <v>45951</v>
      </c>
      <c r="B2110" t="s">
        <v>962</v>
      </c>
      <c r="C2110">
        <v>1374.13</v>
      </c>
      <c r="D2110" t="s">
        <v>956</v>
      </c>
      <c r="E2110" t="s">
        <v>45</v>
      </c>
      <c r="F2110" t="s">
        <v>2208</v>
      </c>
    </row>
    <row r="2111" spans="1:6" hidden="1" x14ac:dyDescent="0.2">
      <c r="A2111" s="63">
        <v>45951</v>
      </c>
      <c r="B2111" t="s">
        <v>1111</v>
      </c>
      <c r="C2111">
        <v>168.5</v>
      </c>
      <c r="D2111" t="s">
        <v>956</v>
      </c>
      <c r="E2111" t="s">
        <v>45</v>
      </c>
      <c r="F2111" t="s">
        <v>2208</v>
      </c>
    </row>
    <row r="2112" spans="1:6" hidden="1" x14ac:dyDescent="0.2">
      <c r="A2112" s="63">
        <v>45951</v>
      </c>
      <c r="B2112" t="s">
        <v>1111</v>
      </c>
      <c r="C2112">
        <v>168.5</v>
      </c>
      <c r="D2112" t="s">
        <v>956</v>
      </c>
      <c r="E2112" t="s">
        <v>45</v>
      </c>
      <c r="F2112" t="s">
        <v>2208</v>
      </c>
    </row>
    <row r="2113" spans="1:6" hidden="1" x14ac:dyDescent="0.2">
      <c r="A2113" s="63">
        <v>45951</v>
      </c>
      <c r="B2113" t="s">
        <v>494</v>
      </c>
      <c r="C2113">
        <v>4.88</v>
      </c>
      <c r="D2113" t="s">
        <v>469</v>
      </c>
      <c r="E2113" t="s">
        <v>6</v>
      </c>
      <c r="F2113" t="s">
        <v>2208</v>
      </c>
    </row>
    <row r="2114" spans="1:6" hidden="1" x14ac:dyDescent="0.2">
      <c r="A2114" s="63">
        <v>45950</v>
      </c>
      <c r="B2114" t="s">
        <v>942</v>
      </c>
      <c r="C2114">
        <v>-2682.18</v>
      </c>
      <c r="D2114" t="s">
        <v>77</v>
      </c>
      <c r="E2114" t="s">
        <v>6</v>
      </c>
      <c r="F2114" t="s">
        <v>2208</v>
      </c>
    </row>
    <row r="2115" spans="1:6" hidden="1" x14ac:dyDescent="0.2">
      <c r="A2115" s="63">
        <v>45950</v>
      </c>
      <c r="B2115" t="s">
        <v>887</v>
      </c>
      <c r="C2115">
        <v>15</v>
      </c>
      <c r="D2115" t="s">
        <v>858</v>
      </c>
      <c r="E2115" t="s">
        <v>45</v>
      </c>
      <c r="F2115" t="s">
        <v>2208</v>
      </c>
    </row>
    <row r="2116" spans="1:6" hidden="1" x14ac:dyDescent="0.2">
      <c r="A2116" s="63">
        <v>45950</v>
      </c>
      <c r="B2116" t="s">
        <v>409</v>
      </c>
      <c r="C2116">
        <v>100.06</v>
      </c>
      <c r="D2116" t="s">
        <v>165</v>
      </c>
      <c r="E2116" t="s">
        <v>45</v>
      </c>
      <c r="F2116" t="s">
        <v>2208</v>
      </c>
    </row>
    <row r="2117" spans="1:6" hidden="1" x14ac:dyDescent="0.2">
      <c r="A2117" s="63">
        <v>45948</v>
      </c>
      <c r="B2117" t="s">
        <v>735</v>
      </c>
      <c r="C2117">
        <v>13.24</v>
      </c>
      <c r="D2117" t="s">
        <v>639</v>
      </c>
      <c r="E2117" t="s">
        <v>45</v>
      </c>
      <c r="F2117" t="s">
        <v>2208</v>
      </c>
    </row>
    <row r="2118" spans="1:6" hidden="1" x14ac:dyDescent="0.2">
      <c r="A2118" s="63">
        <v>45947</v>
      </c>
      <c r="B2118" t="s">
        <v>886</v>
      </c>
      <c r="C2118">
        <v>15</v>
      </c>
      <c r="D2118" t="s">
        <v>858</v>
      </c>
      <c r="E2118" t="s">
        <v>45</v>
      </c>
      <c r="F2118" t="s">
        <v>2208</v>
      </c>
    </row>
    <row r="2119" spans="1:6" hidden="1" x14ac:dyDescent="0.2">
      <c r="A2119" s="63">
        <v>45945</v>
      </c>
      <c r="B2119" t="s">
        <v>1022</v>
      </c>
      <c r="C2119">
        <v>209</v>
      </c>
      <c r="D2119" t="s">
        <v>956</v>
      </c>
      <c r="E2119" t="s">
        <v>45</v>
      </c>
      <c r="F2119" t="s">
        <v>2208</v>
      </c>
    </row>
    <row r="2120" spans="1:6" hidden="1" x14ac:dyDescent="0.2">
      <c r="A2120" s="63">
        <v>45945</v>
      </c>
      <c r="B2120" t="s">
        <v>1196</v>
      </c>
      <c r="C2120">
        <v>33.049999999999997</v>
      </c>
      <c r="D2120" t="s">
        <v>469</v>
      </c>
      <c r="E2120" t="s">
        <v>45</v>
      </c>
      <c r="F2120" t="s">
        <v>2208</v>
      </c>
    </row>
    <row r="2121" spans="1:6" hidden="1" x14ac:dyDescent="0.2">
      <c r="A2121" s="63">
        <v>45944</v>
      </c>
      <c r="B2121" t="s">
        <v>678</v>
      </c>
      <c r="C2121">
        <v>12.01</v>
      </c>
      <c r="D2121" t="s">
        <v>639</v>
      </c>
      <c r="E2121" t="s">
        <v>6</v>
      </c>
      <c r="F2121" t="s">
        <v>2208</v>
      </c>
    </row>
    <row r="2122" spans="1:6" hidden="1" x14ac:dyDescent="0.2">
      <c r="A2122" s="63">
        <v>45942</v>
      </c>
      <c r="B2122" t="s">
        <v>428</v>
      </c>
      <c r="C2122">
        <v>39.76</v>
      </c>
      <c r="D2122" t="s">
        <v>165</v>
      </c>
      <c r="E2122" t="s">
        <v>45</v>
      </c>
      <c r="F2122" t="s">
        <v>2208</v>
      </c>
    </row>
    <row r="2123" spans="1:6" hidden="1" x14ac:dyDescent="0.2">
      <c r="A2123" s="63">
        <v>45941</v>
      </c>
      <c r="B2123" t="s">
        <v>855</v>
      </c>
      <c r="C2123">
        <v>46.68</v>
      </c>
      <c r="D2123" t="s">
        <v>848</v>
      </c>
      <c r="E2123" t="s">
        <v>6</v>
      </c>
      <c r="F2123" t="s">
        <v>2208</v>
      </c>
    </row>
    <row r="2124" spans="1:6" hidden="1" x14ac:dyDescent="0.2">
      <c r="A2124" s="63">
        <v>45940</v>
      </c>
      <c r="B2124" t="s">
        <v>30</v>
      </c>
      <c r="C2124">
        <v>67.569999999999993</v>
      </c>
      <c r="D2124" t="s">
        <v>5</v>
      </c>
      <c r="E2124" t="s">
        <v>6</v>
      </c>
      <c r="F2124" t="s">
        <v>2208</v>
      </c>
    </row>
    <row r="2125" spans="1:6" hidden="1" x14ac:dyDescent="0.2">
      <c r="A2125" s="63">
        <v>45939</v>
      </c>
      <c r="B2125" t="s">
        <v>879</v>
      </c>
      <c r="C2125">
        <v>220.7</v>
      </c>
      <c r="D2125" t="s">
        <v>858</v>
      </c>
      <c r="E2125" t="s">
        <v>45</v>
      </c>
      <c r="F2125" t="s">
        <v>2208</v>
      </c>
    </row>
    <row r="2126" spans="1:6" hidden="1" x14ac:dyDescent="0.2">
      <c r="A2126" s="63">
        <v>45939</v>
      </c>
      <c r="B2126" t="s">
        <v>801</v>
      </c>
      <c r="C2126">
        <v>125</v>
      </c>
      <c r="D2126" t="s">
        <v>796</v>
      </c>
      <c r="E2126" t="s">
        <v>45</v>
      </c>
      <c r="F2126" t="s">
        <v>2208</v>
      </c>
    </row>
    <row r="2127" spans="1:6" hidden="1" x14ac:dyDescent="0.2">
      <c r="A2127" s="63">
        <v>45939</v>
      </c>
      <c r="B2127" t="s">
        <v>493</v>
      </c>
      <c r="C2127">
        <v>19.309999999999999</v>
      </c>
      <c r="D2127" t="s">
        <v>469</v>
      </c>
      <c r="E2127" t="s">
        <v>6</v>
      </c>
      <c r="F2127" t="s">
        <v>2208</v>
      </c>
    </row>
    <row r="2128" spans="1:6" hidden="1" x14ac:dyDescent="0.2">
      <c r="A2128" s="63">
        <v>45938</v>
      </c>
      <c r="B2128" t="s">
        <v>43</v>
      </c>
      <c r="C2128">
        <v>5.25</v>
      </c>
      <c r="D2128" t="s">
        <v>5</v>
      </c>
      <c r="E2128" t="s">
        <v>6</v>
      </c>
      <c r="F2128" t="s">
        <v>2208</v>
      </c>
    </row>
    <row r="2129" spans="1:6" hidden="1" x14ac:dyDescent="0.2">
      <c r="A2129" s="63">
        <v>45937</v>
      </c>
      <c r="B2129" t="s">
        <v>495</v>
      </c>
      <c r="C2129">
        <v>4.88</v>
      </c>
      <c r="D2129" t="s">
        <v>469</v>
      </c>
      <c r="E2129" t="s">
        <v>6</v>
      </c>
      <c r="F2129" t="s">
        <v>2208</v>
      </c>
    </row>
    <row r="2130" spans="1:6" hidden="1" x14ac:dyDescent="0.2">
      <c r="A2130" s="63">
        <v>45936</v>
      </c>
      <c r="B2130" t="s">
        <v>681</v>
      </c>
      <c r="C2130">
        <v>6.05</v>
      </c>
      <c r="D2130" t="s">
        <v>639</v>
      </c>
      <c r="E2130" t="s">
        <v>6</v>
      </c>
      <c r="F2130" t="s">
        <v>2208</v>
      </c>
    </row>
    <row r="2131" spans="1:6" hidden="1" x14ac:dyDescent="0.2">
      <c r="A2131" s="63">
        <v>45936</v>
      </c>
      <c r="B2131" t="s">
        <v>946</v>
      </c>
      <c r="C2131">
        <v>-34081</v>
      </c>
      <c r="D2131" t="s">
        <v>77</v>
      </c>
      <c r="E2131" t="s">
        <v>6</v>
      </c>
      <c r="F2131" t="s">
        <v>2208</v>
      </c>
    </row>
    <row r="2132" spans="1:6" hidden="1" x14ac:dyDescent="0.2">
      <c r="A2132" s="63">
        <v>45936</v>
      </c>
      <c r="B2132" t="s">
        <v>132</v>
      </c>
      <c r="C2132">
        <v>29.84</v>
      </c>
      <c r="D2132" t="s">
        <v>98</v>
      </c>
      <c r="E2132" t="s">
        <v>45</v>
      </c>
      <c r="F2132" t="s">
        <v>2208</v>
      </c>
    </row>
    <row r="2133" spans="1:6" hidden="1" x14ac:dyDescent="0.2">
      <c r="A2133" s="63">
        <v>45935</v>
      </c>
      <c r="B2133" t="s">
        <v>873</v>
      </c>
      <c r="C2133">
        <v>66.2</v>
      </c>
      <c r="D2133" t="s">
        <v>858</v>
      </c>
      <c r="E2133" t="s">
        <v>45</v>
      </c>
      <c r="F2133" t="s">
        <v>2208</v>
      </c>
    </row>
    <row r="2134" spans="1:6" hidden="1" x14ac:dyDescent="0.2">
      <c r="A2134" s="63">
        <v>45932</v>
      </c>
      <c r="B2134" t="s">
        <v>99</v>
      </c>
      <c r="C2134">
        <v>234.89</v>
      </c>
      <c r="D2134" t="s">
        <v>98</v>
      </c>
      <c r="E2134" t="s">
        <v>45</v>
      </c>
      <c r="F2134" t="s">
        <v>2208</v>
      </c>
    </row>
    <row r="2135" spans="1:6" hidden="1" x14ac:dyDescent="0.2">
      <c r="A2135" s="63">
        <v>45932</v>
      </c>
      <c r="B2135" t="s">
        <v>931</v>
      </c>
      <c r="C2135">
        <v>3.3</v>
      </c>
      <c r="D2135" t="s">
        <v>901</v>
      </c>
      <c r="E2135" t="s">
        <v>6</v>
      </c>
      <c r="F2135" t="s">
        <v>2208</v>
      </c>
    </row>
    <row r="2136" spans="1:6" hidden="1" x14ac:dyDescent="0.2">
      <c r="A2136" s="63">
        <v>45931</v>
      </c>
      <c r="B2136" t="s">
        <v>859</v>
      </c>
      <c r="C2136">
        <v>110.35</v>
      </c>
      <c r="D2136" t="s">
        <v>858</v>
      </c>
      <c r="E2136" t="s">
        <v>45</v>
      </c>
      <c r="F2136" t="s">
        <v>2208</v>
      </c>
    </row>
    <row r="2137" spans="1:6" hidden="1" x14ac:dyDescent="0.2">
      <c r="A2137" s="63">
        <v>45930</v>
      </c>
      <c r="B2137" t="s">
        <v>495</v>
      </c>
      <c r="C2137">
        <v>13.09</v>
      </c>
      <c r="D2137" t="s">
        <v>469</v>
      </c>
      <c r="E2137" t="s">
        <v>6</v>
      </c>
      <c r="F2137" t="s">
        <v>2208</v>
      </c>
    </row>
    <row r="2138" spans="1:6" hidden="1" x14ac:dyDescent="0.2">
      <c r="A2138" s="63">
        <v>45929</v>
      </c>
      <c r="B2138" t="s">
        <v>1198</v>
      </c>
      <c r="C2138">
        <v>104</v>
      </c>
      <c r="D2138" t="s">
        <v>469</v>
      </c>
      <c r="E2138" t="s">
        <v>45</v>
      </c>
      <c r="F2138" t="s">
        <v>2208</v>
      </c>
    </row>
    <row r="2139" spans="1:6" hidden="1" x14ac:dyDescent="0.2">
      <c r="A2139" s="63">
        <v>45928</v>
      </c>
      <c r="B2139" t="s">
        <v>136</v>
      </c>
      <c r="C2139">
        <v>90</v>
      </c>
      <c r="D2139" t="s">
        <v>98</v>
      </c>
      <c r="E2139" t="s">
        <v>45</v>
      </c>
      <c r="F2139" t="s">
        <v>2208</v>
      </c>
    </row>
    <row r="2140" spans="1:6" hidden="1" x14ac:dyDescent="0.2">
      <c r="A2140" s="63">
        <v>45928</v>
      </c>
      <c r="B2140" t="s">
        <v>557</v>
      </c>
      <c r="C2140">
        <v>45.08</v>
      </c>
      <c r="D2140" t="s">
        <v>514</v>
      </c>
      <c r="E2140" t="s">
        <v>6</v>
      </c>
      <c r="F2140" t="s">
        <v>2208</v>
      </c>
    </row>
    <row r="2141" spans="1:6" hidden="1" x14ac:dyDescent="0.2">
      <c r="A2141" s="63">
        <v>45928</v>
      </c>
      <c r="B2141" t="s">
        <v>428</v>
      </c>
      <c r="C2141">
        <v>61.18</v>
      </c>
      <c r="D2141" t="s">
        <v>165</v>
      </c>
      <c r="E2141" t="s">
        <v>45</v>
      </c>
      <c r="F2141" t="s">
        <v>2208</v>
      </c>
    </row>
    <row r="2142" spans="1:6" hidden="1" x14ac:dyDescent="0.2">
      <c r="A2142" s="63">
        <v>45928</v>
      </c>
      <c r="B2142" t="s">
        <v>496</v>
      </c>
      <c r="C2142">
        <v>38.619999999999997</v>
      </c>
      <c r="D2142" t="s">
        <v>469</v>
      </c>
      <c r="E2142" t="s">
        <v>6</v>
      </c>
      <c r="F2142" t="s">
        <v>2208</v>
      </c>
    </row>
    <row r="2143" spans="1:6" hidden="1" x14ac:dyDescent="0.2">
      <c r="A2143" s="63">
        <v>45927</v>
      </c>
      <c r="B2143" t="s">
        <v>26</v>
      </c>
      <c r="C2143">
        <v>74.25</v>
      </c>
      <c r="D2143" t="s">
        <v>5</v>
      </c>
      <c r="E2143" t="s">
        <v>6</v>
      </c>
      <c r="F2143" t="s">
        <v>2208</v>
      </c>
    </row>
    <row r="2144" spans="1:6" hidden="1" x14ac:dyDescent="0.2">
      <c r="A2144" s="63">
        <v>45927</v>
      </c>
      <c r="B2144" t="s">
        <v>860</v>
      </c>
      <c r="C2144">
        <v>105.35</v>
      </c>
      <c r="D2144" t="s">
        <v>858</v>
      </c>
      <c r="E2144" t="s">
        <v>45</v>
      </c>
      <c r="F2144" t="s">
        <v>2208</v>
      </c>
    </row>
    <row r="2145" spans="1:6" hidden="1" x14ac:dyDescent="0.2">
      <c r="A2145" s="63">
        <v>45927</v>
      </c>
      <c r="B2145" t="s">
        <v>259</v>
      </c>
      <c r="C2145">
        <v>22</v>
      </c>
      <c r="D2145" t="s">
        <v>165</v>
      </c>
      <c r="E2145" t="s">
        <v>45</v>
      </c>
      <c r="F2145" t="s">
        <v>2208</v>
      </c>
    </row>
    <row r="2146" spans="1:6" hidden="1" x14ac:dyDescent="0.2">
      <c r="A2146" s="63">
        <v>45927</v>
      </c>
      <c r="B2146" t="s">
        <v>880</v>
      </c>
      <c r="C2146">
        <v>110.35</v>
      </c>
      <c r="D2146" t="s">
        <v>858</v>
      </c>
      <c r="E2146" t="s">
        <v>45</v>
      </c>
      <c r="F2146" t="s">
        <v>2208</v>
      </c>
    </row>
    <row r="2147" spans="1:6" hidden="1" x14ac:dyDescent="0.2">
      <c r="A2147" s="63">
        <v>45927</v>
      </c>
      <c r="B2147" t="s">
        <v>475</v>
      </c>
      <c r="C2147">
        <v>58.9</v>
      </c>
      <c r="D2147" t="s">
        <v>469</v>
      </c>
      <c r="E2147" t="s">
        <v>45</v>
      </c>
      <c r="F2147" t="s">
        <v>2208</v>
      </c>
    </row>
    <row r="2148" spans="1:6" hidden="1" x14ac:dyDescent="0.2">
      <c r="A2148" s="63">
        <v>45925</v>
      </c>
      <c r="B2148" t="s">
        <v>946</v>
      </c>
      <c r="C2148">
        <v>-6147.94</v>
      </c>
      <c r="D2148" t="s">
        <v>77</v>
      </c>
      <c r="E2148" t="s">
        <v>6</v>
      </c>
      <c r="F2148" t="s">
        <v>2208</v>
      </c>
    </row>
    <row r="2149" spans="1:6" hidden="1" x14ac:dyDescent="0.2">
      <c r="A2149" s="63">
        <v>45923</v>
      </c>
      <c r="B2149" t="s">
        <v>979</v>
      </c>
      <c r="C2149">
        <v>79.849999999999994</v>
      </c>
      <c r="D2149" t="s">
        <v>956</v>
      </c>
      <c r="E2149" t="s">
        <v>45</v>
      </c>
      <c r="F2149" t="s">
        <v>2208</v>
      </c>
    </row>
    <row r="2150" spans="1:6" hidden="1" x14ac:dyDescent="0.2">
      <c r="A2150" s="63">
        <v>45923</v>
      </c>
      <c r="B2150" t="s">
        <v>861</v>
      </c>
      <c r="C2150">
        <v>22.07</v>
      </c>
      <c r="D2150" t="s">
        <v>858</v>
      </c>
      <c r="E2150" t="s">
        <v>45</v>
      </c>
      <c r="F2150" t="s">
        <v>2208</v>
      </c>
    </row>
    <row r="2151" spans="1:6" hidden="1" x14ac:dyDescent="0.2">
      <c r="A2151" s="63">
        <v>45922</v>
      </c>
      <c r="B2151" t="s">
        <v>74</v>
      </c>
      <c r="C2151">
        <v>40</v>
      </c>
      <c r="D2151" t="s">
        <v>68</v>
      </c>
      <c r="E2151" t="s">
        <v>45</v>
      </c>
      <c r="F2151" t="s">
        <v>2208</v>
      </c>
    </row>
    <row r="2152" spans="1:6" hidden="1" x14ac:dyDescent="0.2">
      <c r="A2152" s="63">
        <v>45921</v>
      </c>
      <c r="B2152" t="s">
        <v>164</v>
      </c>
      <c r="C2152">
        <v>59.84</v>
      </c>
      <c r="D2152" t="s">
        <v>165</v>
      </c>
      <c r="E2152" t="s">
        <v>45</v>
      </c>
      <c r="F2152" t="s">
        <v>2208</v>
      </c>
    </row>
    <row r="2153" spans="1:6" hidden="1" x14ac:dyDescent="0.2">
      <c r="A2153" s="63">
        <v>45921</v>
      </c>
      <c r="B2153" t="s">
        <v>974</v>
      </c>
      <c r="C2153">
        <v>29.81</v>
      </c>
      <c r="D2153" t="s">
        <v>956</v>
      </c>
      <c r="E2153" t="s">
        <v>45</v>
      </c>
      <c r="F2153" t="s">
        <v>2208</v>
      </c>
    </row>
    <row r="2154" spans="1:6" hidden="1" x14ac:dyDescent="0.2">
      <c r="A2154" s="63">
        <v>45921</v>
      </c>
      <c r="B2154" t="s">
        <v>350</v>
      </c>
      <c r="C2154">
        <v>14.94</v>
      </c>
      <c r="D2154" t="s">
        <v>165</v>
      </c>
      <c r="E2154" t="s">
        <v>45</v>
      </c>
      <c r="F2154" t="s">
        <v>2208</v>
      </c>
    </row>
    <row r="2155" spans="1:6" hidden="1" x14ac:dyDescent="0.2">
      <c r="A2155" s="63">
        <v>45921</v>
      </c>
      <c r="B2155" t="s">
        <v>885</v>
      </c>
      <c r="C2155">
        <v>15</v>
      </c>
      <c r="D2155" t="s">
        <v>858</v>
      </c>
      <c r="E2155" t="s">
        <v>45</v>
      </c>
      <c r="F2155" t="s">
        <v>2208</v>
      </c>
    </row>
    <row r="2156" spans="1:6" hidden="1" x14ac:dyDescent="0.2">
      <c r="A2156" s="63">
        <v>45920</v>
      </c>
      <c r="B2156" t="s">
        <v>977</v>
      </c>
      <c r="C2156">
        <v>263.94</v>
      </c>
      <c r="D2156" t="s">
        <v>956</v>
      </c>
      <c r="E2156" t="s">
        <v>45</v>
      </c>
      <c r="F2156" t="s">
        <v>2208</v>
      </c>
    </row>
    <row r="2157" spans="1:6" hidden="1" x14ac:dyDescent="0.2">
      <c r="A2157" s="63">
        <v>45920</v>
      </c>
      <c r="B2157" t="s">
        <v>981</v>
      </c>
      <c r="C2157">
        <v>6.77</v>
      </c>
      <c r="D2157" t="s">
        <v>956</v>
      </c>
      <c r="E2157" t="s">
        <v>45</v>
      </c>
      <c r="F2157" t="s">
        <v>2208</v>
      </c>
    </row>
    <row r="2158" spans="1:6" hidden="1" x14ac:dyDescent="0.2">
      <c r="A2158" s="63">
        <v>45920</v>
      </c>
      <c r="B2158" t="s">
        <v>984</v>
      </c>
      <c r="C2158">
        <v>4.6399999999999997</v>
      </c>
      <c r="D2158" t="s">
        <v>956</v>
      </c>
      <c r="E2158" t="s">
        <v>45</v>
      </c>
      <c r="F2158" t="s">
        <v>2208</v>
      </c>
    </row>
    <row r="2159" spans="1:6" hidden="1" x14ac:dyDescent="0.2">
      <c r="A2159" s="63">
        <v>45920</v>
      </c>
      <c r="B2159" t="s">
        <v>984</v>
      </c>
      <c r="C2159">
        <v>43.65</v>
      </c>
      <c r="D2159" t="s">
        <v>956</v>
      </c>
      <c r="E2159" t="s">
        <v>45</v>
      </c>
      <c r="F2159" t="s">
        <v>2208</v>
      </c>
    </row>
    <row r="2160" spans="1:6" hidden="1" x14ac:dyDescent="0.2">
      <c r="A2160" s="63">
        <v>45920</v>
      </c>
      <c r="B2160" t="s">
        <v>988</v>
      </c>
      <c r="C2160">
        <v>56.48</v>
      </c>
      <c r="D2160" t="s">
        <v>956</v>
      </c>
      <c r="E2160" t="s">
        <v>45</v>
      </c>
      <c r="F2160" t="s">
        <v>2208</v>
      </c>
    </row>
    <row r="2161" spans="1:6" hidden="1" x14ac:dyDescent="0.2">
      <c r="A2161" s="63">
        <v>45920</v>
      </c>
      <c r="B2161" t="s">
        <v>1050</v>
      </c>
      <c r="C2161">
        <v>337.28</v>
      </c>
      <c r="D2161" t="s">
        <v>956</v>
      </c>
      <c r="E2161" t="s">
        <v>45</v>
      </c>
      <c r="F2161" t="s">
        <v>2208</v>
      </c>
    </row>
    <row r="2162" spans="1:6" hidden="1" x14ac:dyDescent="0.2">
      <c r="A2162" s="63">
        <v>45920</v>
      </c>
      <c r="B2162" t="s">
        <v>1063</v>
      </c>
      <c r="C2162">
        <v>44.14</v>
      </c>
      <c r="D2162" t="s">
        <v>956</v>
      </c>
      <c r="E2162" t="s">
        <v>45</v>
      </c>
      <c r="F2162" t="s">
        <v>2208</v>
      </c>
    </row>
    <row r="2163" spans="1:6" hidden="1" x14ac:dyDescent="0.2">
      <c r="A2163" s="63">
        <v>45920</v>
      </c>
      <c r="B2163" t="s">
        <v>1063</v>
      </c>
      <c r="C2163">
        <v>65.13</v>
      </c>
      <c r="D2163" t="s">
        <v>956</v>
      </c>
      <c r="E2163" t="s">
        <v>45</v>
      </c>
      <c r="F2163" t="s">
        <v>2208</v>
      </c>
    </row>
    <row r="2164" spans="1:6" hidden="1" x14ac:dyDescent="0.2">
      <c r="A2164" s="63">
        <v>45920</v>
      </c>
      <c r="B2164" t="s">
        <v>884</v>
      </c>
      <c r="C2164">
        <v>15</v>
      </c>
      <c r="D2164" t="s">
        <v>858</v>
      </c>
      <c r="E2164" t="s">
        <v>45</v>
      </c>
      <c r="F2164" t="s">
        <v>2208</v>
      </c>
    </row>
    <row r="2165" spans="1:6" hidden="1" x14ac:dyDescent="0.2">
      <c r="A2165" s="63">
        <v>45919</v>
      </c>
      <c r="B2165" t="s">
        <v>1102</v>
      </c>
      <c r="C2165">
        <v>103.66</v>
      </c>
      <c r="D2165" t="s">
        <v>956</v>
      </c>
      <c r="E2165" t="s">
        <v>45</v>
      </c>
      <c r="F2165" t="s">
        <v>2208</v>
      </c>
    </row>
    <row r="2166" spans="1:6" hidden="1" x14ac:dyDescent="0.2">
      <c r="A2166" s="63">
        <v>45918</v>
      </c>
      <c r="B2166" t="s">
        <v>995</v>
      </c>
      <c r="C2166">
        <v>7.45</v>
      </c>
      <c r="D2166" t="s">
        <v>956</v>
      </c>
      <c r="E2166" t="s">
        <v>45</v>
      </c>
      <c r="F2166" t="s">
        <v>2208</v>
      </c>
    </row>
    <row r="2167" spans="1:6" hidden="1" x14ac:dyDescent="0.2">
      <c r="A2167" s="63">
        <v>45918</v>
      </c>
      <c r="B2167" t="s">
        <v>971</v>
      </c>
      <c r="C2167">
        <v>32.340000000000003</v>
      </c>
      <c r="D2167" t="s">
        <v>956</v>
      </c>
      <c r="E2167" t="s">
        <v>45</v>
      </c>
      <c r="F2167" t="s">
        <v>2208</v>
      </c>
    </row>
    <row r="2168" spans="1:6" hidden="1" x14ac:dyDescent="0.2">
      <c r="A2168" s="63">
        <v>45918</v>
      </c>
      <c r="B2168" t="s">
        <v>972</v>
      </c>
      <c r="C2168">
        <v>70</v>
      </c>
      <c r="D2168" t="s">
        <v>956</v>
      </c>
      <c r="E2168" t="s">
        <v>45</v>
      </c>
      <c r="F2168" t="s">
        <v>2208</v>
      </c>
    </row>
    <row r="2169" spans="1:6" hidden="1" x14ac:dyDescent="0.2">
      <c r="A2169" s="63">
        <v>45918</v>
      </c>
      <c r="B2169" t="s">
        <v>980</v>
      </c>
      <c r="C2169">
        <v>8</v>
      </c>
      <c r="D2169" t="s">
        <v>956</v>
      </c>
      <c r="E2169" t="s">
        <v>45</v>
      </c>
      <c r="F2169" t="s">
        <v>2208</v>
      </c>
    </row>
    <row r="2170" spans="1:6" hidden="1" x14ac:dyDescent="0.2">
      <c r="A2170" s="63">
        <v>45918</v>
      </c>
      <c r="B2170" t="s">
        <v>980</v>
      </c>
      <c r="C2170">
        <v>8</v>
      </c>
      <c r="D2170" t="s">
        <v>956</v>
      </c>
      <c r="E2170" t="s">
        <v>45</v>
      </c>
      <c r="F2170" t="s">
        <v>2208</v>
      </c>
    </row>
    <row r="2171" spans="1:6" hidden="1" x14ac:dyDescent="0.2">
      <c r="A2171" s="63">
        <v>45918</v>
      </c>
      <c r="B2171" t="s">
        <v>982</v>
      </c>
      <c r="C2171">
        <v>43.23</v>
      </c>
      <c r="D2171" t="s">
        <v>956</v>
      </c>
      <c r="E2171" t="s">
        <v>45</v>
      </c>
      <c r="F2171" t="s">
        <v>2208</v>
      </c>
    </row>
    <row r="2172" spans="1:6" hidden="1" x14ac:dyDescent="0.2">
      <c r="A2172" s="63">
        <v>45918</v>
      </c>
      <c r="B2172" t="s">
        <v>1017</v>
      </c>
      <c r="C2172">
        <v>43.21</v>
      </c>
      <c r="D2172" t="s">
        <v>956</v>
      </c>
      <c r="E2172" t="s">
        <v>45</v>
      </c>
      <c r="F2172" t="s">
        <v>2208</v>
      </c>
    </row>
    <row r="2173" spans="1:6" hidden="1" x14ac:dyDescent="0.2">
      <c r="A2173" s="63">
        <v>45918</v>
      </c>
      <c r="B2173" t="s">
        <v>1064</v>
      </c>
      <c r="C2173">
        <v>229.87</v>
      </c>
      <c r="D2173" t="s">
        <v>956</v>
      </c>
      <c r="E2173" t="s">
        <v>45</v>
      </c>
      <c r="F2173" t="s">
        <v>2208</v>
      </c>
    </row>
    <row r="2174" spans="1:6" hidden="1" x14ac:dyDescent="0.2">
      <c r="A2174" s="63">
        <v>45918</v>
      </c>
      <c r="B2174" t="s">
        <v>1086</v>
      </c>
      <c r="C2174">
        <v>80</v>
      </c>
      <c r="D2174" t="s">
        <v>956</v>
      </c>
      <c r="E2174" t="s">
        <v>45</v>
      </c>
      <c r="F2174" t="s">
        <v>2208</v>
      </c>
    </row>
    <row r="2175" spans="1:6" hidden="1" x14ac:dyDescent="0.2">
      <c r="A2175" s="63">
        <v>45918</v>
      </c>
      <c r="B2175" t="s">
        <v>918</v>
      </c>
      <c r="C2175">
        <v>19</v>
      </c>
      <c r="D2175" t="s">
        <v>901</v>
      </c>
      <c r="E2175" t="s">
        <v>45</v>
      </c>
      <c r="F2175" t="s">
        <v>2208</v>
      </c>
    </row>
    <row r="2176" spans="1:6" hidden="1" x14ac:dyDescent="0.2">
      <c r="A2176" s="63">
        <v>45918</v>
      </c>
      <c r="B2176" t="s">
        <v>882</v>
      </c>
      <c r="C2176">
        <v>12</v>
      </c>
      <c r="D2176" t="s">
        <v>858</v>
      </c>
      <c r="E2176" t="s">
        <v>45</v>
      </c>
      <c r="F2176" t="s">
        <v>2208</v>
      </c>
    </row>
    <row r="2177" spans="1:6" hidden="1" x14ac:dyDescent="0.2">
      <c r="A2177" s="63">
        <v>45918</v>
      </c>
      <c r="B2177" t="s">
        <v>883</v>
      </c>
      <c r="C2177">
        <v>15</v>
      </c>
      <c r="D2177" t="s">
        <v>858</v>
      </c>
      <c r="E2177" t="s">
        <v>45</v>
      </c>
      <c r="F2177" t="s">
        <v>2208</v>
      </c>
    </row>
    <row r="2178" spans="1:6" hidden="1" x14ac:dyDescent="0.2">
      <c r="A2178" s="63">
        <v>45917</v>
      </c>
      <c r="B2178" t="s">
        <v>968</v>
      </c>
      <c r="C2178">
        <v>19.850000000000001</v>
      </c>
      <c r="D2178" t="s">
        <v>956</v>
      </c>
      <c r="E2178" t="s">
        <v>45</v>
      </c>
      <c r="F2178" t="s">
        <v>2208</v>
      </c>
    </row>
    <row r="2179" spans="1:6" hidden="1" x14ac:dyDescent="0.2">
      <c r="A2179" s="63">
        <v>45917</v>
      </c>
      <c r="B2179" t="s">
        <v>968</v>
      </c>
      <c r="C2179">
        <v>65.52</v>
      </c>
      <c r="D2179" t="s">
        <v>956</v>
      </c>
      <c r="E2179" t="s">
        <v>45</v>
      </c>
      <c r="F2179" t="s">
        <v>2208</v>
      </c>
    </row>
    <row r="2180" spans="1:6" hidden="1" x14ac:dyDescent="0.2">
      <c r="A2180" s="63">
        <v>45917</v>
      </c>
      <c r="B2180" t="s">
        <v>990</v>
      </c>
      <c r="C2180">
        <v>33.479999999999997</v>
      </c>
      <c r="D2180" t="s">
        <v>956</v>
      </c>
      <c r="E2180" t="s">
        <v>45</v>
      </c>
      <c r="F2180" t="s">
        <v>2208</v>
      </c>
    </row>
    <row r="2181" spans="1:6" hidden="1" x14ac:dyDescent="0.2">
      <c r="A2181" s="63">
        <v>45917</v>
      </c>
      <c r="B2181" t="s">
        <v>1040</v>
      </c>
      <c r="C2181">
        <v>273.75</v>
      </c>
      <c r="D2181" t="s">
        <v>956</v>
      </c>
      <c r="E2181" t="s">
        <v>45</v>
      </c>
      <c r="F2181" t="s">
        <v>2208</v>
      </c>
    </row>
    <row r="2182" spans="1:6" hidden="1" x14ac:dyDescent="0.2">
      <c r="A2182" s="63">
        <v>45917</v>
      </c>
      <c r="B2182" t="s">
        <v>1045</v>
      </c>
      <c r="C2182">
        <v>68.87</v>
      </c>
      <c r="D2182" t="s">
        <v>956</v>
      </c>
      <c r="E2182" t="s">
        <v>45</v>
      </c>
      <c r="F2182" t="s">
        <v>2208</v>
      </c>
    </row>
    <row r="2183" spans="1:6" hidden="1" x14ac:dyDescent="0.2">
      <c r="A2183" s="63">
        <v>45917</v>
      </c>
      <c r="B2183" t="s">
        <v>1047</v>
      </c>
      <c r="C2183">
        <v>163.66</v>
      </c>
      <c r="D2183" t="s">
        <v>956</v>
      </c>
      <c r="E2183" t="s">
        <v>45</v>
      </c>
      <c r="F2183" t="s">
        <v>2208</v>
      </c>
    </row>
    <row r="2184" spans="1:6" hidden="1" x14ac:dyDescent="0.2">
      <c r="A2184" s="63">
        <v>45917</v>
      </c>
      <c r="B2184" t="s">
        <v>483</v>
      </c>
      <c r="C2184">
        <v>396</v>
      </c>
      <c r="D2184" t="s">
        <v>469</v>
      </c>
      <c r="E2184" t="s">
        <v>45</v>
      </c>
      <c r="F2184" t="s">
        <v>2208</v>
      </c>
    </row>
    <row r="2185" spans="1:6" hidden="1" x14ac:dyDescent="0.2">
      <c r="A2185" s="63">
        <v>45917</v>
      </c>
      <c r="B2185" t="s">
        <v>428</v>
      </c>
      <c r="C2185">
        <v>38.590000000000003</v>
      </c>
      <c r="D2185" t="s">
        <v>165</v>
      </c>
      <c r="E2185" t="s">
        <v>45</v>
      </c>
      <c r="F2185" t="s">
        <v>2208</v>
      </c>
    </row>
    <row r="2186" spans="1:6" hidden="1" x14ac:dyDescent="0.2">
      <c r="A2186" s="63">
        <v>45916</v>
      </c>
      <c r="B2186" t="s">
        <v>993</v>
      </c>
      <c r="C2186">
        <v>74.72</v>
      </c>
      <c r="D2186" t="s">
        <v>956</v>
      </c>
      <c r="E2186" t="s">
        <v>45</v>
      </c>
      <c r="F2186" t="s">
        <v>2208</v>
      </c>
    </row>
    <row r="2187" spans="1:6" hidden="1" x14ac:dyDescent="0.2">
      <c r="A2187" s="63">
        <v>45916</v>
      </c>
      <c r="B2187" t="s">
        <v>973</v>
      </c>
      <c r="C2187">
        <v>3.68</v>
      </c>
      <c r="D2187" t="s">
        <v>956</v>
      </c>
      <c r="E2187" t="s">
        <v>45</v>
      </c>
      <c r="F2187" t="s">
        <v>2208</v>
      </c>
    </row>
    <row r="2188" spans="1:6" hidden="1" x14ac:dyDescent="0.2">
      <c r="A2188" s="63">
        <v>45916</v>
      </c>
      <c r="B2188" t="s">
        <v>973</v>
      </c>
      <c r="C2188">
        <v>67.010000000000005</v>
      </c>
      <c r="D2188" t="s">
        <v>956</v>
      </c>
      <c r="E2188" t="s">
        <v>45</v>
      </c>
      <c r="F2188" t="s">
        <v>2208</v>
      </c>
    </row>
    <row r="2189" spans="1:6" hidden="1" x14ac:dyDescent="0.2">
      <c r="A2189" s="63">
        <v>45916</v>
      </c>
      <c r="B2189" t="s">
        <v>1186</v>
      </c>
      <c r="C2189">
        <v>88.18</v>
      </c>
      <c r="D2189" t="s">
        <v>956</v>
      </c>
      <c r="E2189" t="s">
        <v>45</v>
      </c>
      <c r="F2189" t="s">
        <v>2208</v>
      </c>
    </row>
    <row r="2190" spans="1:6" hidden="1" x14ac:dyDescent="0.2">
      <c r="A2190" s="63">
        <v>45916</v>
      </c>
      <c r="B2190" t="s">
        <v>1196</v>
      </c>
      <c r="C2190">
        <v>1.1000000000000001</v>
      </c>
      <c r="D2190" t="s">
        <v>469</v>
      </c>
      <c r="E2190" t="s">
        <v>45</v>
      </c>
      <c r="F2190" t="s">
        <v>2208</v>
      </c>
    </row>
    <row r="2191" spans="1:6" hidden="1" x14ac:dyDescent="0.2">
      <c r="A2191" s="63">
        <v>45916</v>
      </c>
      <c r="B2191" t="s">
        <v>1069</v>
      </c>
      <c r="C2191">
        <v>22.57</v>
      </c>
      <c r="D2191" t="s">
        <v>956</v>
      </c>
      <c r="E2191" t="s">
        <v>45</v>
      </c>
      <c r="F2191" t="s">
        <v>2208</v>
      </c>
    </row>
    <row r="2192" spans="1:6" hidden="1" x14ac:dyDescent="0.2">
      <c r="A2192" s="63">
        <v>45916</v>
      </c>
      <c r="B2192" t="s">
        <v>1125</v>
      </c>
      <c r="C2192">
        <v>102.64</v>
      </c>
      <c r="D2192" t="s">
        <v>956</v>
      </c>
      <c r="E2192" t="s">
        <v>45</v>
      </c>
      <c r="F2192" t="s">
        <v>2208</v>
      </c>
    </row>
    <row r="2193" spans="1:6" hidden="1" x14ac:dyDescent="0.2">
      <c r="A2193" s="63">
        <v>45915</v>
      </c>
      <c r="B2193" t="s">
        <v>976</v>
      </c>
      <c r="C2193">
        <v>58.42</v>
      </c>
      <c r="D2193" t="s">
        <v>956</v>
      </c>
      <c r="E2193" t="s">
        <v>45</v>
      </c>
      <c r="F2193" t="s">
        <v>2208</v>
      </c>
    </row>
    <row r="2194" spans="1:6" hidden="1" x14ac:dyDescent="0.2">
      <c r="A2194" s="63">
        <v>45915</v>
      </c>
      <c r="B2194" t="s">
        <v>978</v>
      </c>
      <c r="C2194">
        <v>51.49</v>
      </c>
      <c r="D2194" t="s">
        <v>956</v>
      </c>
      <c r="E2194" t="s">
        <v>45</v>
      </c>
      <c r="F2194" t="s">
        <v>2208</v>
      </c>
    </row>
    <row r="2195" spans="1:6" hidden="1" x14ac:dyDescent="0.2">
      <c r="A2195" s="63">
        <v>45915</v>
      </c>
      <c r="B2195" t="s">
        <v>983</v>
      </c>
      <c r="C2195">
        <v>153.46</v>
      </c>
      <c r="D2195" t="s">
        <v>956</v>
      </c>
      <c r="E2195" t="s">
        <v>45</v>
      </c>
      <c r="F2195" t="s">
        <v>2208</v>
      </c>
    </row>
    <row r="2196" spans="1:6" hidden="1" x14ac:dyDescent="0.2">
      <c r="A2196" s="63">
        <v>45915</v>
      </c>
      <c r="B2196" t="s">
        <v>1002</v>
      </c>
      <c r="C2196">
        <v>11.07</v>
      </c>
      <c r="D2196" t="s">
        <v>956</v>
      </c>
      <c r="E2196" t="s">
        <v>45</v>
      </c>
      <c r="F2196" t="s">
        <v>2208</v>
      </c>
    </row>
    <row r="2197" spans="1:6" hidden="1" x14ac:dyDescent="0.2">
      <c r="A2197" s="63">
        <v>45915</v>
      </c>
      <c r="B2197" t="s">
        <v>1013</v>
      </c>
      <c r="C2197">
        <v>24.85</v>
      </c>
      <c r="D2197" t="s">
        <v>956</v>
      </c>
      <c r="E2197" t="s">
        <v>45</v>
      </c>
      <c r="F2197" t="s">
        <v>2208</v>
      </c>
    </row>
    <row r="2198" spans="1:6" hidden="1" x14ac:dyDescent="0.2">
      <c r="A2198" s="63">
        <v>45915</v>
      </c>
      <c r="B2198" t="s">
        <v>1196</v>
      </c>
      <c r="C2198">
        <v>33.4</v>
      </c>
      <c r="D2198" t="s">
        <v>469</v>
      </c>
      <c r="E2198" t="s">
        <v>45</v>
      </c>
      <c r="F2198" t="s">
        <v>2208</v>
      </c>
    </row>
    <row r="2199" spans="1:6" hidden="1" x14ac:dyDescent="0.2">
      <c r="A2199" s="63">
        <v>45915</v>
      </c>
      <c r="B2199" t="s">
        <v>1033</v>
      </c>
      <c r="C2199">
        <v>42.59</v>
      </c>
      <c r="D2199" t="s">
        <v>956</v>
      </c>
      <c r="E2199" t="s">
        <v>45</v>
      </c>
      <c r="F2199" t="s">
        <v>2208</v>
      </c>
    </row>
    <row r="2200" spans="1:6" hidden="1" x14ac:dyDescent="0.2">
      <c r="A2200" s="63">
        <v>45915</v>
      </c>
      <c r="B2200" t="s">
        <v>1052</v>
      </c>
      <c r="C2200">
        <v>278</v>
      </c>
      <c r="D2200" t="s">
        <v>956</v>
      </c>
      <c r="E2200" t="s">
        <v>45</v>
      </c>
      <c r="F2200" t="s">
        <v>2208</v>
      </c>
    </row>
    <row r="2201" spans="1:6" hidden="1" x14ac:dyDescent="0.2">
      <c r="A2201" s="63">
        <v>45915</v>
      </c>
      <c r="B2201" t="s">
        <v>1065</v>
      </c>
      <c r="C2201">
        <v>11.74</v>
      </c>
      <c r="D2201" t="s">
        <v>956</v>
      </c>
      <c r="E2201" t="s">
        <v>45</v>
      </c>
      <c r="F2201" t="s">
        <v>2208</v>
      </c>
    </row>
    <row r="2202" spans="1:6" hidden="1" x14ac:dyDescent="0.2">
      <c r="A2202" s="63">
        <v>45915</v>
      </c>
      <c r="B2202" t="s">
        <v>1067</v>
      </c>
      <c r="C2202">
        <v>8.15</v>
      </c>
      <c r="D2202" t="s">
        <v>956</v>
      </c>
      <c r="E2202" t="s">
        <v>45</v>
      </c>
      <c r="F2202" t="s">
        <v>2208</v>
      </c>
    </row>
    <row r="2203" spans="1:6" hidden="1" x14ac:dyDescent="0.2">
      <c r="A2203" s="63">
        <v>45915</v>
      </c>
      <c r="B2203" t="s">
        <v>1083</v>
      </c>
      <c r="C2203">
        <v>55.3</v>
      </c>
      <c r="D2203" t="s">
        <v>956</v>
      </c>
      <c r="E2203" t="s">
        <v>45</v>
      </c>
      <c r="F2203" t="s">
        <v>2208</v>
      </c>
    </row>
    <row r="2204" spans="1:6" hidden="1" x14ac:dyDescent="0.2">
      <c r="A2204" s="63">
        <v>45915</v>
      </c>
      <c r="B2204" t="s">
        <v>1090</v>
      </c>
      <c r="C2204">
        <v>8.15</v>
      </c>
      <c r="D2204" t="s">
        <v>956</v>
      </c>
      <c r="E2204" t="s">
        <v>45</v>
      </c>
      <c r="F2204" t="s">
        <v>2208</v>
      </c>
    </row>
    <row r="2205" spans="1:6" hidden="1" x14ac:dyDescent="0.2">
      <c r="A2205" s="63">
        <v>45915</v>
      </c>
      <c r="B2205" t="s">
        <v>1090</v>
      </c>
      <c r="C2205">
        <v>16.98</v>
      </c>
      <c r="D2205" t="s">
        <v>956</v>
      </c>
      <c r="E2205" t="s">
        <v>45</v>
      </c>
      <c r="F2205" t="s">
        <v>2208</v>
      </c>
    </row>
    <row r="2206" spans="1:6" hidden="1" x14ac:dyDescent="0.2">
      <c r="A2206" s="63">
        <v>45915</v>
      </c>
      <c r="B2206" t="s">
        <v>557</v>
      </c>
      <c r="C2206">
        <v>3.43</v>
      </c>
      <c r="D2206" t="s">
        <v>514</v>
      </c>
      <c r="E2206" t="s">
        <v>6</v>
      </c>
      <c r="F2206" t="s">
        <v>2208</v>
      </c>
    </row>
    <row r="2207" spans="1:6" hidden="1" x14ac:dyDescent="0.2">
      <c r="A2207" s="63">
        <v>45915</v>
      </c>
      <c r="B2207" t="s">
        <v>1139</v>
      </c>
      <c r="C2207">
        <v>16.38</v>
      </c>
      <c r="D2207" t="s">
        <v>956</v>
      </c>
      <c r="E2207" t="s">
        <v>45</v>
      </c>
      <c r="F2207" t="s">
        <v>2208</v>
      </c>
    </row>
    <row r="2208" spans="1:6" hidden="1" x14ac:dyDescent="0.2">
      <c r="A2208" s="63">
        <v>45915</v>
      </c>
      <c r="B2208" t="s">
        <v>462</v>
      </c>
      <c r="C2208">
        <v>38.04</v>
      </c>
      <c r="D2208" t="s">
        <v>165</v>
      </c>
      <c r="E2208" t="s">
        <v>45</v>
      </c>
      <c r="F2208" t="s">
        <v>2208</v>
      </c>
    </row>
    <row r="2209" spans="1:6" hidden="1" x14ac:dyDescent="0.2">
      <c r="A2209" s="63">
        <v>45914</v>
      </c>
      <c r="B2209" t="s">
        <v>670</v>
      </c>
      <c r="C2209">
        <v>12.21</v>
      </c>
      <c r="D2209" t="s">
        <v>639</v>
      </c>
      <c r="E2209" t="s">
        <v>6</v>
      </c>
      <c r="F2209" t="s">
        <v>2208</v>
      </c>
    </row>
    <row r="2210" spans="1:6" hidden="1" x14ac:dyDescent="0.2">
      <c r="A2210" s="63">
        <v>45914</v>
      </c>
      <c r="B2210" t="s">
        <v>991</v>
      </c>
      <c r="C2210">
        <v>8.31</v>
      </c>
      <c r="D2210" t="s">
        <v>956</v>
      </c>
      <c r="E2210" t="s">
        <v>45</v>
      </c>
      <c r="F2210" t="s">
        <v>2208</v>
      </c>
    </row>
    <row r="2211" spans="1:6" hidden="1" x14ac:dyDescent="0.2">
      <c r="A2211" s="63">
        <v>45914</v>
      </c>
      <c r="B2211" t="s">
        <v>470</v>
      </c>
      <c r="C2211">
        <v>111.41</v>
      </c>
      <c r="D2211" t="s">
        <v>469</v>
      </c>
      <c r="E2211" t="s">
        <v>45</v>
      </c>
      <c r="F2211" t="s">
        <v>2208</v>
      </c>
    </row>
    <row r="2212" spans="1:6" hidden="1" x14ac:dyDescent="0.2">
      <c r="A2212" s="63">
        <v>45914</v>
      </c>
      <c r="B2212" t="s">
        <v>904</v>
      </c>
      <c r="C2212">
        <v>110.34</v>
      </c>
      <c r="D2212" t="s">
        <v>901</v>
      </c>
      <c r="E2212" t="s">
        <v>45</v>
      </c>
      <c r="F2212" t="s">
        <v>2208</v>
      </c>
    </row>
    <row r="2213" spans="1:6" hidden="1" x14ac:dyDescent="0.2">
      <c r="A2213" s="63">
        <v>45914</v>
      </c>
      <c r="B2213" t="s">
        <v>1202</v>
      </c>
      <c r="C2213">
        <v>38.04</v>
      </c>
      <c r="D2213" t="s">
        <v>1185</v>
      </c>
      <c r="E2213">
        <v>0</v>
      </c>
      <c r="F2213" t="s">
        <v>2208</v>
      </c>
    </row>
    <row r="2214" spans="1:6" hidden="1" x14ac:dyDescent="0.2">
      <c r="A2214" s="63">
        <v>45914</v>
      </c>
      <c r="B2214" t="s">
        <v>1051</v>
      </c>
      <c r="C2214">
        <v>9.51</v>
      </c>
      <c r="D2214" t="s">
        <v>956</v>
      </c>
      <c r="E2214" t="s">
        <v>45</v>
      </c>
      <c r="F2214" t="s">
        <v>2208</v>
      </c>
    </row>
    <row r="2215" spans="1:6" hidden="1" x14ac:dyDescent="0.2">
      <c r="A2215" s="63">
        <v>45914</v>
      </c>
      <c r="B2215" t="s">
        <v>1095</v>
      </c>
      <c r="C2215">
        <v>16.3</v>
      </c>
      <c r="D2215" t="s">
        <v>956</v>
      </c>
      <c r="E2215" t="s">
        <v>45</v>
      </c>
      <c r="F2215" t="s">
        <v>2208</v>
      </c>
    </row>
    <row r="2216" spans="1:6" hidden="1" x14ac:dyDescent="0.2">
      <c r="A2216" s="63">
        <v>45914</v>
      </c>
      <c r="B2216" t="s">
        <v>1130</v>
      </c>
      <c r="C2216">
        <v>20.38</v>
      </c>
      <c r="D2216" t="s">
        <v>956</v>
      </c>
      <c r="E2216" t="s">
        <v>45</v>
      </c>
      <c r="F2216" t="s">
        <v>2208</v>
      </c>
    </row>
    <row r="2217" spans="1:6" hidden="1" x14ac:dyDescent="0.2">
      <c r="A2217" s="63">
        <v>45914</v>
      </c>
      <c r="B2217" t="s">
        <v>1140</v>
      </c>
      <c r="C2217">
        <v>35</v>
      </c>
      <c r="D2217" t="s">
        <v>956</v>
      </c>
      <c r="E2217" t="s">
        <v>45</v>
      </c>
      <c r="F2217" t="s">
        <v>2208</v>
      </c>
    </row>
    <row r="2218" spans="1:6" hidden="1" x14ac:dyDescent="0.2">
      <c r="A2218" s="63">
        <v>45913</v>
      </c>
      <c r="B2218" t="s">
        <v>961</v>
      </c>
      <c r="C2218">
        <v>407.38</v>
      </c>
      <c r="D2218" t="s">
        <v>956</v>
      </c>
      <c r="E2218" t="s">
        <v>45</v>
      </c>
      <c r="F2218" t="s">
        <v>2208</v>
      </c>
    </row>
    <row r="2219" spans="1:6" hidden="1" x14ac:dyDescent="0.2">
      <c r="A2219" s="63">
        <v>45913</v>
      </c>
      <c r="B2219" t="s">
        <v>1000</v>
      </c>
      <c r="C2219">
        <v>74.72</v>
      </c>
      <c r="D2219" t="s">
        <v>956</v>
      </c>
      <c r="E2219" t="s">
        <v>45</v>
      </c>
      <c r="F2219" t="s">
        <v>2208</v>
      </c>
    </row>
    <row r="2220" spans="1:6" hidden="1" x14ac:dyDescent="0.2">
      <c r="A2220" s="63">
        <v>45913</v>
      </c>
      <c r="B2220" t="s">
        <v>986</v>
      </c>
      <c r="C2220">
        <v>-81</v>
      </c>
      <c r="D2220" t="s">
        <v>956</v>
      </c>
      <c r="E2220" t="s">
        <v>45</v>
      </c>
      <c r="F2220" t="s">
        <v>2208</v>
      </c>
    </row>
    <row r="2221" spans="1:6" hidden="1" x14ac:dyDescent="0.2">
      <c r="A2221" s="63">
        <v>45913</v>
      </c>
      <c r="B2221" t="s">
        <v>1023</v>
      </c>
      <c r="C2221">
        <v>19.260000000000002</v>
      </c>
      <c r="D2221" t="s">
        <v>956</v>
      </c>
      <c r="E2221" t="s">
        <v>45</v>
      </c>
      <c r="F2221" t="s">
        <v>2208</v>
      </c>
    </row>
    <row r="2222" spans="1:6" hidden="1" x14ac:dyDescent="0.2">
      <c r="A2222" s="63">
        <v>45913</v>
      </c>
      <c r="B2222" t="s">
        <v>1028</v>
      </c>
      <c r="C2222">
        <v>5.43</v>
      </c>
      <c r="D2222" t="s">
        <v>956</v>
      </c>
      <c r="E2222" t="s">
        <v>45</v>
      </c>
      <c r="F2222" t="s">
        <v>2208</v>
      </c>
    </row>
    <row r="2223" spans="1:6" hidden="1" x14ac:dyDescent="0.2">
      <c r="A2223" s="63">
        <v>45913</v>
      </c>
      <c r="B2223" t="s">
        <v>1118</v>
      </c>
      <c r="C2223">
        <v>71.81</v>
      </c>
      <c r="D2223" t="s">
        <v>956</v>
      </c>
      <c r="E2223" t="s">
        <v>45</v>
      </c>
      <c r="F2223" t="s">
        <v>2208</v>
      </c>
    </row>
    <row r="2224" spans="1:6" hidden="1" x14ac:dyDescent="0.2">
      <c r="A2224" s="63">
        <v>45913</v>
      </c>
      <c r="B2224" t="s">
        <v>1126</v>
      </c>
      <c r="C2224">
        <v>25.81</v>
      </c>
      <c r="D2224" t="s">
        <v>956</v>
      </c>
      <c r="E2224" t="s">
        <v>45</v>
      </c>
      <c r="F2224" t="s">
        <v>2208</v>
      </c>
    </row>
    <row r="2225" spans="1:6" hidden="1" x14ac:dyDescent="0.2">
      <c r="A2225" s="63">
        <v>45912</v>
      </c>
      <c r="B2225" t="s">
        <v>969</v>
      </c>
      <c r="C2225">
        <v>16.989999999999998</v>
      </c>
      <c r="D2225" t="s">
        <v>956</v>
      </c>
      <c r="E2225" t="s">
        <v>45</v>
      </c>
      <c r="F2225" t="s">
        <v>2208</v>
      </c>
    </row>
    <row r="2226" spans="1:6" hidden="1" x14ac:dyDescent="0.2">
      <c r="A2226" s="63">
        <v>45912</v>
      </c>
      <c r="B2226" t="s">
        <v>970</v>
      </c>
      <c r="C2226">
        <v>23.95</v>
      </c>
      <c r="D2226" t="s">
        <v>956</v>
      </c>
      <c r="E2226" t="s">
        <v>45</v>
      </c>
      <c r="F2226" t="s">
        <v>2208</v>
      </c>
    </row>
    <row r="2227" spans="1:6" hidden="1" x14ac:dyDescent="0.2">
      <c r="A2227" s="63">
        <v>45912</v>
      </c>
      <c r="B2227" t="s">
        <v>970</v>
      </c>
      <c r="C2227">
        <v>99.59</v>
      </c>
      <c r="D2227" t="s">
        <v>956</v>
      </c>
      <c r="E2227" t="s">
        <v>45</v>
      </c>
      <c r="F2227" t="s">
        <v>2208</v>
      </c>
    </row>
    <row r="2228" spans="1:6" hidden="1" x14ac:dyDescent="0.2">
      <c r="A2228" s="63">
        <v>45912</v>
      </c>
      <c r="B2228" t="s">
        <v>975</v>
      </c>
      <c r="C2228">
        <v>128.86000000000001</v>
      </c>
      <c r="D2228" t="s">
        <v>956</v>
      </c>
      <c r="E2228" t="s">
        <v>45</v>
      </c>
      <c r="F2228" t="s">
        <v>2208</v>
      </c>
    </row>
    <row r="2229" spans="1:6" hidden="1" x14ac:dyDescent="0.2">
      <c r="A2229" s="63">
        <v>45912</v>
      </c>
      <c r="B2229" t="s">
        <v>986</v>
      </c>
      <c r="C2229">
        <v>81</v>
      </c>
      <c r="D2229" t="s">
        <v>956</v>
      </c>
      <c r="E2229" t="s">
        <v>45</v>
      </c>
      <c r="F2229" t="s">
        <v>2208</v>
      </c>
    </row>
    <row r="2230" spans="1:6" hidden="1" x14ac:dyDescent="0.2">
      <c r="A2230" s="63">
        <v>45912</v>
      </c>
      <c r="B2230" t="s">
        <v>987</v>
      </c>
      <c r="C2230">
        <v>25.76</v>
      </c>
      <c r="D2230" t="s">
        <v>956</v>
      </c>
      <c r="E2230" t="s">
        <v>45</v>
      </c>
      <c r="F2230" t="s">
        <v>2208</v>
      </c>
    </row>
    <row r="2231" spans="1:6" hidden="1" x14ac:dyDescent="0.2">
      <c r="A2231" s="63">
        <v>45912</v>
      </c>
      <c r="B2231" t="s">
        <v>987</v>
      </c>
      <c r="C2231">
        <v>64.72</v>
      </c>
      <c r="D2231" t="s">
        <v>956</v>
      </c>
      <c r="E2231" t="s">
        <v>45</v>
      </c>
      <c r="F2231" t="s">
        <v>2208</v>
      </c>
    </row>
    <row r="2232" spans="1:6" hidden="1" x14ac:dyDescent="0.2">
      <c r="A2232" s="63">
        <v>45912</v>
      </c>
      <c r="B2232" t="s">
        <v>989</v>
      </c>
      <c r="C2232">
        <v>102.29</v>
      </c>
      <c r="D2232" t="s">
        <v>956</v>
      </c>
      <c r="E2232" t="s">
        <v>45</v>
      </c>
      <c r="F2232" t="s">
        <v>2208</v>
      </c>
    </row>
    <row r="2233" spans="1:6" hidden="1" x14ac:dyDescent="0.2">
      <c r="A2233" s="63">
        <v>45912</v>
      </c>
      <c r="B2233" t="s">
        <v>206</v>
      </c>
      <c r="C2233">
        <v>37.46</v>
      </c>
      <c r="D2233" t="s">
        <v>165</v>
      </c>
      <c r="E2233" t="s">
        <v>45</v>
      </c>
      <c r="F2233" t="s">
        <v>2208</v>
      </c>
    </row>
    <row r="2234" spans="1:6" hidden="1" x14ac:dyDescent="0.2">
      <c r="A2234" s="63">
        <v>45912</v>
      </c>
      <c r="B2234" t="s">
        <v>1066</v>
      </c>
      <c r="C2234">
        <v>133.07</v>
      </c>
      <c r="D2234" t="s">
        <v>956</v>
      </c>
      <c r="E2234" t="s">
        <v>45</v>
      </c>
      <c r="F2234" t="s">
        <v>2208</v>
      </c>
    </row>
    <row r="2235" spans="1:6" hidden="1" x14ac:dyDescent="0.2">
      <c r="A2235" s="63">
        <v>45912</v>
      </c>
      <c r="B2235" t="s">
        <v>250</v>
      </c>
      <c r="C2235">
        <v>271.01</v>
      </c>
      <c r="D2235" t="s">
        <v>165</v>
      </c>
      <c r="E2235" t="s">
        <v>45</v>
      </c>
      <c r="F2235" t="s">
        <v>2208</v>
      </c>
    </row>
    <row r="2236" spans="1:6" hidden="1" x14ac:dyDescent="0.2">
      <c r="A2236" s="63">
        <v>45912</v>
      </c>
      <c r="B2236" t="s">
        <v>722</v>
      </c>
      <c r="C2236">
        <v>174.86</v>
      </c>
      <c r="D2236" t="s">
        <v>639</v>
      </c>
      <c r="E2236" t="s">
        <v>6</v>
      </c>
      <c r="F2236" t="s">
        <v>2208</v>
      </c>
    </row>
    <row r="2237" spans="1:6" hidden="1" x14ac:dyDescent="0.2">
      <c r="A2237" s="63">
        <v>45912</v>
      </c>
      <c r="B2237" t="s">
        <v>487</v>
      </c>
      <c r="C2237">
        <v>34080.78</v>
      </c>
      <c r="D2237" t="s">
        <v>469</v>
      </c>
      <c r="E2237" t="s">
        <v>56</v>
      </c>
      <c r="F2237" t="s">
        <v>2208</v>
      </c>
    </row>
    <row r="2238" spans="1:6" hidden="1" x14ac:dyDescent="0.2">
      <c r="A2238" s="63">
        <v>45911</v>
      </c>
      <c r="B2238" t="s">
        <v>985</v>
      </c>
      <c r="C2238">
        <v>60.74</v>
      </c>
      <c r="D2238" t="s">
        <v>956</v>
      </c>
      <c r="E2238" t="s">
        <v>45</v>
      </c>
      <c r="F2238" t="s">
        <v>2208</v>
      </c>
    </row>
    <row r="2239" spans="1:6" hidden="1" x14ac:dyDescent="0.2">
      <c r="A2239" s="63">
        <v>45910</v>
      </c>
      <c r="B2239" t="s">
        <v>23</v>
      </c>
      <c r="C2239">
        <v>54.77</v>
      </c>
      <c r="D2239" t="s">
        <v>5</v>
      </c>
      <c r="E2239" t="s">
        <v>6</v>
      </c>
      <c r="F2239" t="s">
        <v>2208</v>
      </c>
    </row>
    <row r="2240" spans="1:6" hidden="1" x14ac:dyDescent="0.2">
      <c r="A2240" s="63">
        <v>45910</v>
      </c>
      <c r="B2240" t="s">
        <v>200</v>
      </c>
      <c r="C2240">
        <v>3.88</v>
      </c>
      <c r="D2240" t="s">
        <v>165</v>
      </c>
      <c r="E2240" t="s">
        <v>45</v>
      </c>
      <c r="F2240" t="s">
        <v>2208</v>
      </c>
    </row>
    <row r="2241" spans="1:6" hidden="1" x14ac:dyDescent="0.2">
      <c r="A2241" s="63">
        <v>45910</v>
      </c>
      <c r="B2241" t="s">
        <v>511</v>
      </c>
      <c r="C2241">
        <v>125</v>
      </c>
      <c r="D2241" t="s">
        <v>512</v>
      </c>
      <c r="E2241" t="s">
        <v>45</v>
      </c>
      <c r="F2241" t="s">
        <v>2208</v>
      </c>
    </row>
    <row r="2242" spans="1:6" hidden="1" x14ac:dyDescent="0.2">
      <c r="A2242" s="63">
        <v>45909</v>
      </c>
      <c r="B2242" t="s">
        <v>941</v>
      </c>
      <c r="C2242">
        <v>-209</v>
      </c>
      <c r="D2242" t="s">
        <v>77</v>
      </c>
      <c r="E2242" t="s">
        <v>6</v>
      </c>
      <c r="F2242" t="s">
        <v>2208</v>
      </c>
    </row>
    <row r="2243" spans="1:6" hidden="1" x14ac:dyDescent="0.2">
      <c r="A2243" s="63">
        <v>45909</v>
      </c>
      <c r="B2243" t="s">
        <v>1022</v>
      </c>
      <c r="C2243">
        <v>209</v>
      </c>
      <c r="D2243" t="s">
        <v>956</v>
      </c>
      <c r="E2243" t="s">
        <v>45</v>
      </c>
      <c r="F2243" t="s">
        <v>2208</v>
      </c>
    </row>
    <row r="2244" spans="1:6" hidden="1" x14ac:dyDescent="0.2">
      <c r="A2244" s="63">
        <v>45909</v>
      </c>
      <c r="B2244" t="s">
        <v>860</v>
      </c>
      <c r="C2244">
        <v>105.35</v>
      </c>
      <c r="D2244" t="s">
        <v>858</v>
      </c>
      <c r="E2244" t="s">
        <v>45</v>
      </c>
      <c r="F2244" t="s">
        <v>2208</v>
      </c>
    </row>
    <row r="2245" spans="1:6" hidden="1" x14ac:dyDescent="0.2">
      <c r="A2245" s="63">
        <v>45909</v>
      </c>
      <c r="B2245" t="s">
        <v>722</v>
      </c>
      <c r="C2245">
        <v>131.36000000000001</v>
      </c>
      <c r="D2245" t="s">
        <v>639</v>
      </c>
      <c r="E2245" t="s">
        <v>6</v>
      </c>
      <c r="F2245" t="s">
        <v>2208</v>
      </c>
    </row>
    <row r="2246" spans="1:6" hidden="1" x14ac:dyDescent="0.2">
      <c r="A2246" s="63">
        <v>45909</v>
      </c>
      <c r="B2246" t="s">
        <v>879</v>
      </c>
      <c r="C2246">
        <v>220.7</v>
      </c>
      <c r="D2246" t="s">
        <v>858</v>
      </c>
      <c r="E2246" t="s">
        <v>45</v>
      </c>
      <c r="F2246" t="s">
        <v>2208</v>
      </c>
    </row>
    <row r="2247" spans="1:6" hidden="1" x14ac:dyDescent="0.2">
      <c r="A2247" s="63">
        <v>45909</v>
      </c>
      <c r="B2247" t="s">
        <v>801</v>
      </c>
      <c r="C2247">
        <v>125</v>
      </c>
      <c r="D2247" t="s">
        <v>796</v>
      </c>
      <c r="E2247" t="s">
        <v>45</v>
      </c>
      <c r="F2247" t="s">
        <v>2208</v>
      </c>
    </row>
    <row r="2248" spans="1:6" hidden="1" x14ac:dyDescent="0.2">
      <c r="A2248" s="63">
        <v>45908</v>
      </c>
      <c r="B2248" t="s">
        <v>706</v>
      </c>
      <c r="C2248">
        <v>170.81</v>
      </c>
      <c r="D2248" t="s">
        <v>639</v>
      </c>
      <c r="E2248" t="s">
        <v>6</v>
      </c>
      <c r="F2248" t="s">
        <v>2208</v>
      </c>
    </row>
    <row r="2249" spans="1:6" hidden="1" x14ac:dyDescent="0.2">
      <c r="A2249" s="63">
        <v>45908</v>
      </c>
      <c r="B2249" t="s">
        <v>333</v>
      </c>
      <c r="C2249">
        <v>36.729999999999997</v>
      </c>
      <c r="D2249" t="s">
        <v>165</v>
      </c>
      <c r="E2249" t="s">
        <v>45</v>
      </c>
      <c r="F2249" t="s">
        <v>2208</v>
      </c>
    </row>
    <row r="2250" spans="1:6" hidden="1" x14ac:dyDescent="0.2">
      <c r="A2250" s="63">
        <v>45908</v>
      </c>
      <c r="B2250" t="s">
        <v>751</v>
      </c>
      <c r="C2250">
        <v>80.47</v>
      </c>
      <c r="D2250" t="s">
        <v>639</v>
      </c>
      <c r="E2250" t="s">
        <v>56</v>
      </c>
      <c r="F2250" t="s">
        <v>2208</v>
      </c>
    </row>
    <row r="2251" spans="1:6" hidden="1" x14ac:dyDescent="0.2">
      <c r="A2251" s="63">
        <v>45908</v>
      </c>
      <c r="B2251" t="s">
        <v>428</v>
      </c>
      <c r="C2251">
        <v>64.739999999999995</v>
      </c>
      <c r="D2251" t="s">
        <v>165</v>
      </c>
      <c r="E2251" t="s">
        <v>45</v>
      </c>
      <c r="F2251" t="s">
        <v>2208</v>
      </c>
    </row>
    <row r="2252" spans="1:6" hidden="1" x14ac:dyDescent="0.2">
      <c r="A2252" s="63">
        <v>45907</v>
      </c>
      <c r="B2252" t="s">
        <v>1212</v>
      </c>
      <c r="C2252">
        <v>461.72</v>
      </c>
      <c r="D2252" t="s">
        <v>1185</v>
      </c>
      <c r="E2252">
        <v>0</v>
      </c>
      <c r="F2252" t="s">
        <v>2208</v>
      </c>
    </row>
    <row r="2253" spans="1:6" hidden="1" x14ac:dyDescent="0.2">
      <c r="A2253" s="63">
        <v>45907</v>
      </c>
      <c r="B2253" t="s">
        <v>758</v>
      </c>
      <c r="C2253">
        <v>14.42</v>
      </c>
      <c r="D2253" t="s">
        <v>639</v>
      </c>
      <c r="E2253" t="s">
        <v>56</v>
      </c>
      <c r="F2253" t="s">
        <v>2208</v>
      </c>
    </row>
    <row r="2254" spans="1:6" hidden="1" x14ac:dyDescent="0.2">
      <c r="A2254" s="63">
        <v>45906</v>
      </c>
      <c r="B2254" t="s">
        <v>687</v>
      </c>
      <c r="C2254">
        <v>6.09</v>
      </c>
      <c r="D2254" t="s">
        <v>639</v>
      </c>
      <c r="E2254" t="s">
        <v>6</v>
      </c>
      <c r="F2254" t="s">
        <v>2208</v>
      </c>
    </row>
    <row r="2255" spans="1:6" hidden="1" x14ac:dyDescent="0.2">
      <c r="A2255" s="63">
        <v>45905</v>
      </c>
      <c r="B2255" t="s">
        <v>1203</v>
      </c>
      <c r="C2255">
        <v>38.630000000000003</v>
      </c>
      <c r="D2255" t="s">
        <v>593</v>
      </c>
      <c r="E2255" t="s">
        <v>6</v>
      </c>
      <c r="F2255" t="s">
        <v>2208</v>
      </c>
    </row>
    <row r="2256" spans="1:6" hidden="1" x14ac:dyDescent="0.2">
      <c r="A2256" s="63">
        <v>45905</v>
      </c>
      <c r="B2256" t="s">
        <v>876</v>
      </c>
      <c r="C2256">
        <v>66.2</v>
      </c>
      <c r="D2256" t="s">
        <v>858</v>
      </c>
      <c r="E2256" t="s">
        <v>45</v>
      </c>
      <c r="F2256" t="s">
        <v>2208</v>
      </c>
    </row>
    <row r="2257" spans="1:6" hidden="1" x14ac:dyDescent="0.2">
      <c r="A2257" s="63">
        <v>45904</v>
      </c>
      <c r="B2257" t="s">
        <v>860</v>
      </c>
      <c r="C2257">
        <v>52.85</v>
      </c>
      <c r="D2257" t="s">
        <v>858</v>
      </c>
      <c r="E2257" t="s">
        <v>45</v>
      </c>
      <c r="F2257" t="s">
        <v>2208</v>
      </c>
    </row>
    <row r="2258" spans="1:6" hidden="1" x14ac:dyDescent="0.2">
      <c r="A2258" s="63">
        <v>45903</v>
      </c>
      <c r="B2258" t="s">
        <v>27</v>
      </c>
      <c r="C2258">
        <v>117.02</v>
      </c>
      <c r="D2258" t="s">
        <v>5</v>
      </c>
      <c r="E2258" t="s">
        <v>6</v>
      </c>
      <c r="F2258" t="s">
        <v>2208</v>
      </c>
    </row>
    <row r="2259" spans="1:6" hidden="1" x14ac:dyDescent="0.2">
      <c r="A2259" s="63">
        <v>45902</v>
      </c>
      <c r="B2259" t="s">
        <v>931</v>
      </c>
      <c r="C2259">
        <v>3.3</v>
      </c>
      <c r="D2259" t="s">
        <v>901</v>
      </c>
      <c r="E2259" t="s">
        <v>6</v>
      </c>
      <c r="F2259" t="s">
        <v>2208</v>
      </c>
    </row>
    <row r="2260" spans="1:6" hidden="1" x14ac:dyDescent="0.2">
      <c r="A2260" s="63">
        <v>45899</v>
      </c>
      <c r="B2260" t="s">
        <v>135</v>
      </c>
      <c r="C2260">
        <v>-157.5</v>
      </c>
      <c r="D2260" t="s">
        <v>98</v>
      </c>
      <c r="E2260" t="s">
        <v>45</v>
      </c>
      <c r="F2260" t="s">
        <v>2208</v>
      </c>
    </row>
    <row r="2261" spans="1:6" hidden="1" x14ac:dyDescent="0.2">
      <c r="A2261" s="63">
        <v>45899</v>
      </c>
      <c r="B2261" t="s">
        <v>151</v>
      </c>
      <c r="C2261">
        <v>190.93</v>
      </c>
      <c r="D2261" t="s">
        <v>98</v>
      </c>
      <c r="E2261" t="s">
        <v>45</v>
      </c>
      <c r="F2261" t="s">
        <v>2208</v>
      </c>
    </row>
    <row r="2262" spans="1:6" hidden="1" x14ac:dyDescent="0.2">
      <c r="A2262" s="63">
        <v>45898</v>
      </c>
      <c r="B2262" t="s">
        <v>860</v>
      </c>
      <c r="C2262">
        <v>105.35</v>
      </c>
      <c r="D2262" t="s">
        <v>858</v>
      </c>
      <c r="E2262" t="s">
        <v>45</v>
      </c>
      <c r="F2262" t="s">
        <v>2208</v>
      </c>
    </row>
    <row r="2263" spans="1:6" hidden="1" x14ac:dyDescent="0.2">
      <c r="A2263" s="63">
        <v>45898</v>
      </c>
      <c r="B2263" t="s">
        <v>878</v>
      </c>
      <c r="C2263">
        <v>110.35</v>
      </c>
      <c r="D2263" t="s">
        <v>858</v>
      </c>
      <c r="E2263" t="s">
        <v>45</v>
      </c>
      <c r="F2263" t="s">
        <v>2208</v>
      </c>
    </row>
    <row r="2264" spans="1:6" hidden="1" x14ac:dyDescent="0.2">
      <c r="A2264" s="63">
        <v>45897</v>
      </c>
      <c r="B2264" t="s">
        <v>435</v>
      </c>
      <c r="C2264">
        <v>31.91</v>
      </c>
      <c r="D2264" t="s">
        <v>165</v>
      </c>
      <c r="E2264" t="s">
        <v>45</v>
      </c>
      <c r="F2264" t="s">
        <v>2208</v>
      </c>
    </row>
    <row r="2265" spans="1:6" hidden="1" x14ac:dyDescent="0.2">
      <c r="A2265" s="63">
        <v>45894</v>
      </c>
      <c r="B2265" t="s">
        <v>860</v>
      </c>
      <c r="C2265">
        <v>52.85</v>
      </c>
      <c r="D2265" t="s">
        <v>858</v>
      </c>
      <c r="E2265" t="s">
        <v>45</v>
      </c>
      <c r="F2265" t="s">
        <v>2208</v>
      </c>
    </row>
    <row r="2266" spans="1:6" hidden="1" x14ac:dyDescent="0.2">
      <c r="A2266" s="63">
        <v>45893</v>
      </c>
      <c r="B2266" t="s">
        <v>860</v>
      </c>
      <c r="C2266">
        <v>21.35</v>
      </c>
      <c r="D2266" t="s">
        <v>858</v>
      </c>
      <c r="E2266" t="s">
        <v>45</v>
      </c>
      <c r="F2266" t="s">
        <v>2208</v>
      </c>
    </row>
    <row r="2267" spans="1:6" hidden="1" x14ac:dyDescent="0.2">
      <c r="A2267" s="63">
        <v>45892</v>
      </c>
      <c r="B2267" t="s">
        <v>861</v>
      </c>
      <c r="C2267">
        <v>22.07</v>
      </c>
      <c r="D2267" t="s">
        <v>858</v>
      </c>
      <c r="E2267" t="s">
        <v>45</v>
      </c>
      <c r="F2267" t="s">
        <v>2208</v>
      </c>
    </row>
    <row r="2268" spans="1:6" hidden="1" x14ac:dyDescent="0.2">
      <c r="A2268" s="63">
        <v>45892</v>
      </c>
      <c r="B2268" t="s">
        <v>81</v>
      </c>
      <c r="C2268">
        <v>207.68</v>
      </c>
      <c r="D2268" t="s">
        <v>79</v>
      </c>
      <c r="E2268" t="s">
        <v>45</v>
      </c>
      <c r="F2268" t="s">
        <v>2208</v>
      </c>
    </row>
    <row r="2269" spans="1:6" hidden="1" x14ac:dyDescent="0.2">
      <c r="A2269" s="63">
        <v>45890</v>
      </c>
      <c r="B2269" t="s">
        <v>860</v>
      </c>
      <c r="C2269">
        <v>21.35</v>
      </c>
      <c r="D2269" t="s">
        <v>858</v>
      </c>
      <c r="E2269" t="s">
        <v>45</v>
      </c>
      <c r="F2269" t="s">
        <v>2208</v>
      </c>
    </row>
    <row r="2270" spans="1:6" hidden="1" x14ac:dyDescent="0.2">
      <c r="A2270" s="63">
        <v>45890</v>
      </c>
      <c r="B2270" t="s">
        <v>946</v>
      </c>
      <c r="C2270">
        <v>-3064.34</v>
      </c>
      <c r="D2270" t="s">
        <v>77</v>
      </c>
      <c r="E2270" t="s">
        <v>6</v>
      </c>
      <c r="F2270" t="s">
        <v>2208</v>
      </c>
    </row>
    <row r="2271" spans="1:6" hidden="1" x14ac:dyDescent="0.2">
      <c r="A2271" s="63">
        <v>45890</v>
      </c>
      <c r="B2271" t="s">
        <v>946</v>
      </c>
      <c r="C2271">
        <v>-1715.56</v>
      </c>
      <c r="D2271" t="s">
        <v>77</v>
      </c>
      <c r="E2271" t="s">
        <v>6</v>
      </c>
      <c r="F2271" t="s">
        <v>2208</v>
      </c>
    </row>
    <row r="2272" spans="1:6" hidden="1" x14ac:dyDescent="0.2">
      <c r="A2272" s="63">
        <v>45888</v>
      </c>
      <c r="B2272" t="s">
        <v>857</v>
      </c>
      <c r="C2272">
        <v>27.59</v>
      </c>
      <c r="D2272" t="s">
        <v>858</v>
      </c>
      <c r="E2272" t="s">
        <v>45</v>
      </c>
      <c r="F2272" t="s">
        <v>2208</v>
      </c>
    </row>
    <row r="2273" spans="1:6" hidden="1" x14ac:dyDescent="0.2">
      <c r="A2273" s="63">
        <v>45886</v>
      </c>
      <c r="B2273" t="s">
        <v>225</v>
      </c>
      <c r="C2273">
        <v>19.7</v>
      </c>
      <c r="D2273" t="s">
        <v>165</v>
      </c>
      <c r="E2273" t="s">
        <v>45</v>
      </c>
      <c r="F2273" t="s">
        <v>2208</v>
      </c>
    </row>
    <row r="2274" spans="1:6" hidden="1" x14ac:dyDescent="0.2">
      <c r="A2274" s="63">
        <v>45886</v>
      </c>
      <c r="B2274" t="s">
        <v>557</v>
      </c>
      <c r="C2274">
        <v>80.709999999999994</v>
      </c>
      <c r="D2274" t="s">
        <v>514</v>
      </c>
      <c r="E2274" t="s">
        <v>6</v>
      </c>
      <c r="F2274" t="s">
        <v>2208</v>
      </c>
    </row>
    <row r="2275" spans="1:6" hidden="1" x14ac:dyDescent="0.2">
      <c r="A2275" s="63">
        <v>45885</v>
      </c>
      <c r="B2275" t="s">
        <v>172</v>
      </c>
      <c r="C2275">
        <v>89.86</v>
      </c>
      <c r="D2275" t="s">
        <v>165</v>
      </c>
      <c r="E2275" t="s">
        <v>45</v>
      </c>
      <c r="F2275" t="s">
        <v>2208</v>
      </c>
    </row>
    <row r="2276" spans="1:6" hidden="1" x14ac:dyDescent="0.2">
      <c r="A2276" s="63">
        <v>45885</v>
      </c>
      <c r="B2276" t="s">
        <v>478</v>
      </c>
      <c r="C2276">
        <v>13.78</v>
      </c>
      <c r="D2276" t="s">
        <v>469</v>
      </c>
      <c r="E2276" t="s">
        <v>45</v>
      </c>
      <c r="F2276" t="s">
        <v>2208</v>
      </c>
    </row>
    <row r="2277" spans="1:6" hidden="1" x14ac:dyDescent="0.2">
      <c r="A2277" s="63">
        <v>45884</v>
      </c>
      <c r="B2277" t="s">
        <v>700</v>
      </c>
      <c r="C2277">
        <v>77.22</v>
      </c>
      <c r="D2277" t="s">
        <v>639</v>
      </c>
      <c r="E2277" t="s">
        <v>6</v>
      </c>
      <c r="F2277" t="s">
        <v>2208</v>
      </c>
    </row>
    <row r="2278" spans="1:6" hidden="1" x14ac:dyDescent="0.2">
      <c r="A2278" s="63">
        <v>45884</v>
      </c>
      <c r="B2278" t="s">
        <v>728</v>
      </c>
      <c r="C2278">
        <v>91.57</v>
      </c>
      <c r="D2278" t="s">
        <v>639</v>
      </c>
      <c r="E2278" t="s">
        <v>6</v>
      </c>
      <c r="F2278" t="s">
        <v>2208</v>
      </c>
    </row>
    <row r="2279" spans="1:6" hidden="1" x14ac:dyDescent="0.2">
      <c r="A2279" s="63">
        <v>45883</v>
      </c>
      <c r="B2279" t="s">
        <v>682</v>
      </c>
      <c r="C2279">
        <v>12.22</v>
      </c>
      <c r="D2279" t="s">
        <v>639</v>
      </c>
      <c r="E2279" t="s">
        <v>6</v>
      </c>
      <c r="F2279" t="s">
        <v>2208</v>
      </c>
    </row>
    <row r="2280" spans="1:6" hidden="1" x14ac:dyDescent="0.2">
      <c r="A2280" s="63">
        <v>45883</v>
      </c>
      <c r="B2280" t="s">
        <v>252</v>
      </c>
      <c r="C2280">
        <v>41.11</v>
      </c>
      <c r="D2280" t="s">
        <v>165</v>
      </c>
      <c r="E2280" t="s">
        <v>45</v>
      </c>
      <c r="F2280" t="s">
        <v>2208</v>
      </c>
    </row>
    <row r="2281" spans="1:6" hidden="1" x14ac:dyDescent="0.2">
      <c r="A2281" s="63">
        <v>45883</v>
      </c>
      <c r="B2281" t="s">
        <v>926</v>
      </c>
      <c r="C2281">
        <v>44.13</v>
      </c>
      <c r="D2281" t="s">
        <v>901</v>
      </c>
      <c r="E2281" t="s">
        <v>45</v>
      </c>
      <c r="F2281" t="s">
        <v>2208</v>
      </c>
    </row>
    <row r="2282" spans="1:6" hidden="1" x14ac:dyDescent="0.2">
      <c r="A2282" s="63">
        <v>45883</v>
      </c>
      <c r="B2282" t="s">
        <v>762</v>
      </c>
      <c r="C2282">
        <v>143.4</v>
      </c>
      <c r="D2282" t="s">
        <v>639</v>
      </c>
      <c r="E2282" t="s">
        <v>6</v>
      </c>
      <c r="F2282" t="s">
        <v>2208</v>
      </c>
    </row>
    <row r="2283" spans="1:6" hidden="1" x14ac:dyDescent="0.2">
      <c r="A2283" s="63">
        <v>45882</v>
      </c>
      <c r="B2283" t="s">
        <v>171</v>
      </c>
      <c r="C2283">
        <v>25.37</v>
      </c>
      <c r="D2283" t="s">
        <v>165</v>
      </c>
      <c r="E2283" t="s">
        <v>45</v>
      </c>
      <c r="F2283" t="s">
        <v>2208</v>
      </c>
    </row>
    <row r="2284" spans="1:6" hidden="1" x14ac:dyDescent="0.2">
      <c r="A2284" s="63">
        <v>45882</v>
      </c>
      <c r="B2284" t="s">
        <v>1172</v>
      </c>
      <c r="C2284">
        <v>528.6</v>
      </c>
      <c r="D2284" t="s">
        <v>1170</v>
      </c>
      <c r="E2284" t="s">
        <v>45</v>
      </c>
      <c r="F2284" t="s">
        <v>2208</v>
      </c>
    </row>
    <row r="2285" spans="1:6" hidden="1" x14ac:dyDescent="0.2">
      <c r="A2285" s="63">
        <v>45882</v>
      </c>
      <c r="B2285" t="s">
        <v>717</v>
      </c>
      <c r="C2285">
        <v>1063.48</v>
      </c>
      <c r="D2285" t="s">
        <v>639</v>
      </c>
      <c r="E2285" t="s">
        <v>45</v>
      </c>
      <c r="F2285" t="s">
        <v>2208</v>
      </c>
    </row>
    <row r="2286" spans="1:6" hidden="1" x14ac:dyDescent="0.2">
      <c r="A2286" s="63">
        <v>45882</v>
      </c>
      <c r="B2286" t="s">
        <v>878</v>
      </c>
      <c r="C2286">
        <v>44.14</v>
      </c>
      <c r="D2286" t="s">
        <v>858</v>
      </c>
      <c r="E2286" t="s">
        <v>45</v>
      </c>
      <c r="F2286" t="s">
        <v>2208</v>
      </c>
    </row>
    <row r="2287" spans="1:6" hidden="1" x14ac:dyDescent="0.2">
      <c r="A2287" s="63">
        <v>45882</v>
      </c>
      <c r="B2287" t="s">
        <v>855</v>
      </c>
      <c r="C2287">
        <v>46.68</v>
      </c>
      <c r="D2287" t="s">
        <v>848</v>
      </c>
      <c r="E2287" t="s">
        <v>6</v>
      </c>
      <c r="F2287" t="s">
        <v>2208</v>
      </c>
    </row>
    <row r="2288" spans="1:6" hidden="1" x14ac:dyDescent="0.2">
      <c r="A2288" s="63">
        <v>45881</v>
      </c>
      <c r="B2288" t="s">
        <v>15</v>
      </c>
      <c r="C2288">
        <v>18.41</v>
      </c>
      <c r="D2288" t="s">
        <v>5</v>
      </c>
      <c r="E2288" t="s">
        <v>6</v>
      </c>
      <c r="F2288" t="s">
        <v>2208</v>
      </c>
    </row>
    <row r="2289" spans="1:6" hidden="1" x14ac:dyDescent="0.2">
      <c r="A2289" s="63">
        <v>45881</v>
      </c>
      <c r="B2289" t="s">
        <v>15</v>
      </c>
      <c r="C2289">
        <v>58.45</v>
      </c>
      <c r="D2289" t="s">
        <v>5</v>
      </c>
      <c r="E2289" t="s">
        <v>6</v>
      </c>
      <c r="F2289" t="s">
        <v>2208</v>
      </c>
    </row>
    <row r="2290" spans="1:6" hidden="1" x14ac:dyDescent="0.2">
      <c r="A2290" s="63">
        <v>45881</v>
      </c>
      <c r="B2290" t="s">
        <v>100</v>
      </c>
      <c r="C2290">
        <v>915.92</v>
      </c>
      <c r="D2290" t="s">
        <v>98</v>
      </c>
      <c r="E2290" t="s">
        <v>45</v>
      </c>
      <c r="F2290" t="s">
        <v>2208</v>
      </c>
    </row>
    <row r="2291" spans="1:6" hidden="1" x14ac:dyDescent="0.2">
      <c r="A2291" s="63">
        <v>45881</v>
      </c>
      <c r="B2291" t="s">
        <v>511</v>
      </c>
      <c r="C2291">
        <v>125</v>
      </c>
      <c r="D2291" t="s">
        <v>512</v>
      </c>
      <c r="E2291" t="s">
        <v>45</v>
      </c>
      <c r="F2291" t="s">
        <v>2208</v>
      </c>
    </row>
    <row r="2292" spans="1:6" hidden="1" x14ac:dyDescent="0.2">
      <c r="A2292" s="63">
        <v>45881</v>
      </c>
      <c r="B2292" t="s">
        <v>125</v>
      </c>
      <c r="C2292">
        <v>317.95</v>
      </c>
      <c r="D2292" t="s">
        <v>98</v>
      </c>
      <c r="E2292" t="s">
        <v>45</v>
      </c>
      <c r="F2292" t="s">
        <v>2208</v>
      </c>
    </row>
    <row r="2293" spans="1:6" hidden="1" x14ac:dyDescent="0.2">
      <c r="A2293" s="63">
        <v>45881</v>
      </c>
      <c r="B2293" t="s">
        <v>426</v>
      </c>
      <c r="C2293">
        <v>245</v>
      </c>
      <c r="D2293" t="s">
        <v>165</v>
      </c>
      <c r="E2293" t="s">
        <v>45</v>
      </c>
      <c r="F2293" t="s">
        <v>2208</v>
      </c>
    </row>
    <row r="2294" spans="1:6" hidden="1" x14ac:dyDescent="0.2">
      <c r="A2294" s="63">
        <v>45881</v>
      </c>
      <c r="B2294" t="s">
        <v>749</v>
      </c>
      <c r="C2294">
        <v>65.010000000000005</v>
      </c>
      <c r="D2294" t="s">
        <v>639</v>
      </c>
      <c r="E2294" t="s">
        <v>6</v>
      </c>
      <c r="F2294" t="s">
        <v>2208</v>
      </c>
    </row>
    <row r="2295" spans="1:6" hidden="1" x14ac:dyDescent="0.2">
      <c r="A2295" s="63">
        <v>45881</v>
      </c>
      <c r="B2295" t="s">
        <v>149</v>
      </c>
      <c r="C2295">
        <v>273.11</v>
      </c>
      <c r="D2295" t="s">
        <v>98</v>
      </c>
      <c r="E2295" t="s">
        <v>45</v>
      </c>
      <c r="F2295" t="s">
        <v>2208</v>
      </c>
    </row>
    <row r="2296" spans="1:6" hidden="1" x14ac:dyDescent="0.2">
      <c r="A2296" s="63">
        <v>45880</v>
      </c>
      <c r="B2296" t="s">
        <v>999</v>
      </c>
      <c r="C2296">
        <v>128.1</v>
      </c>
      <c r="D2296" t="s">
        <v>956</v>
      </c>
      <c r="E2296" t="s">
        <v>45</v>
      </c>
      <c r="F2296" t="s">
        <v>2208</v>
      </c>
    </row>
    <row r="2297" spans="1:6" hidden="1" x14ac:dyDescent="0.2">
      <c r="A2297" s="63">
        <v>45880</v>
      </c>
      <c r="B2297" t="s">
        <v>86</v>
      </c>
      <c r="C2297">
        <v>101</v>
      </c>
      <c r="D2297" t="s">
        <v>87</v>
      </c>
      <c r="E2297" t="s">
        <v>6</v>
      </c>
      <c r="F2297" t="s">
        <v>2208</v>
      </c>
    </row>
    <row r="2298" spans="1:6" hidden="1" x14ac:dyDescent="0.2">
      <c r="A2298" s="63">
        <v>45880</v>
      </c>
      <c r="B2298" t="s">
        <v>170</v>
      </c>
      <c r="C2298">
        <v>12.6</v>
      </c>
      <c r="D2298" t="s">
        <v>165</v>
      </c>
      <c r="E2298" t="s">
        <v>45</v>
      </c>
      <c r="F2298" t="s">
        <v>2208</v>
      </c>
    </row>
    <row r="2299" spans="1:6" hidden="1" x14ac:dyDescent="0.2">
      <c r="A2299" s="63">
        <v>45880</v>
      </c>
      <c r="B2299" t="s">
        <v>13</v>
      </c>
      <c r="C2299">
        <v>32.58</v>
      </c>
      <c r="D2299" t="s">
        <v>5</v>
      </c>
      <c r="E2299" t="s">
        <v>6</v>
      </c>
      <c r="F2299" t="s">
        <v>2208</v>
      </c>
    </row>
    <row r="2300" spans="1:6" hidden="1" x14ac:dyDescent="0.2">
      <c r="A2300" s="63">
        <v>45880</v>
      </c>
      <c r="B2300" t="s">
        <v>516</v>
      </c>
      <c r="C2300">
        <v>9.99</v>
      </c>
      <c r="D2300" t="s">
        <v>514</v>
      </c>
      <c r="E2300" t="s">
        <v>6</v>
      </c>
      <c r="F2300" t="s">
        <v>2208</v>
      </c>
    </row>
    <row r="2301" spans="1:6" hidden="1" x14ac:dyDescent="0.2">
      <c r="A2301" s="63">
        <v>45880</v>
      </c>
      <c r="B2301" t="s">
        <v>749</v>
      </c>
      <c r="C2301">
        <v>221.73</v>
      </c>
      <c r="D2301" t="s">
        <v>639</v>
      </c>
      <c r="E2301" t="s">
        <v>6</v>
      </c>
      <c r="F2301" t="s">
        <v>2208</v>
      </c>
    </row>
    <row r="2302" spans="1:6" hidden="1" x14ac:dyDescent="0.2">
      <c r="A2302" s="63">
        <v>45878</v>
      </c>
      <c r="B2302" t="s">
        <v>878</v>
      </c>
      <c r="C2302">
        <v>48.55</v>
      </c>
      <c r="D2302" t="s">
        <v>858</v>
      </c>
      <c r="E2302" t="s">
        <v>45</v>
      </c>
      <c r="F2302" t="s">
        <v>2208</v>
      </c>
    </row>
    <row r="2303" spans="1:6" hidden="1" x14ac:dyDescent="0.2">
      <c r="A2303" s="63">
        <v>45878</v>
      </c>
      <c r="B2303" t="s">
        <v>801</v>
      </c>
      <c r="C2303">
        <v>125</v>
      </c>
      <c r="D2303" t="s">
        <v>796</v>
      </c>
      <c r="E2303" t="s">
        <v>45</v>
      </c>
      <c r="F2303" t="s">
        <v>2208</v>
      </c>
    </row>
    <row r="2304" spans="1:6" hidden="1" x14ac:dyDescent="0.2">
      <c r="A2304" s="63">
        <v>45877</v>
      </c>
      <c r="B2304" t="s">
        <v>1171</v>
      </c>
      <c r="C2304">
        <v>120.27</v>
      </c>
      <c r="D2304" t="s">
        <v>1170</v>
      </c>
      <c r="E2304" t="s">
        <v>6</v>
      </c>
      <c r="F2304" t="s">
        <v>2208</v>
      </c>
    </row>
    <row r="2305" spans="1:6" hidden="1" x14ac:dyDescent="0.2">
      <c r="A2305" s="63">
        <v>45877</v>
      </c>
      <c r="B2305" t="s">
        <v>97</v>
      </c>
      <c r="C2305">
        <v>55.26</v>
      </c>
      <c r="D2305" t="s">
        <v>98</v>
      </c>
      <c r="E2305" t="s">
        <v>45</v>
      </c>
      <c r="F2305" t="s">
        <v>2208</v>
      </c>
    </row>
    <row r="2306" spans="1:6" hidden="1" x14ac:dyDescent="0.2">
      <c r="A2306" s="63">
        <v>45877</v>
      </c>
      <c r="B2306" t="s">
        <v>878</v>
      </c>
      <c r="C2306">
        <v>22.07</v>
      </c>
      <c r="D2306" t="s">
        <v>858</v>
      </c>
      <c r="E2306" t="s">
        <v>45</v>
      </c>
      <c r="F2306" t="s">
        <v>2208</v>
      </c>
    </row>
    <row r="2307" spans="1:6" hidden="1" x14ac:dyDescent="0.2">
      <c r="A2307" s="63">
        <v>45877</v>
      </c>
      <c r="B2307" t="s">
        <v>878</v>
      </c>
      <c r="C2307">
        <v>22.07</v>
      </c>
      <c r="D2307" t="s">
        <v>858</v>
      </c>
      <c r="E2307" t="s">
        <v>45</v>
      </c>
      <c r="F2307" t="s">
        <v>2208</v>
      </c>
    </row>
    <row r="2308" spans="1:6" hidden="1" x14ac:dyDescent="0.2">
      <c r="A2308" s="63">
        <v>45876</v>
      </c>
      <c r="B2308" t="s">
        <v>860</v>
      </c>
      <c r="C2308">
        <v>21.35</v>
      </c>
      <c r="D2308" t="s">
        <v>858</v>
      </c>
      <c r="E2308" t="s">
        <v>45</v>
      </c>
      <c r="F2308" t="s">
        <v>2208</v>
      </c>
    </row>
    <row r="2309" spans="1:6" hidden="1" x14ac:dyDescent="0.2">
      <c r="A2309" s="63">
        <v>45876</v>
      </c>
      <c r="B2309" t="s">
        <v>860</v>
      </c>
      <c r="C2309">
        <v>21.35</v>
      </c>
      <c r="D2309" t="s">
        <v>858</v>
      </c>
      <c r="E2309" t="s">
        <v>45</v>
      </c>
      <c r="F2309" t="s">
        <v>2208</v>
      </c>
    </row>
    <row r="2310" spans="1:6" hidden="1" x14ac:dyDescent="0.2">
      <c r="A2310" s="63">
        <v>45876</v>
      </c>
      <c r="B2310" t="s">
        <v>878</v>
      </c>
      <c r="C2310">
        <v>22.07</v>
      </c>
      <c r="D2310" t="s">
        <v>858</v>
      </c>
      <c r="E2310" t="s">
        <v>45</v>
      </c>
      <c r="F2310" t="s">
        <v>2208</v>
      </c>
    </row>
    <row r="2311" spans="1:6" hidden="1" x14ac:dyDescent="0.2">
      <c r="A2311" s="63">
        <v>45875</v>
      </c>
      <c r="B2311" t="s">
        <v>683</v>
      </c>
      <c r="C2311">
        <v>5.97</v>
      </c>
      <c r="D2311" t="s">
        <v>639</v>
      </c>
      <c r="E2311" t="s">
        <v>6</v>
      </c>
      <c r="F2311" t="s">
        <v>2208</v>
      </c>
    </row>
    <row r="2312" spans="1:6" hidden="1" x14ac:dyDescent="0.2">
      <c r="A2312" s="63">
        <v>45875</v>
      </c>
      <c r="B2312" t="s">
        <v>860</v>
      </c>
      <c r="C2312">
        <v>21.35</v>
      </c>
      <c r="D2312" t="s">
        <v>858</v>
      </c>
      <c r="E2312" t="s">
        <v>45</v>
      </c>
      <c r="F2312" t="s">
        <v>2208</v>
      </c>
    </row>
    <row r="2313" spans="1:6" hidden="1" x14ac:dyDescent="0.2">
      <c r="A2313" s="63">
        <v>45875</v>
      </c>
      <c r="B2313" t="s">
        <v>860</v>
      </c>
      <c r="C2313">
        <v>21.35</v>
      </c>
      <c r="D2313" t="s">
        <v>858</v>
      </c>
      <c r="E2313" t="s">
        <v>45</v>
      </c>
      <c r="F2313" t="s">
        <v>2208</v>
      </c>
    </row>
    <row r="2314" spans="1:6" hidden="1" x14ac:dyDescent="0.2">
      <c r="A2314" s="63">
        <v>45874</v>
      </c>
      <c r="B2314" t="s">
        <v>860</v>
      </c>
      <c r="C2314">
        <v>21.35</v>
      </c>
      <c r="D2314" t="s">
        <v>858</v>
      </c>
      <c r="E2314" t="s">
        <v>45</v>
      </c>
      <c r="F2314" t="s">
        <v>2208</v>
      </c>
    </row>
    <row r="2315" spans="1:6" hidden="1" x14ac:dyDescent="0.2">
      <c r="A2315" s="63">
        <v>45874</v>
      </c>
      <c r="B2315" t="s">
        <v>874</v>
      </c>
      <c r="C2315">
        <v>66.2</v>
      </c>
      <c r="D2315" t="s">
        <v>858</v>
      </c>
      <c r="E2315" t="s">
        <v>45</v>
      </c>
      <c r="F2315" t="s">
        <v>2208</v>
      </c>
    </row>
    <row r="2316" spans="1:6" hidden="1" x14ac:dyDescent="0.2">
      <c r="A2316" s="63">
        <v>45873</v>
      </c>
      <c r="B2316" t="s">
        <v>860</v>
      </c>
      <c r="C2316">
        <v>21.35</v>
      </c>
      <c r="D2316" t="s">
        <v>858</v>
      </c>
      <c r="E2316" t="s">
        <v>45</v>
      </c>
      <c r="F2316" t="s">
        <v>2208</v>
      </c>
    </row>
    <row r="2317" spans="1:6" hidden="1" x14ac:dyDescent="0.2">
      <c r="A2317" s="63">
        <v>45871</v>
      </c>
      <c r="B2317" t="s">
        <v>17</v>
      </c>
      <c r="C2317">
        <v>3.9</v>
      </c>
      <c r="D2317" t="s">
        <v>5</v>
      </c>
      <c r="E2317" t="s">
        <v>6</v>
      </c>
      <c r="F2317" t="s">
        <v>2208</v>
      </c>
    </row>
    <row r="2318" spans="1:6" hidden="1" x14ac:dyDescent="0.2">
      <c r="A2318" s="63">
        <v>45871</v>
      </c>
      <c r="B2318" t="s">
        <v>17</v>
      </c>
      <c r="C2318">
        <v>74.709999999999994</v>
      </c>
      <c r="D2318" t="s">
        <v>5</v>
      </c>
      <c r="E2318" t="s">
        <v>6</v>
      </c>
      <c r="F2318" t="s">
        <v>2208</v>
      </c>
    </row>
    <row r="2319" spans="1:6" hidden="1" x14ac:dyDescent="0.2">
      <c r="A2319" s="63">
        <v>45871</v>
      </c>
      <c r="B2319" t="s">
        <v>931</v>
      </c>
      <c r="C2319">
        <v>3.3</v>
      </c>
      <c r="D2319" t="s">
        <v>901</v>
      </c>
      <c r="E2319" t="s">
        <v>6</v>
      </c>
      <c r="F2319" t="s">
        <v>2208</v>
      </c>
    </row>
    <row r="2320" spans="1:6" hidden="1" x14ac:dyDescent="0.2">
      <c r="A2320" s="63">
        <v>45871</v>
      </c>
      <c r="B2320" t="s">
        <v>47</v>
      </c>
      <c r="C2320">
        <v>67.349999999999994</v>
      </c>
      <c r="D2320" t="s">
        <v>5</v>
      </c>
      <c r="E2320" t="s">
        <v>6</v>
      </c>
      <c r="F2320" t="s">
        <v>2208</v>
      </c>
    </row>
    <row r="2321" spans="1:6" hidden="1" x14ac:dyDescent="0.2">
      <c r="A2321" s="63">
        <v>45870</v>
      </c>
      <c r="B2321" t="s">
        <v>851</v>
      </c>
      <c r="C2321">
        <v>0.28000000000000003</v>
      </c>
      <c r="D2321" t="s">
        <v>848</v>
      </c>
      <c r="E2321" t="s">
        <v>6</v>
      </c>
      <c r="F2321" t="s">
        <v>2208</v>
      </c>
    </row>
    <row r="2322" spans="1:6" hidden="1" x14ac:dyDescent="0.2">
      <c r="A2322" s="63">
        <v>45870</v>
      </c>
      <c r="B2322" t="s">
        <v>461</v>
      </c>
      <c r="C2322">
        <v>23.16</v>
      </c>
      <c r="D2322" t="s">
        <v>165</v>
      </c>
      <c r="E2322" t="s">
        <v>45</v>
      </c>
      <c r="F2322" t="s">
        <v>2208</v>
      </c>
    </row>
    <row r="2323" spans="1:6" hidden="1" x14ac:dyDescent="0.2">
      <c r="A2323" s="63">
        <v>45869</v>
      </c>
      <c r="B2323" t="s">
        <v>2259</v>
      </c>
      <c r="C2323">
        <v>7.39</v>
      </c>
      <c r="D2323" t="s">
        <v>956</v>
      </c>
      <c r="E2323" t="s">
        <v>45</v>
      </c>
      <c r="F2323" t="s">
        <v>2208</v>
      </c>
    </row>
    <row r="2324" spans="1:6" hidden="1" x14ac:dyDescent="0.2">
      <c r="A2324" s="63">
        <v>45869</v>
      </c>
      <c r="B2324" t="s">
        <v>2363</v>
      </c>
      <c r="C2324">
        <v>37.76</v>
      </c>
      <c r="D2324" t="s">
        <v>956</v>
      </c>
      <c r="E2324" t="s">
        <v>45</v>
      </c>
      <c r="F2324" t="s">
        <v>2208</v>
      </c>
    </row>
    <row r="2325" spans="1:6" hidden="1" x14ac:dyDescent="0.2">
      <c r="A2325" s="63">
        <v>45869</v>
      </c>
      <c r="B2325" t="s">
        <v>2320</v>
      </c>
      <c r="C2325">
        <v>19.739999999999998</v>
      </c>
      <c r="D2325" t="s">
        <v>956</v>
      </c>
      <c r="E2325" t="s">
        <v>45</v>
      </c>
      <c r="F2325" t="s">
        <v>2208</v>
      </c>
    </row>
    <row r="2326" spans="1:6" hidden="1" x14ac:dyDescent="0.2">
      <c r="A2326" s="63">
        <v>45868</v>
      </c>
      <c r="B2326" t="s">
        <v>1066</v>
      </c>
      <c r="C2326">
        <v>179</v>
      </c>
      <c r="D2326" t="s">
        <v>956</v>
      </c>
      <c r="E2326" t="s">
        <v>45</v>
      </c>
      <c r="F2326" t="s">
        <v>2208</v>
      </c>
    </row>
    <row r="2327" spans="1:6" hidden="1" x14ac:dyDescent="0.2">
      <c r="A2327" s="63">
        <v>45867</v>
      </c>
      <c r="B2327" t="s">
        <v>2222</v>
      </c>
      <c r="C2327">
        <v>2</v>
      </c>
      <c r="D2327" t="s">
        <v>858</v>
      </c>
      <c r="E2327" t="s">
        <v>6</v>
      </c>
      <c r="F2327" t="s">
        <v>2208</v>
      </c>
    </row>
    <row r="2328" spans="1:6" hidden="1" x14ac:dyDescent="0.2">
      <c r="A2328" s="63">
        <v>45866</v>
      </c>
      <c r="B2328" t="s">
        <v>2360</v>
      </c>
      <c r="C2328">
        <v>37.409999999999997</v>
      </c>
      <c r="D2328" t="s">
        <v>956</v>
      </c>
      <c r="E2328" t="s">
        <v>45</v>
      </c>
      <c r="F2328" t="s">
        <v>2208</v>
      </c>
    </row>
    <row r="2329" spans="1:6" hidden="1" x14ac:dyDescent="0.2">
      <c r="A2329" s="63">
        <v>45865</v>
      </c>
      <c r="B2329" t="s">
        <v>2345</v>
      </c>
      <c r="C2329">
        <v>28.91</v>
      </c>
      <c r="D2329" t="s">
        <v>956</v>
      </c>
      <c r="E2329" t="s">
        <v>45</v>
      </c>
      <c r="F2329" t="s">
        <v>2208</v>
      </c>
    </row>
    <row r="2330" spans="1:6" hidden="1" x14ac:dyDescent="0.2">
      <c r="A2330" s="63">
        <v>45865</v>
      </c>
      <c r="B2330" t="s">
        <v>2257</v>
      </c>
      <c r="C2330">
        <v>7.18</v>
      </c>
      <c r="D2330" t="s">
        <v>956</v>
      </c>
      <c r="E2330" t="s">
        <v>45</v>
      </c>
      <c r="F2330" t="s">
        <v>2208</v>
      </c>
    </row>
    <row r="2331" spans="1:6" hidden="1" x14ac:dyDescent="0.2">
      <c r="A2331" s="63">
        <v>45865</v>
      </c>
      <c r="B2331" t="s">
        <v>2312</v>
      </c>
      <c r="C2331">
        <v>16.920000000000002</v>
      </c>
      <c r="D2331" t="s">
        <v>956</v>
      </c>
      <c r="E2331" t="s">
        <v>45</v>
      </c>
      <c r="F2331" t="s">
        <v>2208</v>
      </c>
    </row>
    <row r="2332" spans="1:6" hidden="1" x14ac:dyDescent="0.2">
      <c r="A2332" s="63">
        <v>45865</v>
      </c>
      <c r="B2332" t="s">
        <v>2260</v>
      </c>
      <c r="C2332">
        <v>11.5</v>
      </c>
      <c r="D2332" t="s">
        <v>956</v>
      </c>
      <c r="E2332" t="s">
        <v>45</v>
      </c>
      <c r="F2332" t="s">
        <v>2208</v>
      </c>
    </row>
    <row r="2333" spans="1:6" hidden="1" x14ac:dyDescent="0.2">
      <c r="A2333" s="63">
        <v>45865</v>
      </c>
      <c r="B2333" t="s">
        <v>2221</v>
      </c>
      <c r="C2333">
        <v>12.33</v>
      </c>
      <c r="D2333" t="s">
        <v>956</v>
      </c>
      <c r="E2333" t="s">
        <v>45</v>
      </c>
      <c r="F2333" t="s">
        <v>2208</v>
      </c>
    </row>
    <row r="2334" spans="1:6" hidden="1" x14ac:dyDescent="0.2">
      <c r="A2334" s="63">
        <v>45865</v>
      </c>
      <c r="B2334" t="s">
        <v>2403</v>
      </c>
      <c r="C2334">
        <v>74.44</v>
      </c>
      <c r="D2334">
        <v>0</v>
      </c>
      <c r="E2334">
        <v>0</v>
      </c>
      <c r="F2334" t="s">
        <v>2208</v>
      </c>
    </row>
    <row r="2335" spans="1:6" hidden="1" x14ac:dyDescent="0.2">
      <c r="A2335" s="63">
        <v>45863</v>
      </c>
      <c r="B2335" t="s">
        <v>2334</v>
      </c>
      <c r="C2335">
        <v>23.81</v>
      </c>
      <c r="D2335" t="s">
        <v>956</v>
      </c>
      <c r="E2335" t="s">
        <v>45</v>
      </c>
      <c r="F2335" t="s">
        <v>2208</v>
      </c>
    </row>
    <row r="2336" spans="1:6" hidden="1" x14ac:dyDescent="0.2">
      <c r="A2336" s="63">
        <v>45863</v>
      </c>
      <c r="B2336" t="s">
        <v>2258</v>
      </c>
      <c r="C2336">
        <v>7.37</v>
      </c>
      <c r="D2336" t="s">
        <v>956</v>
      </c>
      <c r="E2336" t="s">
        <v>45</v>
      </c>
      <c r="F2336" t="s">
        <v>2208</v>
      </c>
    </row>
    <row r="2337" spans="1:6" hidden="1" x14ac:dyDescent="0.2">
      <c r="A2337" s="63">
        <v>45863</v>
      </c>
      <c r="B2337" t="s">
        <v>801</v>
      </c>
      <c r="C2337">
        <v>95</v>
      </c>
      <c r="D2337" t="s">
        <v>796</v>
      </c>
      <c r="E2337" t="s">
        <v>45</v>
      </c>
      <c r="F2337" t="s">
        <v>2208</v>
      </c>
    </row>
    <row r="2338" spans="1:6" hidden="1" x14ac:dyDescent="0.2">
      <c r="A2338" s="63">
        <v>45862</v>
      </c>
      <c r="B2338" t="s">
        <v>2398</v>
      </c>
      <c r="C2338">
        <v>68.739999999999995</v>
      </c>
      <c r="D2338" t="s">
        <v>639</v>
      </c>
      <c r="E2338" t="s">
        <v>6</v>
      </c>
      <c r="F2338" t="s">
        <v>2208</v>
      </c>
    </row>
    <row r="2339" spans="1:6" hidden="1" x14ac:dyDescent="0.2">
      <c r="A2339" s="63">
        <v>45862</v>
      </c>
      <c r="B2339" t="s">
        <v>2426</v>
      </c>
      <c r="C2339">
        <v>195.47</v>
      </c>
      <c r="D2339" t="s">
        <v>98</v>
      </c>
      <c r="E2339" t="s">
        <v>6</v>
      </c>
      <c r="F2339" t="s">
        <v>2208</v>
      </c>
    </row>
    <row r="2340" spans="1:6" hidden="1" x14ac:dyDescent="0.2">
      <c r="A2340" s="63">
        <v>45862</v>
      </c>
      <c r="B2340" t="s">
        <v>2414</v>
      </c>
      <c r="C2340">
        <v>111.8</v>
      </c>
      <c r="D2340" t="s">
        <v>165</v>
      </c>
      <c r="E2340" t="s">
        <v>45</v>
      </c>
      <c r="F2340" t="s">
        <v>2208</v>
      </c>
    </row>
    <row r="2341" spans="1:6" hidden="1" x14ac:dyDescent="0.2">
      <c r="A2341" s="63">
        <v>45862</v>
      </c>
      <c r="B2341" t="s">
        <v>1066</v>
      </c>
      <c r="C2341">
        <v>181.21</v>
      </c>
      <c r="D2341" t="s">
        <v>956</v>
      </c>
      <c r="E2341" t="s">
        <v>45</v>
      </c>
      <c r="F2341" t="s">
        <v>2208</v>
      </c>
    </row>
    <row r="2342" spans="1:6" hidden="1" x14ac:dyDescent="0.2">
      <c r="A2342" s="63">
        <v>45862</v>
      </c>
      <c r="B2342" t="s">
        <v>1283</v>
      </c>
      <c r="C2342">
        <v>-2940.51</v>
      </c>
      <c r="D2342" t="s">
        <v>77</v>
      </c>
      <c r="E2342" t="s">
        <v>6</v>
      </c>
      <c r="F2342" t="s">
        <v>2208</v>
      </c>
    </row>
    <row r="2343" spans="1:6" hidden="1" x14ac:dyDescent="0.2">
      <c r="A2343" s="63">
        <v>45862</v>
      </c>
      <c r="B2343" t="s">
        <v>2221</v>
      </c>
      <c r="C2343">
        <v>4.96</v>
      </c>
      <c r="D2343" t="s">
        <v>956</v>
      </c>
      <c r="E2343" t="s">
        <v>45</v>
      </c>
      <c r="F2343" t="s">
        <v>2208</v>
      </c>
    </row>
    <row r="2344" spans="1:6" hidden="1" x14ac:dyDescent="0.2">
      <c r="A2344" s="63">
        <v>45862</v>
      </c>
      <c r="B2344" t="s">
        <v>1284</v>
      </c>
      <c r="C2344">
        <v>9.69</v>
      </c>
      <c r="D2344" t="s">
        <v>5</v>
      </c>
      <c r="E2344" t="s">
        <v>6</v>
      </c>
      <c r="F2344" t="s">
        <v>2208</v>
      </c>
    </row>
    <row r="2345" spans="1:6" hidden="1" x14ac:dyDescent="0.2">
      <c r="A2345" s="63">
        <v>45862</v>
      </c>
      <c r="B2345" t="s">
        <v>1284</v>
      </c>
      <c r="C2345">
        <v>13.03</v>
      </c>
      <c r="D2345" t="s">
        <v>5</v>
      </c>
      <c r="E2345" t="s">
        <v>6</v>
      </c>
      <c r="F2345" t="s">
        <v>2208</v>
      </c>
    </row>
    <row r="2346" spans="1:6" hidden="1" x14ac:dyDescent="0.2">
      <c r="A2346" s="63">
        <v>45862</v>
      </c>
      <c r="B2346" t="s">
        <v>2347</v>
      </c>
      <c r="C2346">
        <v>29.93</v>
      </c>
      <c r="D2346" t="s">
        <v>956</v>
      </c>
      <c r="E2346" t="s">
        <v>45</v>
      </c>
      <c r="F2346" t="s">
        <v>2208</v>
      </c>
    </row>
    <row r="2347" spans="1:6" hidden="1" x14ac:dyDescent="0.2">
      <c r="A2347" s="63">
        <v>45861</v>
      </c>
      <c r="B2347" t="s">
        <v>861</v>
      </c>
      <c r="C2347">
        <v>22.07</v>
      </c>
      <c r="D2347" t="s">
        <v>858</v>
      </c>
      <c r="E2347" t="s">
        <v>45</v>
      </c>
      <c r="F2347" t="s">
        <v>2208</v>
      </c>
    </row>
    <row r="2348" spans="1:6" hidden="1" x14ac:dyDescent="0.2">
      <c r="A2348" s="63">
        <v>45861</v>
      </c>
      <c r="B2348" t="s">
        <v>2338</v>
      </c>
      <c r="C2348">
        <v>25.56</v>
      </c>
      <c r="D2348" t="s">
        <v>956</v>
      </c>
      <c r="E2348" t="s">
        <v>45</v>
      </c>
      <c r="F2348" t="s">
        <v>2208</v>
      </c>
    </row>
    <row r="2349" spans="1:6" hidden="1" x14ac:dyDescent="0.2">
      <c r="A2349" s="63">
        <v>45861</v>
      </c>
      <c r="B2349" t="s">
        <v>2221</v>
      </c>
      <c r="C2349">
        <v>19.68</v>
      </c>
      <c r="D2349" t="s">
        <v>956</v>
      </c>
      <c r="E2349" t="s">
        <v>45</v>
      </c>
      <c r="F2349" t="s">
        <v>2208</v>
      </c>
    </row>
    <row r="2350" spans="1:6" hidden="1" x14ac:dyDescent="0.2">
      <c r="A2350" s="63">
        <v>45861</v>
      </c>
      <c r="B2350" t="s">
        <v>1284</v>
      </c>
      <c r="C2350">
        <v>2.4500000000000002</v>
      </c>
      <c r="D2350" t="s">
        <v>5</v>
      </c>
      <c r="E2350" t="s">
        <v>6</v>
      </c>
      <c r="F2350" t="s">
        <v>2208</v>
      </c>
    </row>
    <row r="2351" spans="1:6" hidden="1" x14ac:dyDescent="0.2">
      <c r="A2351" s="63">
        <v>45861</v>
      </c>
      <c r="B2351" t="s">
        <v>1284</v>
      </c>
      <c r="C2351">
        <v>2.78</v>
      </c>
      <c r="D2351" t="s">
        <v>5</v>
      </c>
      <c r="E2351" t="s">
        <v>6</v>
      </c>
      <c r="F2351" t="s">
        <v>2208</v>
      </c>
    </row>
    <row r="2352" spans="1:6" hidden="1" x14ac:dyDescent="0.2">
      <c r="A2352" s="63">
        <v>45861</v>
      </c>
      <c r="B2352" t="s">
        <v>1284</v>
      </c>
      <c r="C2352">
        <v>9.0299999999999994</v>
      </c>
      <c r="D2352" t="s">
        <v>5</v>
      </c>
      <c r="E2352" t="s">
        <v>6</v>
      </c>
      <c r="F2352" t="s">
        <v>2208</v>
      </c>
    </row>
    <row r="2353" spans="1:6" hidden="1" x14ac:dyDescent="0.2">
      <c r="A2353" s="63">
        <v>45861</v>
      </c>
      <c r="B2353" t="s">
        <v>2408</v>
      </c>
      <c r="C2353">
        <v>84.98</v>
      </c>
      <c r="D2353" t="s">
        <v>956</v>
      </c>
      <c r="E2353" t="s">
        <v>45</v>
      </c>
      <c r="F2353" t="s">
        <v>2208</v>
      </c>
    </row>
    <row r="2354" spans="1:6" hidden="1" x14ac:dyDescent="0.2">
      <c r="A2354" s="63">
        <v>45861</v>
      </c>
      <c r="B2354" t="s">
        <v>2371</v>
      </c>
      <c r="C2354">
        <v>42.86</v>
      </c>
      <c r="D2354">
        <v>0</v>
      </c>
      <c r="E2354">
        <v>0</v>
      </c>
      <c r="F2354" t="s">
        <v>2208</v>
      </c>
    </row>
    <row r="2355" spans="1:6" hidden="1" x14ac:dyDescent="0.2">
      <c r="A2355" s="63">
        <v>45860</v>
      </c>
      <c r="B2355" t="s">
        <v>860</v>
      </c>
      <c r="C2355">
        <v>21.35</v>
      </c>
      <c r="D2355" t="s">
        <v>858</v>
      </c>
      <c r="E2355" t="s">
        <v>45</v>
      </c>
      <c r="F2355" t="s">
        <v>2208</v>
      </c>
    </row>
    <row r="2356" spans="1:6" hidden="1" x14ac:dyDescent="0.2">
      <c r="A2356" s="63">
        <v>45860</v>
      </c>
      <c r="B2356" t="s">
        <v>2369</v>
      </c>
      <c r="C2356">
        <v>41.2</v>
      </c>
      <c r="D2356" t="s">
        <v>956</v>
      </c>
      <c r="E2356" t="s">
        <v>45</v>
      </c>
      <c r="F2356" t="s">
        <v>2208</v>
      </c>
    </row>
    <row r="2357" spans="1:6" hidden="1" x14ac:dyDescent="0.2">
      <c r="A2357" s="63">
        <v>45860</v>
      </c>
      <c r="B2357" t="s">
        <v>74</v>
      </c>
      <c r="C2357">
        <v>40</v>
      </c>
      <c r="D2357" t="s">
        <v>68</v>
      </c>
      <c r="E2357" t="s">
        <v>45</v>
      </c>
      <c r="F2357" t="s">
        <v>2208</v>
      </c>
    </row>
    <row r="2358" spans="1:6" hidden="1" x14ac:dyDescent="0.2">
      <c r="A2358" s="63">
        <v>45860</v>
      </c>
      <c r="B2358" t="s">
        <v>2221</v>
      </c>
      <c r="C2358">
        <v>4.9400000000000004</v>
      </c>
      <c r="D2358" t="s">
        <v>956</v>
      </c>
      <c r="E2358" t="s">
        <v>45</v>
      </c>
      <c r="F2358" t="s">
        <v>2208</v>
      </c>
    </row>
    <row r="2359" spans="1:6" hidden="1" x14ac:dyDescent="0.2">
      <c r="A2359" s="63">
        <v>45860</v>
      </c>
      <c r="B2359" t="s">
        <v>2240</v>
      </c>
      <c r="C2359">
        <v>4.63</v>
      </c>
      <c r="D2359" t="s">
        <v>956</v>
      </c>
      <c r="E2359" t="s">
        <v>45</v>
      </c>
      <c r="F2359" t="s">
        <v>2208</v>
      </c>
    </row>
    <row r="2360" spans="1:6" hidden="1" x14ac:dyDescent="0.2">
      <c r="A2360" s="63">
        <v>45860</v>
      </c>
      <c r="B2360" t="s">
        <v>2364</v>
      </c>
      <c r="C2360">
        <v>45.04</v>
      </c>
      <c r="D2360" t="s">
        <v>956</v>
      </c>
      <c r="E2360" t="s">
        <v>45</v>
      </c>
      <c r="F2360" t="s">
        <v>2208</v>
      </c>
    </row>
    <row r="2361" spans="1:6" hidden="1" x14ac:dyDescent="0.2">
      <c r="A2361" s="63">
        <v>45860</v>
      </c>
      <c r="B2361" t="s">
        <v>1284</v>
      </c>
      <c r="C2361">
        <v>5.14</v>
      </c>
      <c r="D2361" t="s">
        <v>5</v>
      </c>
      <c r="E2361" t="s">
        <v>6</v>
      </c>
      <c r="F2361" t="s">
        <v>2208</v>
      </c>
    </row>
    <row r="2362" spans="1:6" hidden="1" x14ac:dyDescent="0.2">
      <c r="A2362" s="63">
        <v>45860</v>
      </c>
      <c r="B2362" t="s">
        <v>1284</v>
      </c>
      <c r="C2362">
        <v>11.28</v>
      </c>
      <c r="D2362" t="s">
        <v>5</v>
      </c>
      <c r="E2362" t="s">
        <v>6</v>
      </c>
      <c r="F2362" t="s">
        <v>2208</v>
      </c>
    </row>
    <row r="2363" spans="1:6" hidden="1" x14ac:dyDescent="0.2">
      <c r="A2363" s="63">
        <v>45859</v>
      </c>
      <c r="B2363" t="s">
        <v>2404</v>
      </c>
      <c r="C2363">
        <v>75.38</v>
      </c>
      <c r="D2363" t="s">
        <v>956</v>
      </c>
      <c r="E2363" t="s">
        <v>45</v>
      </c>
      <c r="F2363" t="s">
        <v>2208</v>
      </c>
    </row>
    <row r="2364" spans="1:6" hidden="1" x14ac:dyDescent="0.2">
      <c r="A2364" s="63">
        <v>45859</v>
      </c>
      <c r="B2364" t="s">
        <v>2356</v>
      </c>
      <c r="C2364">
        <v>33.83</v>
      </c>
      <c r="D2364" t="s">
        <v>956</v>
      </c>
      <c r="E2364" t="s">
        <v>45</v>
      </c>
      <c r="F2364" t="s">
        <v>2208</v>
      </c>
    </row>
    <row r="2365" spans="1:6" hidden="1" x14ac:dyDescent="0.2">
      <c r="A2365" s="63">
        <v>45859</v>
      </c>
      <c r="B2365" t="s">
        <v>2260</v>
      </c>
      <c r="C2365">
        <v>7.63</v>
      </c>
      <c r="D2365" t="s">
        <v>956</v>
      </c>
      <c r="E2365" t="s">
        <v>45</v>
      </c>
      <c r="F2365" t="s">
        <v>2208</v>
      </c>
    </row>
    <row r="2366" spans="1:6" hidden="1" x14ac:dyDescent="0.2">
      <c r="A2366" s="63">
        <v>45859</v>
      </c>
      <c r="B2366" t="s">
        <v>2221</v>
      </c>
      <c r="C2366">
        <v>20.92</v>
      </c>
      <c r="D2366" t="s">
        <v>956</v>
      </c>
      <c r="E2366" t="s">
        <v>45</v>
      </c>
      <c r="F2366" t="s">
        <v>2208</v>
      </c>
    </row>
    <row r="2367" spans="1:6" hidden="1" x14ac:dyDescent="0.2">
      <c r="A2367" s="63">
        <v>45858</v>
      </c>
      <c r="B2367" t="s">
        <v>2437</v>
      </c>
      <c r="C2367">
        <v>404.19</v>
      </c>
      <c r="D2367" t="s">
        <v>956</v>
      </c>
      <c r="E2367" t="s">
        <v>45</v>
      </c>
      <c r="F2367" t="s">
        <v>2208</v>
      </c>
    </row>
    <row r="2368" spans="1:6" hidden="1" x14ac:dyDescent="0.2">
      <c r="A2368" s="63">
        <v>45858</v>
      </c>
      <c r="B2368" t="s">
        <v>2392</v>
      </c>
      <c r="C2368">
        <v>64.760000000000005</v>
      </c>
      <c r="D2368" t="s">
        <v>956</v>
      </c>
      <c r="E2368" t="s">
        <v>45</v>
      </c>
      <c r="F2368" t="s">
        <v>2208</v>
      </c>
    </row>
    <row r="2369" spans="1:6" hidden="1" x14ac:dyDescent="0.2">
      <c r="A2369" s="63">
        <v>45858</v>
      </c>
      <c r="B2369" t="s">
        <v>2346</v>
      </c>
      <c r="C2369">
        <v>29.4</v>
      </c>
      <c r="D2369" t="s">
        <v>956</v>
      </c>
      <c r="E2369" t="s">
        <v>45</v>
      </c>
      <c r="F2369" t="s">
        <v>2208</v>
      </c>
    </row>
    <row r="2370" spans="1:6" hidden="1" x14ac:dyDescent="0.2">
      <c r="A2370" s="63">
        <v>45858</v>
      </c>
      <c r="B2370" t="s">
        <v>2221</v>
      </c>
      <c r="C2370">
        <v>1.96</v>
      </c>
      <c r="D2370" t="s">
        <v>956</v>
      </c>
      <c r="E2370" t="s">
        <v>45</v>
      </c>
      <c r="F2370" t="s">
        <v>2208</v>
      </c>
    </row>
    <row r="2371" spans="1:6" hidden="1" x14ac:dyDescent="0.2">
      <c r="A2371" s="63">
        <v>45858</v>
      </c>
      <c r="B2371" t="s">
        <v>2221</v>
      </c>
      <c r="C2371">
        <v>15.5</v>
      </c>
      <c r="D2371" t="s">
        <v>956</v>
      </c>
      <c r="E2371" t="s">
        <v>45</v>
      </c>
      <c r="F2371" t="s">
        <v>2208</v>
      </c>
    </row>
    <row r="2372" spans="1:6" hidden="1" x14ac:dyDescent="0.2">
      <c r="A2372" s="63">
        <v>45858</v>
      </c>
      <c r="B2372" t="s">
        <v>55</v>
      </c>
      <c r="C2372">
        <v>19.2</v>
      </c>
      <c r="D2372" t="s">
        <v>5</v>
      </c>
      <c r="E2372" t="s">
        <v>56</v>
      </c>
      <c r="F2372" t="s">
        <v>2208</v>
      </c>
    </row>
    <row r="2373" spans="1:6" hidden="1" x14ac:dyDescent="0.2">
      <c r="A2373" s="63">
        <v>45857</v>
      </c>
      <c r="B2373" t="s">
        <v>2364</v>
      </c>
      <c r="C2373">
        <v>37.950000000000003</v>
      </c>
      <c r="D2373" t="s">
        <v>956</v>
      </c>
      <c r="E2373" t="s">
        <v>45</v>
      </c>
      <c r="F2373" t="s">
        <v>2208</v>
      </c>
    </row>
    <row r="2374" spans="1:6" hidden="1" x14ac:dyDescent="0.2">
      <c r="A2374" s="63">
        <v>45857</v>
      </c>
      <c r="B2374" t="s">
        <v>2397</v>
      </c>
      <c r="C2374">
        <v>68.510000000000005</v>
      </c>
      <c r="D2374" t="s">
        <v>956</v>
      </c>
      <c r="E2374" t="s">
        <v>45</v>
      </c>
      <c r="F2374" t="s">
        <v>2208</v>
      </c>
    </row>
    <row r="2375" spans="1:6" hidden="1" x14ac:dyDescent="0.2">
      <c r="A2375" s="63">
        <v>45856</v>
      </c>
      <c r="B2375" t="s">
        <v>2221</v>
      </c>
      <c r="C2375">
        <v>5.68</v>
      </c>
      <c r="D2375" t="s">
        <v>956</v>
      </c>
      <c r="E2375" t="s">
        <v>45</v>
      </c>
      <c r="F2375" t="s">
        <v>2208</v>
      </c>
    </row>
    <row r="2376" spans="1:6" hidden="1" x14ac:dyDescent="0.2">
      <c r="A2376" s="63">
        <v>45855</v>
      </c>
      <c r="B2376" t="s">
        <v>2315</v>
      </c>
      <c r="C2376">
        <v>17.39</v>
      </c>
      <c r="D2376" t="s">
        <v>165</v>
      </c>
      <c r="E2376" t="s">
        <v>45</v>
      </c>
      <c r="F2376" t="s">
        <v>2208</v>
      </c>
    </row>
    <row r="2377" spans="1:6" hidden="1" x14ac:dyDescent="0.2">
      <c r="A2377" s="63">
        <v>45855</v>
      </c>
      <c r="B2377" t="s">
        <v>478</v>
      </c>
      <c r="C2377">
        <v>12.68</v>
      </c>
      <c r="D2377" t="s">
        <v>469</v>
      </c>
      <c r="E2377" t="s">
        <v>45</v>
      </c>
      <c r="F2377" t="s">
        <v>2208</v>
      </c>
    </row>
    <row r="2378" spans="1:6" hidden="1" x14ac:dyDescent="0.2">
      <c r="A2378" s="63">
        <v>45855</v>
      </c>
      <c r="B2378" t="s">
        <v>2431</v>
      </c>
      <c r="C2378">
        <v>219.6</v>
      </c>
      <c r="D2378" t="s">
        <v>469</v>
      </c>
      <c r="E2378" t="s">
        <v>45</v>
      </c>
      <c r="F2378" t="s">
        <v>2208</v>
      </c>
    </row>
    <row r="2379" spans="1:6" hidden="1" x14ac:dyDescent="0.2">
      <c r="A2379" s="63">
        <v>45854</v>
      </c>
      <c r="B2379" t="s">
        <v>2386</v>
      </c>
      <c r="C2379">
        <v>58.78</v>
      </c>
      <c r="D2379" t="s">
        <v>469</v>
      </c>
      <c r="E2379" t="s">
        <v>45</v>
      </c>
      <c r="F2379" t="s">
        <v>2208</v>
      </c>
    </row>
    <row r="2380" spans="1:6" hidden="1" x14ac:dyDescent="0.2">
      <c r="A2380" s="63">
        <v>45854</v>
      </c>
      <c r="B2380" t="s">
        <v>2307</v>
      </c>
      <c r="C2380">
        <v>16.02</v>
      </c>
      <c r="D2380" t="s">
        <v>514</v>
      </c>
      <c r="E2380" t="s">
        <v>6</v>
      </c>
      <c r="F2380" t="s">
        <v>2208</v>
      </c>
    </row>
    <row r="2381" spans="1:6" hidden="1" x14ac:dyDescent="0.2">
      <c r="A2381" s="63">
        <v>45854</v>
      </c>
      <c r="B2381" t="s">
        <v>2374</v>
      </c>
      <c r="C2381">
        <v>45.78</v>
      </c>
      <c r="D2381" t="s">
        <v>5</v>
      </c>
      <c r="E2381" t="s">
        <v>6</v>
      </c>
      <c r="F2381" t="s">
        <v>2208</v>
      </c>
    </row>
    <row r="2382" spans="1:6" hidden="1" x14ac:dyDescent="0.2">
      <c r="A2382" s="63">
        <v>45854</v>
      </c>
      <c r="B2382" t="s">
        <v>2373</v>
      </c>
      <c r="C2382">
        <v>43.38</v>
      </c>
      <c r="D2382" t="s">
        <v>5</v>
      </c>
      <c r="E2382" t="s">
        <v>6</v>
      </c>
      <c r="F2382" t="s">
        <v>2208</v>
      </c>
    </row>
    <row r="2383" spans="1:6" hidden="1" x14ac:dyDescent="0.2">
      <c r="A2383" s="63">
        <v>45853</v>
      </c>
      <c r="B2383" t="s">
        <v>2298</v>
      </c>
      <c r="C2383">
        <v>14.43</v>
      </c>
      <c r="D2383" t="s">
        <v>165</v>
      </c>
      <c r="E2383" t="s">
        <v>45</v>
      </c>
      <c r="F2383" t="s">
        <v>2208</v>
      </c>
    </row>
    <row r="2384" spans="1:6" hidden="1" x14ac:dyDescent="0.2">
      <c r="A2384" s="63">
        <v>45853</v>
      </c>
      <c r="B2384" t="s">
        <v>2261</v>
      </c>
      <c r="C2384">
        <v>15.29</v>
      </c>
      <c r="D2384" t="s">
        <v>956</v>
      </c>
      <c r="E2384" t="s">
        <v>45</v>
      </c>
      <c r="F2384" t="s">
        <v>2208</v>
      </c>
    </row>
    <row r="2385" spans="1:6" hidden="1" x14ac:dyDescent="0.2">
      <c r="A2385" s="63">
        <v>45852</v>
      </c>
      <c r="B2385" t="s">
        <v>2289</v>
      </c>
      <c r="C2385">
        <v>12.19</v>
      </c>
      <c r="D2385" t="s">
        <v>639</v>
      </c>
      <c r="E2385" t="s">
        <v>6</v>
      </c>
      <c r="F2385" t="s">
        <v>2208</v>
      </c>
    </row>
    <row r="2386" spans="1:6" hidden="1" x14ac:dyDescent="0.2">
      <c r="A2386" s="63">
        <v>45852</v>
      </c>
      <c r="B2386" t="s">
        <v>2435</v>
      </c>
      <c r="C2386">
        <v>299.48</v>
      </c>
      <c r="D2386" t="s">
        <v>796</v>
      </c>
      <c r="E2386" t="s">
        <v>45</v>
      </c>
      <c r="F2386" t="s">
        <v>2208</v>
      </c>
    </row>
    <row r="2387" spans="1:6" hidden="1" x14ac:dyDescent="0.2">
      <c r="A2387" s="63">
        <v>45850</v>
      </c>
      <c r="B2387" t="s">
        <v>801</v>
      </c>
      <c r="C2387">
        <v>45</v>
      </c>
      <c r="D2387" t="s">
        <v>796</v>
      </c>
      <c r="E2387" t="s">
        <v>45</v>
      </c>
      <c r="F2387" t="s">
        <v>2208</v>
      </c>
    </row>
    <row r="2388" spans="1:6" hidden="1" x14ac:dyDescent="0.2">
      <c r="A2388" s="63">
        <v>45849</v>
      </c>
      <c r="B2388" t="s">
        <v>2351</v>
      </c>
      <c r="C2388">
        <v>32.53</v>
      </c>
      <c r="D2388" t="s">
        <v>165</v>
      </c>
      <c r="E2388" t="s">
        <v>45</v>
      </c>
      <c r="F2388" t="s">
        <v>2208</v>
      </c>
    </row>
    <row r="2389" spans="1:6" hidden="1" x14ac:dyDescent="0.2">
      <c r="A2389" s="63">
        <v>45847</v>
      </c>
      <c r="B2389" t="s">
        <v>2343</v>
      </c>
      <c r="C2389">
        <v>27.96</v>
      </c>
      <c r="D2389">
        <v>0</v>
      </c>
      <c r="E2389">
        <v>0</v>
      </c>
      <c r="F2389" t="s">
        <v>2208</v>
      </c>
    </row>
    <row r="2390" spans="1:6" hidden="1" x14ac:dyDescent="0.2">
      <c r="A2390" s="63">
        <v>45847</v>
      </c>
      <c r="B2390" t="s">
        <v>511</v>
      </c>
      <c r="C2390">
        <v>125</v>
      </c>
      <c r="D2390" t="s">
        <v>512</v>
      </c>
      <c r="E2390" t="s">
        <v>45</v>
      </c>
      <c r="F2390" t="s">
        <v>2208</v>
      </c>
    </row>
    <row r="2391" spans="1:6" hidden="1" x14ac:dyDescent="0.2">
      <c r="A2391" s="63">
        <v>45847</v>
      </c>
      <c r="B2391" t="s">
        <v>801</v>
      </c>
      <c r="C2391">
        <v>125</v>
      </c>
      <c r="D2391" t="s">
        <v>796</v>
      </c>
      <c r="E2391" t="s">
        <v>45</v>
      </c>
      <c r="F2391" t="s">
        <v>2208</v>
      </c>
    </row>
    <row r="2392" spans="1:6" hidden="1" x14ac:dyDescent="0.2">
      <c r="A2392" s="63">
        <v>45847</v>
      </c>
      <c r="B2392" t="s">
        <v>2270</v>
      </c>
      <c r="C2392">
        <v>9.07</v>
      </c>
      <c r="D2392" t="s">
        <v>165</v>
      </c>
      <c r="E2392" t="s">
        <v>45</v>
      </c>
      <c r="F2392" t="s">
        <v>2208</v>
      </c>
    </row>
    <row r="2393" spans="1:6" hidden="1" x14ac:dyDescent="0.2">
      <c r="A2393" s="63">
        <v>45846</v>
      </c>
      <c r="B2393" t="s">
        <v>2266</v>
      </c>
      <c r="C2393">
        <v>8.5</v>
      </c>
      <c r="D2393" t="s">
        <v>165</v>
      </c>
      <c r="E2393" t="s">
        <v>45</v>
      </c>
      <c r="F2393" t="s">
        <v>2208</v>
      </c>
    </row>
    <row r="2394" spans="1:6" hidden="1" x14ac:dyDescent="0.2">
      <c r="A2394" s="63">
        <v>45846</v>
      </c>
      <c r="B2394" t="s">
        <v>2225</v>
      </c>
      <c r="C2394">
        <v>2.4500000000000002</v>
      </c>
      <c r="D2394" t="s">
        <v>165</v>
      </c>
      <c r="E2394" t="s">
        <v>45</v>
      </c>
      <c r="F2394" t="s">
        <v>2208</v>
      </c>
    </row>
    <row r="2395" spans="1:6" hidden="1" x14ac:dyDescent="0.2">
      <c r="A2395" s="63">
        <v>45846</v>
      </c>
      <c r="B2395" t="s">
        <v>2225</v>
      </c>
      <c r="C2395">
        <v>20.34</v>
      </c>
      <c r="D2395" t="s">
        <v>165</v>
      </c>
      <c r="E2395" t="s">
        <v>45</v>
      </c>
      <c r="F2395" t="s">
        <v>2208</v>
      </c>
    </row>
    <row r="2396" spans="1:6" hidden="1" x14ac:dyDescent="0.2">
      <c r="A2396" s="63">
        <v>45844</v>
      </c>
      <c r="B2396" t="s">
        <v>2252</v>
      </c>
      <c r="C2396">
        <v>6.14</v>
      </c>
      <c r="D2396" t="s">
        <v>639</v>
      </c>
      <c r="E2396" t="s">
        <v>6</v>
      </c>
      <c r="F2396" t="s">
        <v>2208</v>
      </c>
    </row>
    <row r="2397" spans="1:6" hidden="1" x14ac:dyDescent="0.2">
      <c r="A2397" s="63">
        <v>45844</v>
      </c>
      <c r="B2397" t="s">
        <v>2220</v>
      </c>
      <c r="C2397">
        <v>1.85</v>
      </c>
      <c r="D2397" t="s">
        <v>956</v>
      </c>
      <c r="E2397" t="s">
        <v>45</v>
      </c>
      <c r="F2397" t="s">
        <v>2208</v>
      </c>
    </row>
    <row r="2398" spans="1:6" hidden="1" x14ac:dyDescent="0.2">
      <c r="A2398" s="63">
        <v>45844</v>
      </c>
      <c r="B2398" t="s">
        <v>2228</v>
      </c>
      <c r="C2398">
        <v>2.9</v>
      </c>
      <c r="D2398" t="s">
        <v>956</v>
      </c>
      <c r="E2398" t="s">
        <v>45</v>
      </c>
      <c r="F2398" t="s">
        <v>2208</v>
      </c>
    </row>
    <row r="2399" spans="1:6" hidden="1" x14ac:dyDescent="0.2">
      <c r="A2399" s="63">
        <v>45844</v>
      </c>
      <c r="B2399" t="s">
        <v>2230</v>
      </c>
      <c r="C2399">
        <v>3</v>
      </c>
      <c r="D2399" t="s">
        <v>956</v>
      </c>
      <c r="E2399" t="s">
        <v>45</v>
      </c>
      <c r="F2399" t="s">
        <v>2208</v>
      </c>
    </row>
    <row r="2400" spans="1:6" hidden="1" x14ac:dyDescent="0.2">
      <c r="A2400" s="63">
        <v>45844</v>
      </c>
      <c r="B2400" t="s">
        <v>2275</v>
      </c>
      <c r="C2400">
        <v>9.9700000000000006</v>
      </c>
      <c r="D2400" t="s">
        <v>165</v>
      </c>
      <c r="E2400" t="s">
        <v>45</v>
      </c>
      <c r="F2400" t="s">
        <v>2208</v>
      </c>
    </row>
    <row r="2401" spans="1:6" hidden="1" x14ac:dyDescent="0.2">
      <c r="A2401" s="63">
        <v>45843</v>
      </c>
      <c r="B2401" t="s">
        <v>1318</v>
      </c>
      <c r="C2401">
        <v>66.2</v>
      </c>
      <c r="D2401" t="s">
        <v>858</v>
      </c>
      <c r="E2401" t="s">
        <v>6</v>
      </c>
      <c r="F2401" t="s">
        <v>2208</v>
      </c>
    </row>
    <row r="2402" spans="1:6" hidden="1" x14ac:dyDescent="0.2">
      <c r="A2402" s="63">
        <v>45843</v>
      </c>
      <c r="B2402" t="s">
        <v>2265</v>
      </c>
      <c r="C2402">
        <v>8.25</v>
      </c>
      <c r="D2402" t="s">
        <v>956</v>
      </c>
      <c r="E2402" t="s">
        <v>45</v>
      </c>
      <c r="F2402" t="s">
        <v>2208</v>
      </c>
    </row>
    <row r="2403" spans="1:6" hidden="1" x14ac:dyDescent="0.2">
      <c r="A2403" s="63">
        <v>45843</v>
      </c>
      <c r="B2403" t="s">
        <v>2228</v>
      </c>
      <c r="C2403">
        <v>2.9</v>
      </c>
      <c r="D2403" t="s">
        <v>956</v>
      </c>
      <c r="E2403" t="s">
        <v>45</v>
      </c>
      <c r="F2403" t="s">
        <v>2208</v>
      </c>
    </row>
    <row r="2404" spans="1:6" hidden="1" x14ac:dyDescent="0.2">
      <c r="A2404" s="63">
        <v>45843</v>
      </c>
      <c r="B2404" t="s">
        <v>2228</v>
      </c>
      <c r="C2404">
        <v>4.25</v>
      </c>
      <c r="D2404" t="s">
        <v>956</v>
      </c>
      <c r="E2404" t="s">
        <v>45</v>
      </c>
      <c r="F2404" t="s">
        <v>2208</v>
      </c>
    </row>
    <row r="2405" spans="1:6" hidden="1" x14ac:dyDescent="0.2">
      <c r="A2405" s="63">
        <v>45843</v>
      </c>
      <c r="B2405" t="s">
        <v>2365</v>
      </c>
      <c r="C2405">
        <v>39.630000000000003</v>
      </c>
      <c r="D2405" t="s">
        <v>165</v>
      </c>
      <c r="E2405" t="s">
        <v>45</v>
      </c>
      <c r="F2405" t="s">
        <v>2208</v>
      </c>
    </row>
    <row r="2406" spans="1:6" hidden="1" x14ac:dyDescent="0.2">
      <c r="A2406" s="63">
        <v>45842</v>
      </c>
      <c r="B2406" t="s">
        <v>2421</v>
      </c>
      <c r="C2406">
        <v>146.4</v>
      </c>
      <c r="D2406" t="s">
        <v>835</v>
      </c>
      <c r="E2406" t="s">
        <v>45</v>
      </c>
      <c r="F2406" t="s">
        <v>2208</v>
      </c>
    </row>
    <row r="2407" spans="1:6" hidden="1" x14ac:dyDescent="0.2">
      <c r="A2407" s="63">
        <v>45841</v>
      </c>
      <c r="B2407" t="s">
        <v>2418</v>
      </c>
      <c r="C2407">
        <v>125.8</v>
      </c>
      <c r="D2407" t="s">
        <v>956</v>
      </c>
      <c r="E2407" t="s">
        <v>45</v>
      </c>
      <c r="F2407" t="s">
        <v>2208</v>
      </c>
    </row>
    <row r="2408" spans="1:6" hidden="1" x14ac:dyDescent="0.2">
      <c r="A2408" s="63">
        <v>45841</v>
      </c>
      <c r="B2408" t="s">
        <v>1323</v>
      </c>
      <c r="C2408">
        <v>1036.95</v>
      </c>
      <c r="D2408" t="s">
        <v>956</v>
      </c>
      <c r="E2408" t="s">
        <v>45</v>
      </c>
      <c r="F2408" t="s">
        <v>2208</v>
      </c>
    </row>
    <row r="2409" spans="1:6" hidden="1" x14ac:dyDescent="0.2">
      <c r="A2409" s="63">
        <v>45840</v>
      </c>
      <c r="B2409" t="s">
        <v>926</v>
      </c>
      <c r="C2409">
        <v>19.850000000000001</v>
      </c>
      <c r="D2409" t="s">
        <v>901</v>
      </c>
      <c r="E2409" t="s">
        <v>45</v>
      </c>
      <c r="F2409" t="s">
        <v>2208</v>
      </c>
    </row>
    <row r="2410" spans="1:6" hidden="1" x14ac:dyDescent="0.2">
      <c r="A2410" s="63">
        <v>45840</v>
      </c>
      <c r="B2410" t="s">
        <v>931</v>
      </c>
      <c r="C2410">
        <v>3.3</v>
      </c>
      <c r="D2410" t="s">
        <v>901</v>
      </c>
      <c r="E2410" t="s">
        <v>6</v>
      </c>
      <c r="F2410" t="s">
        <v>2208</v>
      </c>
    </row>
    <row r="2411" spans="1:6" hidden="1" x14ac:dyDescent="0.2">
      <c r="A2411" s="63">
        <v>45840</v>
      </c>
      <c r="B2411" t="s">
        <v>801</v>
      </c>
      <c r="C2411">
        <v>15</v>
      </c>
      <c r="D2411" t="s">
        <v>796</v>
      </c>
      <c r="E2411" t="s">
        <v>45</v>
      </c>
      <c r="F2411" t="s">
        <v>2208</v>
      </c>
    </row>
    <row r="2412" spans="1:6" hidden="1" x14ac:dyDescent="0.2">
      <c r="A2412" s="63">
        <v>45839</v>
      </c>
      <c r="B2412" t="s">
        <v>2367</v>
      </c>
      <c r="C2412">
        <v>40.93</v>
      </c>
      <c r="D2412" t="s">
        <v>165</v>
      </c>
      <c r="E2412" t="s">
        <v>45</v>
      </c>
      <c r="F2412" t="s">
        <v>2208</v>
      </c>
    </row>
    <row r="2413" spans="1:6" hidden="1" x14ac:dyDescent="0.2">
      <c r="A2413" s="63">
        <v>45837</v>
      </c>
      <c r="B2413" t="s">
        <v>2362</v>
      </c>
      <c r="C2413">
        <v>37.72</v>
      </c>
      <c r="D2413" t="s">
        <v>165</v>
      </c>
      <c r="E2413" t="s">
        <v>45</v>
      </c>
      <c r="F2413" t="s">
        <v>2208</v>
      </c>
    </row>
    <row r="2414" spans="1:6" hidden="1" x14ac:dyDescent="0.2">
      <c r="A2414" s="63">
        <v>45836</v>
      </c>
      <c r="B2414" t="s">
        <v>2222</v>
      </c>
      <c r="C2414">
        <v>60</v>
      </c>
      <c r="D2414" t="s">
        <v>858</v>
      </c>
      <c r="E2414" t="s">
        <v>6</v>
      </c>
      <c r="F2414" t="s">
        <v>2208</v>
      </c>
    </row>
    <row r="2415" spans="1:6" hidden="1" x14ac:dyDescent="0.2">
      <c r="A2415" s="63">
        <v>45836</v>
      </c>
      <c r="B2415" t="s">
        <v>2379</v>
      </c>
      <c r="C2415">
        <v>52.97</v>
      </c>
      <c r="D2415" t="s">
        <v>858</v>
      </c>
      <c r="E2415" t="s">
        <v>6</v>
      </c>
      <c r="F2415" t="s">
        <v>2208</v>
      </c>
    </row>
    <row r="2416" spans="1:6" hidden="1" x14ac:dyDescent="0.2">
      <c r="A2416" s="63">
        <v>45834</v>
      </c>
      <c r="B2416" t="s">
        <v>2401</v>
      </c>
      <c r="C2416">
        <v>71.72</v>
      </c>
      <c r="D2416" t="s">
        <v>593</v>
      </c>
      <c r="E2416" t="s">
        <v>6</v>
      </c>
      <c r="F2416" t="s">
        <v>2208</v>
      </c>
    </row>
    <row r="2417" spans="1:6" hidden="1" x14ac:dyDescent="0.2">
      <c r="A2417" s="63">
        <v>45831</v>
      </c>
      <c r="B2417" t="s">
        <v>861</v>
      </c>
      <c r="C2417">
        <v>22.07</v>
      </c>
      <c r="D2417" t="s">
        <v>858</v>
      </c>
      <c r="E2417" t="s">
        <v>45</v>
      </c>
      <c r="F2417" t="s">
        <v>2208</v>
      </c>
    </row>
    <row r="2418" spans="1:6" hidden="1" x14ac:dyDescent="0.2">
      <c r="A2418" s="63">
        <v>45827</v>
      </c>
      <c r="B2418" t="s">
        <v>2211</v>
      </c>
      <c r="C2418">
        <v>-1543.8</v>
      </c>
      <c r="D2418" t="s">
        <v>901</v>
      </c>
      <c r="E2418" t="s">
        <v>45</v>
      </c>
      <c r="F2418" t="s">
        <v>2208</v>
      </c>
    </row>
    <row r="2419" spans="1:6" hidden="1" x14ac:dyDescent="0.2">
      <c r="A2419" s="63">
        <v>45827</v>
      </c>
      <c r="B2419" t="s">
        <v>2261</v>
      </c>
      <c r="C2419">
        <v>7.64</v>
      </c>
      <c r="D2419" t="s">
        <v>956</v>
      </c>
      <c r="E2419" t="s">
        <v>45</v>
      </c>
      <c r="F2419" t="s">
        <v>2208</v>
      </c>
    </row>
    <row r="2420" spans="1:6" hidden="1" x14ac:dyDescent="0.2">
      <c r="A2420" s="63">
        <v>45826</v>
      </c>
      <c r="B2420" t="s">
        <v>2217</v>
      </c>
      <c r="C2420">
        <v>-5.51</v>
      </c>
      <c r="D2420" t="s">
        <v>901</v>
      </c>
      <c r="E2420" t="s">
        <v>45</v>
      </c>
      <c r="F2420" t="s">
        <v>2208</v>
      </c>
    </row>
    <row r="2421" spans="1:6" hidden="1" x14ac:dyDescent="0.2">
      <c r="A2421" s="63">
        <v>45826</v>
      </c>
      <c r="B2421" t="s">
        <v>946</v>
      </c>
      <c r="C2421">
        <v>-7174.87</v>
      </c>
      <c r="D2421" t="s">
        <v>77</v>
      </c>
      <c r="E2421" t="s">
        <v>6</v>
      </c>
      <c r="F2421" t="s">
        <v>2208</v>
      </c>
    </row>
    <row r="2422" spans="1:6" hidden="1" x14ac:dyDescent="0.2">
      <c r="A2422" s="63">
        <v>45826</v>
      </c>
      <c r="B2422" t="s">
        <v>946</v>
      </c>
      <c r="C2422">
        <v>-948.3</v>
      </c>
      <c r="D2422" t="s">
        <v>77</v>
      </c>
      <c r="E2422" t="s">
        <v>6</v>
      </c>
      <c r="F2422" t="s">
        <v>2208</v>
      </c>
    </row>
    <row r="2423" spans="1:6" hidden="1" x14ac:dyDescent="0.2">
      <c r="A2423" s="63">
        <v>45825</v>
      </c>
      <c r="B2423" t="s">
        <v>2367</v>
      </c>
      <c r="C2423">
        <v>42.73</v>
      </c>
      <c r="D2423" t="s">
        <v>165</v>
      </c>
      <c r="E2423" t="s">
        <v>45</v>
      </c>
      <c r="F2423" t="s">
        <v>2208</v>
      </c>
    </row>
    <row r="2424" spans="1:6" hidden="1" x14ac:dyDescent="0.2">
      <c r="A2424" s="63">
        <v>45825</v>
      </c>
      <c r="B2424" t="s">
        <v>2445</v>
      </c>
      <c r="C2424">
        <v>681.16</v>
      </c>
      <c r="D2424" t="s">
        <v>956</v>
      </c>
      <c r="E2424" t="s">
        <v>45</v>
      </c>
      <c r="F2424" t="s">
        <v>2208</v>
      </c>
    </row>
    <row r="2425" spans="1:6" hidden="1" x14ac:dyDescent="0.2">
      <c r="A2425" s="63">
        <v>45824</v>
      </c>
      <c r="B2425" t="s">
        <v>2333</v>
      </c>
      <c r="C2425">
        <v>23.47</v>
      </c>
      <c r="D2425" t="s">
        <v>165</v>
      </c>
      <c r="E2425" t="s">
        <v>45</v>
      </c>
      <c r="F2425" t="s">
        <v>2208</v>
      </c>
    </row>
    <row r="2426" spans="1:6" hidden="1" x14ac:dyDescent="0.2">
      <c r="A2426" s="63">
        <v>45824</v>
      </c>
      <c r="B2426" t="s">
        <v>557</v>
      </c>
      <c r="C2426">
        <v>32.18</v>
      </c>
      <c r="D2426" t="s">
        <v>514</v>
      </c>
      <c r="E2426" t="s">
        <v>6</v>
      </c>
      <c r="F2426" t="s">
        <v>2208</v>
      </c>
    </row>
    <row r="2427" spans="1:6" hidden="1" x14ac:dyDescent="0.2">
      <c r="A2427" s="63">
        <v>45822</v>
      </c>
      <c r="B2427" t="s">
        <v>2290</v>
      </c>
      <c r="C2427">
        <v>12.21</v>
      </c>
      <c r="D2427" t="s">
        <v>639</v>
      </c>
      <c r="E2427" t="s">
        <v>6</v>
      </c>
      <c r="F2427" t="s">
        <v>2208</v>
      </c>
    </row>
    <row r="2428" spans="1:6" hidden="1" x14ac:dyDescent="0.2">
      <c r="A2428" s="63">
        <v>45822</v>
      </c>
      <c r="B2428" t="s">
        <v>2380</v>
      </c>
      <c r="C2428">
        <v>52.97</v>
      </c>
      <c r="D2428" t="s">
        <v>901</v>
      </c>
      <c r="E2428" t="s">
        <v>6</v>
      </c>
      <c r="F2428" t="s">
        <v>2208</v>
      </c>
    </row>
    <row r="2429" spans="1:6" hidden="1" x14ac:dyDescent="0.2">
      <c r="A2429" s="63">
        <v>45822</v>
      </c>
      <c r="B2429" t="s">
        <v>55</v>
      </c>
      <c r="C2429">
        <v>14.97</v>
      </c>
      <c r="D2429" t="s">
        <v>5</v>
      </c>
      <c r="E2429" t="s">
        <v>56</v>
      </c>
      <c r="F2429" t="s">
        <v>2208</v>
      </c>
    </row>
    <row r="2430" spans="1:6" hidden="1" x14ac:dyDescent="0.2">
      <c r="A2430" s="63">
        <v>45820</v>
      </c>
      <c r="B2430" t="s">
        <v>2427</v>
      </c>
      <c r="C2430">
        <v>198.63</v>
      </c>
      <c r="D2430" t="s">
        <v>5</v>
      </c>
      <c r="E2430" t="s">
        <v>6</v>
      </c>
      <c r="F2430" t="s">
        <v>2208</v>
      </c>
    </row>
    <row r="2431" spans="1:6" hidden="1" x14ac:dyDescent="0.2">
      <c r="A2431" s="63">
        <v>45820</v>
      </c>
      <c r="B2431" t="s">
        <v>2226</v>
      </c>
      <c r="C2431">
        <v>4.67</v>
      </c>
      <c r="D2431" t="s">
        <v>5</v>
      </c>
      <c r="E2431" t="s">
        <v>6</v>
      </c>
      <c r="F2431" t="s">
        <v>2208</v>
      </c>
    </row>
    <row r="2432" spans="1:6" hidden="1" x14ac:dyDescent="0.2">
      <c r="A2432" s="63">
        <v>45820</v>
      </c>
      <c r="B2432" t="s">
        <v>801</v>
      </c>
      <c r="C2432">
        <v>15</v>
      </c>
      <c r="D2432" t="s">
        <v>796</v>
      </c>
      <c r="E2432" t="s">
        <v>45</v>
      </c>
      <c r="F2432" t="s">
        <v>2208</v>
      </c>
    </row>
    <row r="2433" spans="1:6" hidden="1" x14ac:dyDescent="0.2">
      <c r="A2433" s="63">
        <v>45820</v>
      </c>
      <c r="B2433" t="s">
        <v>855</v>
      </c>
      <c r="C2433">
        <v>46.68</v>
      </c>
      <c r="D2433" t="s">
        <v>848</v>
      </c>
      <c r="E2433" t="s">
        <v>6</v>
      </c>
      <c r="F2433" t="s">
        <v>2208</v>
      </c>
    </row>
    <row r="2434" spans="1:6" hidden="1" x14ac:dyDescent="0.2">
      <c r="A2434" s="63">
        <v>45818</v>
      </c>
      <c r="B2434" t="s">
        <v>2440</v>
      </c>
      <c r="C2434">
        <v>479.15</v>
      </c>
      <c r="D2434" t="s">
        <v>1170</v>
      </c>
      <c r="E2434" t="s">
        <v>45</v>
      </c>
      <c r="F2434" t="s">
        <v>2208</v>
      </c>
    </row>
    <row r="2435" spans="1:6" hidden="1" x14ac:dyDescent="0.2">
      <c r="A2435" s="63">
        <v>45818</v>
      </c>
      <c r="B2435" t="s">
        <v>511</v>
      </c>
      <c r="C2435">
        <v>125</v>
      </c>
      <c r="D2435" t="s">
        <v>512</v>
      </c>
      <c r="E2435" t="s">
        <v>45</v>
      </c>
      <c r="F2435" t="s">
        <v>2208</v>
      </c>
    </row>
    <row r="2436" spans="1:6" hidden="1" x14ac:dyDescent="0.2">
      <c r="A2436" s="63">
        <v>45817</v>
      </c>
      <c r="B2436" t="s">
        <v>2211</v>
      </c>
      <c r="C2436">
        <v>1543.8</v>
      </c>
      <c r="D2436" t="s">
        <v>901</v>
      </c>
      <c r="E2436" t="s">
        <v>45</v>
      </c>
      <c r="F2436" t="s">
        <v>2208</v>
      </c>
    </row>
    <row r="2437" spans="1:6" hidden="1" x14ac:dyDescent="0.2">
      <c r="A2437" s="63">
        <v>45817</v>
      </c>
      <c r="B2437" t="s">
        <v>2217</v>
      </c>
      <c r="C2437">
        <v>5.51</v>
      </c>
      <c r="D2437" t="s">
        <v>901</v>
      </c>
      <c r="E2437" t="s">
        <v>45</v>
      </c>
      <c r="F2437" t="s">
        <v>2208</v>
      </c>
    </row>
    <row r="2438" spans="1:6" hidden="1" x14ac:dyDescent="0.2">
      <c r="A2438" s="63">
        <v>45817</v>
      </c>
      <c r="B2438" t="s">
        <v>801</v>
      </c>
      <c r="C2438">
        <v>5.18</v>
      </c>
      <c r="D2438" t="s">
        <v>796</v>
      </c>
      <c r="E2438" t="s">
        <v>45</v>
      </c>
      <c r="F2438" t="s">
        <v>2208</v>
      </c>
    </row>
    <row r="2439" spans="1:6" hidden="1" x14ac:dyDescent="0.2">
      <c r="A2439" s="63">
        <v>45817</v>
      </c>
      <c r="B2439" t="s">
        <v>801</v>
      </c>
      <c r="C2439">
        <v>125</v>
      </c>
      <c r="D2439" t="s">
        <v>796</v>
      </c>
      <c r="E2439" t="s">
        <v>45</v>
      </c>
      <c r="F2439" t="s">
        <v>2208</v>
      </c>
    </row>
    <row r="2440" spans="1:6" hidden="1" x14ac:dyDescent="0.2">
      <c r="A2440" s="63">
        <v>45816</v>
      </c>
      <c r="B2440" t="s">
        <v>2236</v>
      </c>
      <c r="C2440">
        <v>3.8</v>
      </c>
      <c r="D2440" t="s">
        <v>956</v>
      </c>
      <c r="E2440" t="s">
        <v>6</v>
      </c>
      <c r="F2440" t="s">
        <v>2208</v>
      </c>
    </row>
    <row r="2441" spans="1:6" hidden="1" x14ac:dyDescent="0.2">
      <c r="A2441" s="63">
        <v>45816</v>
      </c>
      <c r="B2441" t="s">
        <v>2215</v>
      </c>
      <c r="C2441">
        <v>91.23</v>
      </c>
      <c r="D2441" t="s">
        <v>956</v>
      </c>
      <c r="E2441" t="s">
        <v>6</v>
      </c>
      <c r="F2441" t="s">
        <v>2208</v>
      </c>
    </row>
    <row r="2442" spans="1:6" hidden="1" x14ac:dyDescent="0.2">
      <c r="A2442" s="63">
        <v>45816</v>
      </c>
      <c r="B2442" t="s">
        <v>2277</v>
      </c>
      <c r="C2442">
        <v>10.039999999999999</v>
      </c>
      <c r="D2442" t="s">
        <v>858</v>
      </c>
      <c r="E2442" t="s">
        <v>6</v>
      </c>
      <c r="F2442" t="s">
        <v>2208</v>
      </c>
    </row>
    <row r="2443" spans="1:6" hidden="1" x14ac:dyDescent="0.2">
      <c r="A2443" s="63">
        <v>45816</v>
      </c>
      <c r="B2443" t="s">
        <v>2229</v>
      </c>
      <c r="C2443">
        <v>26.17</v>
      </c>
      <c r="D2443" t="s">
        <v>514</v>
      </c>
      <c r="E2443" t="s">
        <v>6</v>
      </c>
      <c r="F2443" t="s">
        <v>2208</v>
      </c>
    </row>
    <row r="2444" spans="1:6" hidden="1" x14ac:dyDescent="0.2">
      <c r="A2444" s="63">
        <v>45814</v>
      </c>
      <c r="B2444" t="s">
        <v>2251</v>
      </c>
      <c r="C2444">
        <v>6.12</v>
      </c>
      <c r="D2444" t="s">
        <v>639</v>
      </c>
      <c r="E2444" t="s">
        <v>6</v>
      </c>
      <c r="F2444" t="s">
        <v>2208</v>
      </c>
    </row>
    <row r="2445" spans="1:6" hidden="1" x14ac:dyDescent="0.2">
      <c r="A2445" s="63">
        <v>45814</v>
      </c>
      <c r="B2445" t="s">
        <v>2310</v>
      </c>
      <c r="C2445">
        <v>16.54</v>
      </c>
      <c r="D2445" t="s">
        <v>98</v>
      </c>
      <c r="E2445" t="s">
        <v>6</v>
      </c>
      <c r="F2445" t="s">
        <v>2208</v>
      </c>
    </row>
    <row r="2446" spans="1:6" hidden="1" x14ac:dyDescent="0.2">
      <c r="A2446" s="63">
        <v>45814</v>
      </c>
      <c r="B2446" t="s">
        <v>2215</v>
      </c>
      <c r="C2446">
        <v>112.91</v>
      </c>
      <c r="D2446" t="s">
        <v>956</v>
      </c>
      <c r="E2446" t="s">
        <v>6</v>
      </c>
      <c r="F2446" t="s">
        <v>2208</v>
      </c>
    </row>
    <row r="2447" spans="1:6" hidden="1" x14ac:dyDescent="0.2">
      <c r="A2447" s="63">
        <v>45813</v>
      </c>
      <c r="B2447" t="s">
        <v>1343</v>
      </c>
      <c r="C2447">
        <v>66.2</v>
      </c>
      <c r="D2447" t="s">
        <v>858</v>
      </c>
      <c r="E2447" t="s">
        <v>6</v>
      </c>
      <c r="F2447" t="s">
        <v>2208</v>
      </c>
    </row>
    <row r="2448" spans="1:6" hidden="1" x14ac:dyDescent="0.2">
      <c r="A2448" s="63">
        <v>45810</v>
      </c>
      <c r="B2448" t="s">
        <v>931</v>
      </c>
      <c r="C2448">
        <v>3.3</v>
      </c>
      <c r="D2448" t="s">
        <v>901</v>
      </c>
      <c r="E2448" t="s">
        <v>6</v>
      </c>
      <c r="F2448" t="s">
        <v>2208</v>
      </c>
    </row>
    <row r="2449" spans="1:6" hidden="1" x14ac:dyDescent="0.2">
      <c r="A2449" s="63">
        <v>45808</v>
      </c>
      <c r="B2449" t="s">
        <v>900</v>
      </c>
      <c r="C2449">
        <v>463.34</v>
      </c>
      <c r="D2449" t="s">
        <v>901</v>
      </c>
      <c r="E2449" t="s">
        <v>45</v>
      </c>
      <c r="F2449" t="s">
        <v>2208</v>
      </c>
    </row>
    <row r="2450" spans="1:6" hidden="1" x14ac:dyDescent="0.2">
      <c r="A2450" s="63">
        <v>45808</v>
      </c>
      <c r="B2450" t="s">
        <v>2349</v>
      </c>
      <c r="C2450">
        <v>30.52</v>
      </c>
      <c r="D2450" t="s">
        <v>956</v>
      </c>
      <c r="E2450" t="s">
        <v>6</v>
      </c>
      <c r="F2450" t="s">
        <v>2208</v>
      </c>
    </row>
    <row r="2451" spans="1:6" hidden="1" x14ac:dyDescent="0.2">
      <c r="A2451" s="63">
        <v>45808</v>
      </c>
      <c r="B2451" t="s">
        <v>2416</v>
      </c>
      <c r="C2451">
        <v>121.53</v>
      </c>
      <c r="D2451" t="s">
        <v>600</v>
      </c>
      <c r="E2451" t="s">
        <v>6</v>
      </c>
      <c r="F2451" t="s">
        <v>2208</v>
      </c>
    </row>
    <row r="2452" spans="1:6" hidden="1" x14ac:dyDescent="0.2">
      <c r="A2452" s="63">
        <v>45807</v>
      </c>
      <c r="B2452" t="s">
        <v>2278</v>
      </c>
      <c r="C2452">
        <v>10.81</v>
      </c>
      <c r="D2452" t="s">
        <v>469</v>
      </c>
      <c r="E2452" t="s">
        <v>45</v>
      </c>
      <c r="F2452" t="s">
        <v>2208</v>
      </c>
    </row>
    <row r="2453" spans="1:6" hidden="1" x14ac:dyDescent="0.2">
      <c r="A2453" s="63">
        <v>45806</v>
      </c>
      <c r="B2453" t="s">
        <v>2212</v>
      </c>
      <c r="C2453">
        <v>-1543.8</v>
      </c>
      <c r="D2453" t="s">
        <v>901</v>
      </c>
      <c r="E2453" t="s">
        <v>45</v>
      </c>
      <c r="F2453" t="s">
        <v>2208</v>
      </c>
    </row>
    <row r="2454" spans="1:6" hidden="1" x14ac:dyDescent="0.2">
      <c r="A2454" s="63">
        <v>45806</v>
      </c>
      <c r="B2454" t="s">
        <v>2237</v>
      </c>
      <c r="C2454">
        <v>3.97</v>
      </c>
      <c r="D2454" t="s">
        <v>165</v>
      </c>
      <c r="E2454" t="s">
        <v>45</v>
      </c>
      <c r="F2454" t="s">
        <v>2208</v>
      </c>
    </row>
    <row r="2455" spans="1:6" hidden="1" x14ac:dyDescent="0.2">
      <c r="A2455" s="63">
        <v>45805</v>
      </c>
      <c r="B2455" t="s">
        <v>1349</v>
      </c>
      <c r="C2455">
        <v>6.76</v>
      </c>
      <c r="D2455" t="s">
        <v>68</v>
      </c>
      <c r="E2455" t="s">
        <v>45</v>
      </c>
      <c r="F2455" t="s">
        <v>2208</v>
      </c>
    </row>
    <row r="2456" spans="1:6" hidden="1" x14ac:dyDescent="0.2">
      <c r="A2456" s="63">
        <v>45805</v>
      </c>
      <c r="B2456" t="s">
        <v>1350</v>
      </c>
      <c r="C2456">
        <v>195</v>
      </c>
      <c r="D2456" t="s">
        <v>901</v>
      </c>
      <c r="E2456" t="s">
        <v>45</v>
      </c>
      <c r="F2456" t="s">
        <v>2208</v>
      </c>
    </row>
    <row r="2457" spans="1:6" hidden="1" x14ac:dyDescent="0.2">
      <c r="A2457" s="63">
        <v>45805</v>
      </c>
      <c r="B2457" t="s">
        <v>1350</v>
      </c>
      <c r="C2457">
        <v>695</v>
      </c>
      <c r="D2457" t="s">
        <v>901</v>
      </c>
      <c r="E2457" t="s">
        <v>45</v>
      </c>
      <c r="F2457" t="s">
        <v>2208</v>
      </c>
    </row>
    <row r="2458" spans="1:6" hidden="1" x14ac:dyDescent="0.2">
      <c r="A2458" s="63">
        <v>45805</v>
      </c>
      <c r="B2458" t="s">
        <v>2302</v>
      </c>
      <c r="C2458">
        <v>15</v>
      </c>
      <c r="D2458">
        <v>0</v>
      </c>
      <c r="E2458">
        <v>0</v>
      </c>
      <c r="F2458" t="s">
        <v>2208</v>
      </c>
    </row>
    <row r="2459" spans="1:6" hidden="1" x14ac:dyDescent="0.2">
      <c r="A2459" s="63">
        <v>45805</v>
      </c>
      <c r="B2459" t="s">
        <v>495</v>
      </c>
      <c r="C2459">
        <v>13.6</v>
      </c>
      <c r="D2459" t="s">
        <v>469</v>
      </c>
      <c r="E2459" t="s">
        <v>6</v>
      </c>
      <c r="F2459" t="s">
        <v>2208</v>
      </c>
    </row>
    <row r="2460" spans="1:6" hidden="1" x14ac:dyDescent="0.2">
      <c r="A2460" s="63">
        <v>45804</v>
      </c>
      <c r="B2460" t="s">
        <v>2213</v>
      </c>
      <c r="C2460">
        <v>-423.76</v>
      </c>
      <c r="D2460" t="s">
        <v>956</v>
      </c>
      <c r="E2460" t="s">
        <v>45</v>
      </c>
      <c r="F2460" t="s">
        <v>2208</v>
      </c>
    </row>
    <row r="2461" spans="1:6" hidden="1" x14ac:dyDescent="0.2">
      <c r="A2461" s="63">
        <v>45804</v>
      </c>
      <c r="B2461" t="s">
        <v>2213</v>
      </c>
      <c r="C2461">
        <v>-350.2</v>
      </c>
      <c r="D2461" t="s">
        <v>956</v>
      </c>
      <c r="E2461" t="s">
        <v>45</v>
      </c>
      <c r="F2461" t="s">
        <v>2208</v>
      </c>
    </row>
    <row r="2462" spans="1:6" hidden="1" x14ac:dyDescent="0.2">
      <c r="A2462" s="63">
        <v>45802</v>
      </c>
      <c r="B2462" t="s">
        <v>2212</v>
      </c>
      <c r="C2462">
        <v>77.19</v>
      </c>
      <c r="D2462" t="s">
        <v>901</v>
      </c>
      <c r="E2462" t="s">
        <v>45</v>
      </c>
      <c r="F2462" t="s">
        <v>2208</v>
      </c>
    </row>
    <row r="2463" spans="1:6" hidden="1" x14ac:dyDescent="0.2">
      <c r="A2463" s="63">
        <v>45802</v>
      </c>
      <c r="B2463" t="s">
        <v>2215</v>
      </c>
      <c r="C2463">
        <v>27.57</v>
      </c>
      <c r="D2463" t="s">
        <v>956</v>
      </c>
      <c r="E2463" t="s">
        <v>6</v>
      </c>
      <c r="F2463" t="s">
        <v>2208</v>
      </c>
    </row>
    <row r="2464" spans="1:6" hidden="1" x14ac:dyDescent="0.2">
      <c r="A2464" s="63">
        <v>45802</v>
      </c>
      <c r="B2464" t="s">
        <v>2384</v>
      </c>
      <c r="C2464">
        <v>58.37</v>
      </c>
      <c r="D2464" t="s">
        <v>469</v>
      </c>
      <c r="E2464" t="s">
        <v>6</v>
      </c>
      <c r="F2464" t="s">
        <v>2208</v>
      </c>
    </row>
    <row r="2465" spans="1:6" hidden="1" x14ac:dyDescent="0.2">
      <c r="A2465" s="63">
        <v>45802</v>
      </c>
      <c r="B2465" t="s">
        <v>2213</v>
      </c>
      <c r="C2465">
        <v>773.96</v>
      </c>
      <c r="D2465" t="s">
        <v>956</v>
      </c>
      <c r="E2465" t="s">
        <v>45</v>
      </c>
      <c r="F2465" t="s">
        <v>2208</v>
      </c>
    </row>
    <row r="2466" spans="1:6" hidden="1" x14ac:dyDescent="0.2">
      <c r="A2466" s="63">
        <v>45802</v>
      </c>
      <c r="B2466" t="s">
        <v>2316</v>
      </c>
      <c r="C2466">
        <v>18.02</v>
      </c>
      <c r="D2466" t="s">
        <v>165</v>
      </c>
      <c r="E2466" t="s">
        <v>45</v>
      </c>
      <c r="F2466" t="s">
        <v>2208</v>
      </c>
    </row>
    <row r="2467" spans="1:6" hidden="1" x14ac:dyDescent="0.2">
      <c r="A2467" s="63">
        <v>45802</v>
      </c>
      <c r="B2467" t="s">
        <v>2373</v>
      </c>
      <c r="C2467">
        <v>85.52</v>
      </c>
      <c r="D2467" t="s">
        <v>5</v>
      </c>
      <c r="E2467" t="s">
        <v>6</v>
      </c>
      <c r="F2467" t="s">
        <v>2208</v>
      </c>
    </row>
    <row r="2468" spans="1:6" hidden="1" x14ac:dyDescent="0.2">
      <c r="A2468" s="63">
        <v>45801</v>
      </c>
      <c r="B2468" t="s">
        <v>2326</v>
      </c>
      <c r="C2468">
        <v>20.97</v>
      </c>
      <c r="D2468" t="s">
        <v>593</v>
      </c>
      <c r="E2468" t="s">
        <v>6</v>
      </c>
      <c r="F2468" t="s">
        <v>2208</v>
      </c>
    </row>
    <row r="2469" spans="1:6" hidden="1" x14ac:dyDescent="0.2">
      <c r="A2469" s="63">
        <v>45801</v>
      </c>
      <c r="B2469" t="s">
        <v>2253</v>
      </c>
      <c r="C2469">
        <v>6.21</v>
      </c>
      <c r="D2469" t="s">
        <v>165</v>
      </c>
      <c r="E2469" t="s">
        <v>45</v>
      </c>
      <c r="F2469" t="s">
        <v>2208</v>
      </c>
    </row>
    <row r="2470" spans="1:6" hidden="1" x14ac:dyDescent="0.2">
      <c r="A2470" s="63">
        <v>45801</v>
      </c>
      <c r="B2470" t="s">
        <v>557</v>
      </c>
      <c r="C2470">
        <v>7.7</v>
      </c>
      <c r="D2470" t="s">
        <v>514</v>
      </c>
      <c r="E2470" t="s">
        <v>6</v>
      </c>
      <c r="F2470" t="s">
        <v>2208</v>
      </c>
    </row>
    <row r="2471" spans="1:6" hidden="1" x14ac:dyDescent="0.2">
      <c r="A2471" s="63">
        <v>45800</v>
      </c>
      <c r="B2471" t="s">
        <v>2367</v>
      </c>
      <c r="C2471">
        <v>42.14</v>
      </c>
      <c r="D2471" t="s">
        <v>165</v>
      </c>
      <c r="E2471" t="s">
        <v>45</v>
      </c>
      <c r="F2471" t="s">
        <v>2208</v>
      </c>
    </row>
    <row r="2472" spans="1:6" hidden="1" x14ac:dyDescent="0.2">
      <c r="A2472" s="63">
        <v>45800</v>
      </c>
      <c r="B2472" t="s">
        <v>2215</v>
      </c>
      <c r="C2472">
        <v>5.39</v>
      </c>
      <c r="D2472" t="s">
        <v>956</v>
      </c>
      <c r="E2472" t="s">
        <v>6</v>
      </c>
      <c r="F2472" t="s">
        <v>2208</v>
      </c>
    </row>
    <row r="2473" spans="1:6" hidden="1" x14ac:dyDescent="0.2">
      <c r="A2473" s="63">
        <v>45800</v>
      </c>
      <c r="B2473" t="s">
        <v>2348</v>
      </c>
      <c r="C2473">
        <v>30</v>
      </c>
      <c r="D2473" t="s">
        <v>165</v>
      </c>
      <c r="E2473" t="s">
        <v>45</v>
      </c>
      <c r="F2473" t="s">
        <v>2208</v>
      </c>
    </row>
    <row r="2474" spans="1:6" hidden="1" x14ac:dyDescent="0.2">
      <c r="A2474" s="63">
        <v>45800</v>
      </c>
      <c r="B2474" t="s">
        <v>861</v>
      </c>
      <c r="C2474">
        <v>22.07</v>
      </c>
      <c r="D2474" t="s">
        <v>858</v>
      </c>
      <c r="E2474" t="s">
        <v>45</v>
      </c>
      <c r="F2474" t="s">
        <v>2208</v>
      </c>
    </row>
    <row r="2475" spans="1:6" hidden="1" x14ac:dyDescent="0.2">
      <c r="A2475" s="63">
        <v>45799</v>
      </c>
      <c r="B2475" t="s">
        <v>2215</v>
      </c>
      <c r="C2475">
        <v>111.95</v>
      </c>
      <c r="D2475" t="s">
        <v>956</v>
      </c>
      <c r="E2475" t="s">
        <v>6</v>
      </c>
      <c r="F2475" t="s">
        <v>2208</v>
      </c>
    </row>
    <row r="2476" spans="1:6" hidden="1" x14ac:dyDescent="0.2">
      <c r="A2476" s="63">
        <v>45799</v>
      </c>
      <c r="B2476" t="s">
        <v>2407</v>
      </c>
      <c r="C2476">
        <v>107.6</v>
      </c>
      <c r="D2476" t="s">
        <v>956</v>
      </c>
      <c r="E2476" t="s">
        <v>45</v>
      </c>
      <c r="F2476" t="s">
        <v>2208</v>
      </c>
    </row>
    <row r="2477" spans="1:6" hidden="1" x14ac:dyDescent="0.2">
      <c r="A2477" s="63">
        <v>45799</v>
      </c>
      <c r="B2477" t="s">
        <v>879</v>
      </c>
      <c r="C2477">
        <v>220.7</v>
      </c>
      <c r="D2477" t="s">
        <v>858</v>
      </c>
      <c r="E2477" t="s">
        <v>45</v>
      </c>
      <c r="F2477" t="s">
        <v>2208</v>
      </c>
    </row>
    <row r="2478" spans="1:6" hidden="1" x14ac:dyDescent="0.2">
      <c r="A2478" s="63">
        <v>45797</v>
      </c>
      <c r="B2478" t="s">
        <v>2335</v>
      </c>
      <c r="C2478">
        <v>386.21</v>
      </c>
      <c r="D2478" t="s">
        <v>593</v>
      </c>
      <c r="E2478" t="s">
        <v>6</v>
      </c>
      <c r="F2478" t="s">
        <v>2208</v>
      </c>
    </row>
    <row r="2479" spans="1:6" hidden="1" x14ac:dyDescent="0.2">
      <c r="A2479" s="63">
        <v>45797</v>
      </c>
      <c r="B2479" t="s">
        <v>2329</v>
      </c>
      <c r="C2479">
        <v>22</v>
      </c>
      <c r="D2479">
        <v>0</v>
      </c>
      <c r="E2479">
        <v>0</v>
      </c>
      <c r="F2479" t="s">
        <v>2208</v>
      </c>
    </row>
    <row r="2480" spans="1:6" hidden="1" x14ac:dyDescent="0.2">
      <c r="A2480" s="63">
        <v>45796</v>
      </c>
      <c r="B2480" t="s">
        <v>2335</v>
      </c>
      <c r="C2480">
        <v>24.25</v>
      </c>
      <c r="D2480" t="s">
        <v>593</v>
      </c>
      <c r="E2480" t="s">
        <v>6</v>
      </c>
      <c r="F2480" t="s">
        <v>2208</v>
      </c>
    </row>
    <row r="2481" spans="1:6" hidden="1" x14ac:dyDescent="0.2">
      <c r="A2481" s="63">
        <v>45796</v>
      </c>
      <c r="B2481" t="s">
        <v>495</v>
      </c>
      <c r="C2481">
        <v>13.22</v>
      </c>
      <c r="D2481" t="s">
        <v>469</v>
      </c>
      <c r="E2481" t="s">
        <v>6</v>
      </c>
      <c r="F2481" t="s">
        <v>2208</v>
      </c>
    </row>
    <row r="2482" spans="1:6" hidden="1" x14ac:dyDescent="0.2">
      <c r="A2482" s="63">
        <v>45795</v>
      </c>
      <c r="B2482" t="s">
        <v>2218</v>
      </c>
      <c r="C2482">
        <v>0.01</v>
      </c>
      <c r="D2482" t="s">
        <v>901</v>
      </c>
      <c r="E2482" t="s">
        <v>45</v>
      </c>
      <c r="F2482" t="s">
        <v>2208</v>
      </c>
    </row>
    <row r="2483" spans="1:6" hidden="1" x14ac:dyDescent="0.2">
      <c r="A2483" s="63">
        <v>45795</v>
      </c>
      <c r="B2483" t="s">
        <v>2391</v>
      </c>
      <c r="C2483">
        <v>64</v>
      </c>
      <c r="D2483">
        <v>0</v>
      </c>
      <c r="E2483">
        <v>0</v>
      </c>
      <c r="F2483" t="s">
        <v>2208</v>
      </c>
    </row>
    <row r="2484" spans="1:6" hidden="1" x14ac:dyDescent="0.2">
      <c r="A2484" s="63">
        <v>45794</v>
      </c>
      <c r="B2484" t="s">
        <v>2215</v>
      </c>
      <c r="C2484">
        <v>136.26</v>
      </c>
      <c r="D2484" t="s">
        <v>956</v>
      </c>
      <c r="E2484" t="s">
        <v>6</v>
      </c>
      <c r="F2484" t="s">
        <v>2208</v>
      </c>
    </row>
    <row r="2485" spans="1:6" hidden="1" x14ac:dyDescent="0.2">
      <c r="A2485" s="63">
        <v>45794</v>
      </c>
      <c r="B2485" t="s">
        <v>2229</v>
      </c>
      <c r="C2485">
        <v>2.99</v>
      </c>
      <c r="D2485" t="s">
        <v>514</v>
      </c>
      <c r="E2485" t="s">
        <v>6</v>
      </c>
      <c r="F2485" t="s">
        <v>2208</v>
      </c>
    </row>
    <row r="2486" spans="1:6" hidden="1" x14ac:dyDescent="0.2">
      <c r="A2486" s="63">
        <v>45793</v>
      </c>
      <c r="B2486" t="s">
        <v>2211</v>
      </c>
      <c r="C2486">
        <v>2535.84</v>
      </c>
      <c r="D2486" t="s">
        <v>901</v>
      </c>
      <c r="E2486" t="s">
        <v>45</v>
      </c>
      <c r="F2486" t="s">
        <v>2208</v>
      </c>
    </row>
    <row r="2487" spans="1:6" hidden="1" x14ac:dyDescent="0.2">
      <c r="A2487" s="63">
        <v>45793</v>
      </c>
      <c r="B2487" t="s">
        <v>2353</v>
      </c>
      <c r="C2487">
        <v>33.04</v>
      </c>
      <c r="D2487" t="s">
        <v>514</v>
      </c>
      <c r="E2487" t="s">
        <v>6</v>
      </c>
      <c r="F2487" t="s">
        <v>2208</v>
      </c>
    </row>
    <row r="2488" spans="1:6" hidden="1" x14ac:dyDescent="0.2">
      <c r="A2488" s="63">
        <v>45792</v>
      </c>
      <c r="B2488" t="s">
        <v>2212</v>
      </c>
      <c r="C2488">
        <v>-274.77</v>
      </c>
      <c r="D2488" t="s">
        <v>901</v>
      </c>
      <c r="E2488" t="s">
        <v>45</v>
      </c>
      <c r="F2488" t="s">
        <v>2208</v>
      </c>
    </row>
    <row r="2489" spans="1:6" hidden="1" x14ac:dyDescent="0.2">
      <c r="A2489" s="63">
        <v>45792</v>
      </c>
      <c r="B2489" t="s">
        <v>2212</v>
      </c>
      <c r="C2489">
        <v>1543.8</v>
      </c>
      <c r="D2489" t="s">
        <v>901</v>
      </c>
      <c r="E2489" t="s">
        <v>45</v>
      </c>
      <c r="F2489" t="s">
        <v>2208</v>
      </c>
    </row>
    <row r="2490" spans="1:6" hidden="1" x14ac:dyDescent="0.2">
      <c r="A2490" s="63">
        <v>45791</v>
      </c>
      <c r="B2490" t="s">
        <v>2286</v>
      </c>
      <c r="C2490">
        <v>11.92</v>
      </c>
      <c r="D2490" t="s">
        <v>639</v>
      </c>
      <c r="E2490" t="s">
        <v>6</v>
      </c>
      <c r="F2490" t="s">
        <v>2208</v>
      </c>
    </row>
    <row r="2491" spans="1:6" hidden="1" x14ac:dyDescent="0.2">
      <c r="A2491" s="63">
        <v>45791</v>
      </c>
      <c r="B2491" t="s">
        <v>2215</v>
      </c>
      <c r="C2491">
        <v>137.04</v>
      </c>
      <c r="D2491" t="s">
        <v>956</v>
      </c>
      <c r="E2491" t="s">
        <v>6</v>
      </c>
      <c r="F2491" t="s">
        <v>2208</v>
      </c>
    </row>
    <row r="2492" spans="1:6" hidden="1" x14ac:dyDescent="0.2">
      <c r="A2492" s="63">
        <v>45791</v>
      </c>
      <c r="B2492" t="s">
        <v>946</v>
      </c>
      <c r="C2492">
        <v>-2387.67</v>
      </c>
      <c r="D2492" t="s">
        <v>77</v>
      </c>
      <c r="E2492" t="s">
        <v>6</v>
      </c>
      <c r="F2492" t="s">
        <v>2208</v>
      </c>
    </row>
    <row r="2493" spans="1:6" hidden="1" x14ac:dyDescent="0.2">
      <c r="A2493" s="63">
        <v>45791</v>
      </c>
      <c r="B2493" t="s">
        <v>946</v>
      </c>
      <c r="C2493">
        <v>-2204.9</v>
      </c>
      <c r="D2493" t="s">
        <v>77</v>
      </c>
      <c r="E2493" t="s">
        <v>6</v>
      </c>
      <c r="F2493" t="s">
        <v>2208</v>
      </c>
    </row>
    <row r="2494" spans="1:6" hidden="1" x14ac:dyDescent="0.2">
      <c r="A2494" s="63">
        <v>45791</v>
      </c>
      <c r="B2494" t="s">
        <v>495</v>
      </c>
      <c r="C2494">
        <v>14.7</v>
      </c>
      <c r="D2494" t="s">
        <v>469</v>
      </c>
      <c r="E2494" t="s">
        <v>6</v>
      </c>
      <c r="F2494" t="s">
        <v>2208</v>
      </c>
    </row>
    <row r="2495" spans="1:6" hidden="1" x14ac:dyDescent="0.2">
      <c r="A2495" s="63">
        <v>45790</v>
      </c>
      <c r="B2495" t="s">
        <v>2433</v>
      </c>
      <c r="C2495">
        <v>260</v>
      </c>
      <c r="D2495" t="s">
        <v>956</v>
      </c>
      <c r="E2495" t="s">
        <v>45</v>
      </c>
      <c r="F2495" t="s">
        <v>2208</v>
      </c>
    </row>
    <row r="2496" spans="1:6" hidden="1" x14ac:dyDescent="0.2">
      <c r="A2496" s="63">
        <v>45789</v>
      </c>
      <c r="B2496" t="s">
        <v>495</v>
      </c>
      <c r="C2496">
        <v>14.7</v>
      </c>
      <c r="D2496" t="s">
        <v>469</v>
      </c>
      <c r="E2496" t="s">
        <v>6</v>
      </c>
      <c r="F2496" t="s">
        <v>2208</v>
      </c>
    </row>
    <row r="2497" spans="1:6" hidden="1" x14ac:dyDescent="0.2">
      <c r="A2497" s="63">
        <v>45787</v>
      </c>
      <c r="B2497" t="s">
        <v>859</v>
      </c>
      <c r="C2497">
        <v>220.7</v>
      </c>
      <c r="D2497" t="s">
        <v>858</v>
      </c>
      <c r="E2497" t="s">
        <v>45</v>
      </c>
      <c r="F2497" t="s">
        <v>2208</v>
      </c>
    </row>
    <row r="2498" spans="1:6" hidden="1" x14ac:dyDescent="0.2">
      <c r="A2498" s="63">
        <v>45785</v>
      </c>
      <c r="B2498" t="s">
        <v>2280</v>
      </c>
      <c r="C2498">
        <v>11.02</v>
      </c>
      <c r="D2498" t="s">
        <v>858</v>
      </c>
      <c r="E2498" t="s">
        <v>6</v>
      </c>
      <c r="F2498" t="s">
        <v>2208</v>
      </c>
    </row>
    <row r="2499" spans="1:6" hidden="1" x14ac:dyDescent="0.2">
      <c r="A2499" s="63">
        <v>45785</v>
      </c>
      <c r="B2499" t="s">
        <v>2323</v>
      </c>
      <c r="C2499">
        <v>22.07</v>
      </c>
      <c r="D2499" t="s">
        <v>858</v>
      </c>
      <c r="E2499" t="s">
        <v>6</v>
      </c>
      <c r="F2499" t="s">
        <v>2208</v>
      </c>
    </row>
    <row r="2500" spans="1:6" hidden="1" x14ac:dyDescent="0.2">
      <c r="A2500" s="63">
        <v>45784</v>
      </c>
      <c r="B2500" t="s">
        <v>717</v>
      </c>
      <c r="C2500">
        <v>721</v>
      </c>
      <c r="D2500" t="s">
        <v>639</v>
      </c>
      <c r="E2500" t="s">
        <v>45</v>
      </c>
      <c r="F2500" t="s">
        <v>2208</v>
      </c>
    </row>
    <row r="2501" spans="1:6" hidden="1" x14ac:dyDescent="0.2">
      <c r="A2501" s="63">
        <v>45784</v>
      </c>
      <c r="B2501" t="s">
        <v>2336</v>
      </c>
      <c r="C2501">
        <v>24.52</v>
      </c>
      <c r="D2501" t="s">
        <v>98</v>
      </c>
      <c r="E2501" t="s">
        <v>45</v>
      </c>
      <c r="F2501" t="s">
        <v>2208</v>
      </c>
    </row>
    <row r="2502" spans="1:6" hidden="1" x14ac:dyDescent="0.2">
      <c r="A2502" s="63">
        <v>45784</v>
      </c>
      <c r="B2502" t="s">
        <v>495</v>
      </c>
      <c r="C2502">
        <v>13.22</v>
      </c>
      <c r="D2502" t="s">
        <v>469</v>
      </c>
      <c r="E2502" t="s">
        <v>6</v>
      </c>
      <c r="F2502" t="s">
        <v>2208</v>
      </c>
    </row>
    <row r="2503" spans="1:6" hidden="1" x14ac:dyDescent="0.2">
      <c r="A2503" s="63">
        <v>45783</v>
      </c>
      <c r="B2503" t="s">
        <v>2250</v>
      </c>
      <c r="C2503">
        <v>5.99</v>
      </c>
      <c r="D2503" t="s">
        <v>639</v>
      </c>
      <c r="E2503" t="s">
        <v>6</v>
      </c>
      <c r="F2503" t="s">
        <v>2208</v>
      </c>
    </row>
    <row r="2504" spans="1:6" hidden="1" x14ac:dyDescent="0.2">
      <c r="A2504" s="63">
        <v>45783</v>
      </c>
      <c r="B2504" t="s">
        <v>511</v>
      </c>
      <c r="C2504">
        <v>125</v>
      </c>
      <c r="D2504" t="s">
        <v>512</v>
      </c>
      <c r="E2504" t="s">
        <v>45</v>
      </c>
      <c r="F2504" t="s">
        <v>2208</v>
      </c>
    </row>
    <row r="2505" spans="1:6" hidden="1" x14ac:dyDescent="0.2">
      <c r="A2505" s="63">
        <v>45783</v>
      </c>
      <c r="B2505" t="s">
        <v>495</v>
      </c>
      <c r="C2505">
        <v>12.13</v>
      </c>
      <c r="D2505" t="s">
        <v>469</v>
      </c>
      <c r="E2505" t="s">
        <v>6</v>
      </c>
      <c r="F2505" t="s">
        <v>2208</v>
      </c>
    </row>
    <row r="2506" spans="1:6" hidden="1" x14ac:dyDescent="0.2">
      <c r="A2506" s="63">
        <v>45782</v>
      </c>
      <c r="B2506" t="s">
        <v>2448</v>
      </c>
      <c r="C2506">
        <v>1279.1600000000001</v>
      </c>
      <c r="D2506" t="s">
        <v>956</v>
      </c>
      <c r="E2506" t="s">
        <v>45</v>
      </c>
      <c r="F2506" t="s">
        <v>2208</v>
      </c>
    </row>
    <row r="2507" spans="1:6" hidden="1" x14ac:dyDescent="0.2">
      <c r="A2507" s="63">
        <v>45782</v>
      </c>
      <c r="B2507" t="s">
        <v>2350</v>
      </c>
      <c r="C2507">
        <v>30.67</v>
      </c>
      <c r="D2507">
        <v>0</v>
      </c>
      <c r="E2507">
        <v>0</v>
      </c>
      <c r="F2507" t="s">
        <v>2208</v>
      </c>
    </row>
    <row r="2508" spans="1:6" hidden="1" x14ac:dyDescent="0.2">
      <c r="A2508" s="63">
        <v>45782</v>
      </c>
      <c r="B2508" t="s">
        <v>1372</v>
      </c>
      <c r="C2508">
        <v>66.2</v>
      </c>
      <c r="D2508" t="s">
        <v>858</v>
      </c>
      <c r="E2508" t="s">
        <v>6</v>
      </c>
      <c r="F2508" t="s">
        <v>2208</v>
      </c>
    </row>
    <row r="2509" spans="1:6" hidden="1" x14ac:dyDescent="0.2">
      <c r="A2509" s="63">
        <v>45782</v>
      </c>
      <c r="B2509" t="s">
        <v>2339</v>
      </c>
      <c r="C2509">
        <v>253.35</v>
      </c>
      <c r="D2509" t="s">
        <v>469</v>
      </c>
      <c r="E2509" t="s">
        <v>45</v>
      </c>
      <c r="F2509" t="s">
        <v>2208</v>
      </c>
    </row>
    <row r="2510" spans="1:6" hidden="1" x14ac:dyDescent="0.2">
      <c r="A2510" s="63">
        <v>45782</v>
      </c>
      <c r="B2510" t="s">
        <v>495</v>
      </c>
      <c r="C2510">
        <v>14.7</v>
      </c>
      <c r="D2510" t="s">
        <v>469</v>
      </c>
      <c r="E2510" t="s">
        <v>6</v>
      </c>
      <c r="F2510" t="s">
        <v>2208</v>
      </c>
    </row>
    <row r="2511" spans="1:6" hidden="1" x14ac:dyDescent="0.2">
      <c r="A2511" s="63">
        <v>45781</v>
      </c>
      <c r="B2511" t="s">
        <v>2226</v>
      </c>
      <c r="C2511">
        <v>6.07</v>
      </c>
      <c r="D2511" t="s">
        <v>5</v>
      </c>
      <c r="E2511" t="s">
        <v>6</v>
      </c>
      <c r="F2511" t="s">
        <v>2208</v>
      </c>
    </row>
    <row r="2512" spans="1:6" hidden="1" x14ac:dyDescent="0.2">
      <c r="A2512" s="63">
        <v>45780</v>
      </c>
      <c r="B2512" t="s">
        <v>2226</v>
      </c>
      <c r="C2512">
        <v>7.72</v>
      </c>
      <c r="D2512" t="s">
        <v>5</v>
      </c>
      <c r="E2512" t="s">
        <v>6</v>
      </c>
      <c r="F2512" t="s">
        <v>2208</v>
      </c>
    </row>
    <row r="2513" spans="1:6" hidden="1" x14ac:dyDescent="0.2">
      <c r="A2513" s="63">
        <v>45779</v>
      </c>
      <c r="B2513" t="s">
        <v>557</v>
      </c>
      <c r="C2513">
        <v>77.709999999999994</v>
      </c>
      <c r="D2513" t="s">
        <v>514</v>
      </c>
      <c r="E2513" t="s">
        <v>6</v>
      </c>
      <c r="F2513" t="s">
        <v>2208</v>
      </c>
    </row>
    <row r="2514" spans="1:6" hidden="1" x14ac:dyDescent="0.2">
      <c r="A2514" s="63">
        <v>45779</v>
      </c>
      <c r="B2514" t="s">
        <v>931</v>
      </c>
      <c r="C2514">
        <v>3.3</v>
      </c>
      <c r="D2514" t="s">
        <v>901</v>
      </c>
      <c r="E2514" t="s">
        <v>6</v>
      </c>
      <c r="F2514" t="s">
        <v>2208</v>
      </c>
    </row>
    <row r="2515" spans="1:6" hidden="1" x14ac:dyDescent="0.2">
      <c r="A2515" s="63">
        <v>45778</v>
      </c>
      <c r="B2515" t="s">
        <v>2291</v>
      </c>
      <c r="C2515">
        <v>12.6</v>
      </c>
      <c r="D2515" t="s">
        <v>639</v>
      </c>
      <c r="E2515" t="s">
        <v>6</v>
      </c>
      <c r="F2515" t="s">
        <v>2208</v>
      </c>
    </row>
    <row r="2516" spans="1:6" hidden="1" x14ac:dyDescent="0.2">
      <c r="A2516" s="63">
        <v>45777</v>
      </c>
      <c r="B2516" t="s">
        <v>2372</v>
      </c>
      <c r="C2516">
        <v>42.96</v>
      </c>
      <c r="D2516" t="s">
        <v>901</v>
      </c>
      <c r="E2516" t="s">
        <v>45</v>
      </c>
      <c r="F2516" t="s">
        <v>2208</v>
      </c>
    </row>
    <row r="2517" spans="1:6" hidden="1" x14ac:dyDescent="0.2">
      <c r="A2517" s="63">
        <v>45776</v>
      </c>
      <c r="B2517" t="s">
        <v>2301</v>
      </c>
      <c r="C2517">
        <v>14.83</v>
      </c>
      <c r="D2517" t="s">
        <v>165</v>
      </c>
      <c r="E2517" t="s">
        <v>45</v>
      </c>
      <c r="F2517" t="s">
        <v>2208</v>
      </c>
    </row>
    <row r="2518" spans="1:6" hidden="1" x14ac:dyDescent="0.2">
      <c r="A2518" s="63">
        <v>45775</v>
      </c>
      <c r="B2518" t="s">
        <v>557</v>
      </c>
      <c r="C2518">
        <v>6.99</v>
      </c>
      <c r="D2518" t="s">
        <v>514</v>
      </c>
      <c r="E2518" t="s">
        <v>6</v>
      </c>
      <c r="F2518" t="s">
        <v>2208</v>
      </c>
    </row>
    <row r="2519" spans="1:6" hidden="1" x14ac:dyDescent="0.2">
      <c r="A2519" s="63">
        <v>45775</v>
      </c>
      <c r="B2519" t="s">
        <v>495</v>
      </c>
      <c r="C2519">
        <v>16.690000000000001</v>
      </c>
      <c r="D2519" t="s">
        <v>469</v>
      </c>
      <c r="E2519" t="s">
        <v>6</v>
      </c>
      <c r="F2519" t="s">
        <v>2208</v>
      </c>
    </row>
    <row r="2520" spans="1:6" hidden="1" x14ac:dyDescent="0.2">
      <c r="A2520" s="63">
        <v>45774</v>
      </c>
      <c r="B2520" t="s">
        <v>1349</v>
      </c>
      <c r="C2520">
        <v>4.95</v>
      </c>
      <c r="D2520" t="s">
        <v>68</v>
      </c>
      <c r="E2520" t="s">
        <v>45</v>
      </c>
      <c r="F2520" t="s">
        <v>2208</v>
      </c>
    </row>
    <row r="2521" spans="1:6" hidden="1" x14ac:dyDescent="0.2">
      <c r="A2521" s="63">
        <v>45773</v>
      </c>
      <c r="B2521" t="s">
        <v>2321</v>
      </c>
      <c r="C2521">
        <v>20</v>
      </c>
      <c r="D2521" t="s">
        <v>858</v>
      </c>
      <c r="E2521" t="s">
        <v>6</v>
      </c>
      <c r="F2521" t="s">
        <v>2208</v>
      </c>
    </row>
    <row r="2522" spans="1:6" hidden="1" x14ac:dyDescent="0.2">
      <c r="A2522" s="63">
        <v>45773</v>
      </c>
      <c r="B2522" t="s">
        <v>2226</v>
      </c>
      <c r="C2522">
        <v>6.62</v>
      </c>
      <c r="D2522" t="s">
        <v>5</v>
      </c>
      <c r="E2522" t="s">
        <v>6</v>
      </c>
      <c r="F2522" t="s">
        <v>2208</v>
      </c>
    </row>
    <row r="2523" spans="1:6" hidden="1" x14ac:dyDescent="0.2">
      <c r="A2523" s="63">
        <v>45773</v>
      </c>
      <c r="B2523" t="s">
        <v>2226</v>
      </c>
      <c r="C2523">
        <v>12.14</v>
      </c>
      <c r="D2523" t="s">
        <v>5</v>
      </c>
      <c r="E2523" t="s">
        <v>6</v>
      </c>
      <c r="F2523" t="s">
        <v>2208</v>
      </c>
    </row>
    <row r="2524" spans="1:6" hidden="1" x14ac:dyDescent="0.2">
      <c r="A2524" s="63">
        <v>45772</v>
      </c>
      <c r="B2524" t="s">
        <v>2425</v>
      </c>
      <c r="C2524">
        <v>284.7</v>
      </c>
      <c r="D2524" t="s">
        <v>98</v>
      </c>
      <c r="E2524" t="s">
        <v>6</v>
      </c>
      <c r="F2524" t="s">
        <v>2208</v>
      </c>
    </row>
    <row r="2525" spans="1:6" hidden="1" x14ac:dyDescent="0.2">
      <c r="A2525" s="63">
        <v>45772</v>
      </c>
      <c r="B2525" t="s">
        <v>2439</v>
      </c>
      <c r="C2525">
        <v>406.59</v>
      </c>
      <c r="D2525" t="s">
        <v>956</v>
      </c>
      <c r="E2525" t="s">
        <v>45</v>
      </c>
      <c r="F2525" t="s">
        <v>2208</v>
      </c>
    </row>
    <row r="2526" spans="1:6" hidden="1" x14ac:dyDescent="0.2">
      <c r="A2526" s="63">
        <v>45772</v>
      </c>
      <c r="B2526" t="s">
        <v>2321</v>
      </c>
      <c r="C2526">
        <v>20</v>
      </c>
      <c r="D2526" t="s">
        <v>858</v>
      </c>
      <c r="E2526" t="s">
        <v>6</v>
      </c>
      <c r="F2526" t="s">
        <v>2208</v>
      </c>
    </row>
    <row r="2527" spans="1:6" hidden="1" x14ac:dyDescent="0.2">
      <c r="A2527" s="63">
        <v>45772</v>
      </c>
      <c r="B2527" t="s">
        <v>946</v>
      </c>
      <c r="C2527">
        <v>-2585.5700000000002</v>
      </c>
      <c r="D2527" t="s">
        <v>77</v>
      </c>
      <c r="E2527" t="s">
        <v>6</v>
      </c>
      <c r="F2527" t="s">
        <v>2208</v>
      </c>
    </row>
    <row r="2528" spans="1:6" hidden="1" x14ac:dyDescent="0.2">
      <c r="A2528" s="63">
        <v>45772</v>
      </c>
      <c r="B2528" t="s">
        <v>2226</v>
      </c>
      <c r="C2528">
        <v>5.52</v>
      </c>
      <c r="D2528" t="s">
        <v>5</v>
      </c>
      <c r="E2528" t="s">
        <v>6</v>
      </c>
      <c r="F2528" t="s">
        <v>2208</v>
      </c>
    </row>
    <row r="2529" spans="1:6" hidden="1" x14ac:dyDescent="0.2">
      <c r="A2529" s="63">
        <v>45771</v>
      </c>
      <c r="B2529" t="s">
        <v>2321</v>
      </c>
      <c r="C2529">
        <v>20</v>
      </c>
      <c r="D2529" t="s">
        <v>858</v>
      </c>
      <c r="E2529" t="s">
        <v>6</v>
      </c>
      <c r="F2529" t="s">
        <v>2208</v>
      </c>
    </row>
    <row r="2530" spans="1:6" hidden="1" x14ac:dyDescent="0.2">
      <c r="A2530" s="63">
        <v>45771</v>
      </c>
      <c r="B2530" t="s">
        <v>2321</v>
      </c>
      <c r="C2530">
        <v>20</v>
      </c>
      <c r="D2530" t="s">
        <v>858</v>
      </c>
      <c r="E2530" t="s">
        <v>6</v>
      </c>
      <c r="F2530" t="s">
        <v>2208</v>
      </c>
    </row>
    <row r="2531" spans="1:6" hidden="1" x14ac:dyDescent="0.2">
      <c r="A2531" s="63">
        <v>45771</v>
      </c>
      <c r="B2531" t="s">
        <v>2428</v>
      </c>
      <c r="C2531">
        <v>207</v>
      </c>
      <c r="D2531" t="s">
        <v>98</v>
      </c>
      <c r="E2531" t="s">
        <v>6</v>
      </c>
      <c r="F2531" t="s">
        <v>2208</v>
      </c>
    </row>
    <row r="2532" spans="1:6" hidden="1" x14ac:dyDescent="0.2">
      <c r="A2532" s="63">
        <v>45770</v>
      </c>
      <c r="B2532" t="s">
        <v>2425</v>
      </c>
      <c r="C2532">
        <v>193.11</v>
      </c>
      <c r="D2532" t="s">
        <v>98</v>
      </c>
      <c r="E2532" t="s">
        <v>6</v>
      </c>
      <c r="F2532" t="s">
        <v>2208</v>
      </c>
    </row>
    <row r="2533" spans="1:6" hidden="1" x14ac:dyDescent="0.2">
      <c r="A2533" s="63">
        <v>45770</v>
      </c>
      <c r="B2533" t="s">
        <v>861</v>
      </c>
      <c r="C2533">
        <v>20</v>
      </c>
      <c r="D2533" t="s">
        <v>858</v>
      </c>
      <c r="E2533" t="s">
        <v>45</v>
      </c>
      <c r="F2533" t="s">
        <v>2208</v>
      </c>
    </row>
    <row r="2534" spans="1:6" hidden="1" x14ac:dyDescent="0.2">
      <c r="A2534" s="63">
        <v>45770</v>
      </c>
      <c r="B2534" t="s">
        <v>2305</v>
      </c>
      <c r="C2534">
        <v>15.99</v>
      </c>
      <c r="D2534">
        <v>0</v>
      </c>
      <c r="E2534">
        <v>0</v>
      </c>
      <c r="F2534" t="s">
        <v>2208</v>
      </c>
    </row>
    <row r="2535" spans="1:6" hidden="1" x14ac:dyDescent="0.2">
      <c r="A2535" s="63">
        <v>45770</v>
      </c>
      <c r="B2535" t="s">
        <v>557</v>
      </c>
      <c r="C2535">
        <v>7.11</v>
      </c>
      <c r="D2535" t="s">
        <v>514</v>
      </c>
      <c r="E2535" t="s">
        <v>6</v>
      </c>
      <c r="F2535" t="s">
        <v>2208</v>
      </c>
    </row>
    <row r="2536" spans="1:6" hidden="1" x14ac:dyDescent="0.2">
      <c r="A2536" s="63">
        <v>45770</v>
      </c>
      <c r="B2536" t="s">
        <v>495</v>
      </c>
      <c r="C2536">
        <v>13.22</v>
      </c>
      <c r="D2536" t="s">
        <v>469</v>
      </c>
      <c r="E2536" t="s">
        <v>6</v>
      </c>
      <c r="F2536" t="s">
        <v>2208</v>
      </c>
    </row>
    <row r="2537" spans="1:6" hidden="1" x14ac:dyDescent="0.2">
      <c r="A2537" s="63">
        <v>45770</v>
      </c>
      <c r="B2537" t="s">
        <v>2296</v>
      </c>
      <c r="C2537">
        <v>13.71</v>
      </c>
      <c r="D2537">
        <v>0</v>
      </c>
      <c r="E2537">
        <v>0</v>
      </c>
      <c r="F2537" t="s">
        <v>2208</v>
      </c>
    </row>
    <row r="2538" spans="1:6" hidden="1" x14ac:dyDescent="0.2">
      <c r="A2538" s="63">
        <v>45769</v>
      </c>
      <c r="B2538" t="s">
        <v>2321</v>
      </c>
      <c r="C2538">
        <v>20.010000000000002</v>
      </c>
      <c r="D2538" t="s">
        <v>858</v>
      </c>
      <c r="E2538" t="s">
        <v>6</v>
      </c>
      <c r="F2538" t="s">
        <v>2208</v>
      </c>
    </row>
    <row r="2539" spans="1:6" hidden="1" x14ac:dyDescent="0.2">
      <c r="A2539" s="63">
        <v>45769</v>
      </c>
      <c r="B2539" t="s">
        <v>74</v>
      </c>
      <c r="C2539">
        <v>40</v>
      </c>
      <c r="D2539" t="s">
        <v>68</v>
      </c>
      <c r="E2539" t="s">
        <v>45</v>
      </c>
      <c r="F2539" t="s">
        <v>2208</v>
      </c>
    </row>
    <row r="2540" spans="1:6" hidden="1" x14ac:dyDescent="0.2">
      <c r="A2540" s="63">
        <v>45769</v>
      </c>
      <c r="B2540" t="s">
        <v>879</v>
      </c>
      <c r="C2540">
        <v>220.7</v>
      </c>
      <c r="D2540" t="s">
        <v>858</v>
      </c>
      <c r="E2540" t="s">
        <v>45</v>
      </c>
      <c r="F2540" t="s">
        <v>2208</v>
      </c>
    </row>
    <row r="2541" spans="1:6" hidden="1" x14ac:dyDescent="0.2">
      <c r="A2541" s="63">
        <v>45768</v>
      </c>
      <c r="B2541" t="s">
        <v>2321</v>
      </c>
      <c r="C2541">
        <v>20</v>
      </c>
      <c r="D2541" t="s">
        <v>858</v>
      </c>
      <c r="E2541" t="s">
        <v>6</v>
      </c>
      <c r="F2541" t="s">
        <v>2208</v>
      </c>
    </row>
    <row r="2542" spans="1:6" hidden="1" x14ac:dyDescent="0.2">
      <c r="A2542" s="63">
        <v>45768</v>
      </c>
      <c r="B2542" t="s">
        <v>2321</v>
      </c>
      <c r="C2542">
        <v>20</v>
      </c>
      <c r="D2542" t="s">
        <v>858</v>
      </c>
      <c r="E2542" t="s">
        <v>6</v>
      </c>
      <c r="F2542" t="s">
        <v>2208</v>
      </c>
    </row>
    <row r="2543" spans="1:6" hidden="1" x14ac:dyDescent="0.2">
      <c r="A2543" s="63">
        <v>45768</v>
      </c>
      <c r="B2543" t="s">
        <v>557</v>
      </c>
      <c r="C2543">
        <v>11.24</v>
      </c>
      <c r="D2543" t="s">
        <v>514</v>
      </c>
      <c r="E2543" t="s">
        <v>6</v>
      </c>
      <c r="F2543" t="s">
        <v>2208</v>
      </c>
    </row>
    <row r="2544" spans="1:6" hidden="1" x14ac:dyDescent="0.2">
      <c r="A2544" s="63">
        <v>45768</v>
      </c>
      <c r="B2544" t="s">
        <v>495</v>
      </c>
      <c r="C2544">
        <v>14.7</v>
      </c>
      <c r="D2544" t="s">
        <v>469</v>
      </c>
      <c r="E2544" t="s">
        <v>6</v>
      </c>
      <c r="F2544" t="s">
        <v>2208</v>
      </c>
    </row>
    <row r="2545" spans="1:6" hidden="1" x14ac:dyDescent="0.2">
      <c r="A2545" s="63">
        <v>45767</v>
      </c>
      <c r="B2545" t="s">
        <v>2407</v>
      </c>
      <c r="C2545">
        <v>81.08</v>
      </c>
      <c r="D2545" t="s">
        <v>956</v>
      </c>
      <c r="E2545" t="s">
        <v>45</v>
      </c>
      <c r="F2545" t="s">
        <v>2208</v>
      </c>
    </row>
    <row r="2546" spans="1:6" hidden="1" x14ac:dyDescent="0.2">
      <c r="A2546" s="63">
        <v>45767</v>
      </c>
      <c r="B2546" t="s">
        <v>2407</v>
      </c>
      <c r="C2546">
        <v>119.58</v>
      </c>
      <c r="D2546" t="s">
        <v>956</v>
      </c>
      <c r="E2546" t="s">
        <v>45</v>
      </c>
      <c r="F2546" t="s">
        <v>2208</v>
      </c>
    </row>
    <row r="2547" spans="1:6" hidden="1" x14ac:dyDescent="0.2">
      <c r="A2547" s="63">
        <v>45766</v>
      </c>
      <c r="B2547" t="s">
        <v>2212</v>
      </c>
      <c r="C2547">
        <v>274.77</v>
      </c>
      <c r="D2547" t="s">
        <v>901</v>
      </c>
      <c r="E2547" t="s">
        <v>45</v>
      </c>
      <c r="F2547" t="s">
        <v>2208</v>
      </c>
    </row>
    <row r="2548" spans="1:6" hidden="1" x14ac:dyDescent="0.2">
      <c r="A2548" s="63">
        <v>45766</v>
      </c>
      <c r="B2548" t="s">
        <v>2215</v>
      </c>
      <c r="C2548">
        <v>11.56</v>
      </c>
      <c r="D2548" t="s">
        <v>956</v>
      </c>
      <c r="E2548" t="s">
        <v>6</v>
      </c>
      <c r="F2548" t="s">
        <v>2208</v>
      </c>
    </row>
    <row r="2549" spans="1:6" hidden="1" x14ac:dyDescent="0.2">
      <c r="A2549" s="63">
        <v>45765</v>
      </c>
      <c r="B2549" t="s">
        <v>2215</v>
      </c>
      <c r="C2549">
        <v>27.02</v>
      </c>
      <c r="D2549" t="s">
        <v>956</v>
      </c>
      <c r="E2549" t="s">
        <v>6</v>
      </c>
      <c r="F2549" t="s">
        <v>2208</v>
      </c>
    </row>
    <row r="2550" spans="1:6" hidden="1" x14ac:dyDescent="0.2">
      <c r="A2550" s="63">
        <v>45765</v>
      </c>
      <c r="B2550" t="s">
        <v>2337</v>
      </c>
      <c r="C2550">
        <v>25.26</v>
      </c>
      <c r="D2550" t="s">
        <v>165</v>
      </c>
      <c r="E2550" t="s">
        <v>45</v>
      </c>
      <c r="F2550" t="s">
        <v>2208</v>
      </c>
    </row>
    <row r="2551" spans="1:6" hidden="1" x14ac:dyDescent="0.2">
      <c r="A2551" s="63">
        <v>45765</v>
      </c>
      <c r="B2551" t="s">
        <v>2321</v>
      </c>
      <c r="C2551">
        <v>20</v>
      </c>
      <c r="D2551" t="s">
        <v>858</v>
      </c>
      <c r="E2551" t="s">
        <v>6</v>
      </c>
      <c r="F2551" t="s">
        <v>2208</v>
      </c>
    </row>
    <row r="2552" spans="1:6" hidden="1" x14ac:dyDescent="0.2">
      <c r="A2552" s="63">
        <v>45765</v>
      </c>
      <c r="B2552" t="s">
        <v>2321</v>
      </c>
      <c r="C2552">
        <v>20</v>
      </c>
      <c r="D2552" t="s">
        <v>858</v>
      </c>
      <c r="E2552" t="s">
        <v>6</v>
      </c>
      <c r="F2552" t="s">
        <v>2208</v>
      </c>
    </row>
    <row r="2553" spans="1:6" hidden="1" x14ac:dyDescent="0.2">
      <c r="A2553" s="63">
        <v>45765</v>
      </c>
      <c r="B2553" t="s">
        <v>2321</v>
      </c>
      <c r="C2553">
        <v>20</v>
      </c>
      <c r="D2553" t="s">
        <v>858</v>
      </c>
      <c r="E2553" t="s">
        <v>6</v>
      </c>
      <c r="F2553" t="s">
        <v>2208</v>
      </c>
    </row>
    <row r="2554" spans="1:6" hidden="1" x14ac:dyDescent="0.2">
      <c r="A2554" s="63">
        <v>45765</v>
      </c>
      <c r="B2554" t="s">
        <v>557</v>
      </c>
      <c r="C2554">
        <v>31.29</v>
      </c>
      <c r="D2554" t="s">
        <v>514</v>
      </c>
      <c r="E2554" t="s">
        <v>6</v>
      </c>
      <c r="F2554" t="s">
        <v>2208</v>
      </c>
    </row>
    <row r="2555" spans="1:6" hidden="1" x14ac:dyDescent="0.2">
      <c r="A2555" s="63">
        <v>45763</v>
      </c>
      <c r="B2555" t="s">
        <v>2441</v>
      </c>
      <c r="C2555">
        <v>484</v>
      </c>
      <c r="D2555">
        <v>0</v>
      </c>
      <c r="E2555">
        <v>0</v>
      </c>
      <c r="F2555" t="s">
        <v>2208</v>
      </c>
    </row>
    <row r="2556" spans="1:6" hidden="1" x14ac:dyDescent="0.2">
      <c r="A2556" s="63">
        <v>45763</v>
      </c>
      <c r="B2556" t="s">
        <v>1385</v>
      </c>
      <c r="C2556">
        <v>24.2</v>
      </c>
      <c r="D2556" t="s">
        <v>68</v>
      </c>
      <c r="E2556" t="s">
        <v>45</v>
      </c>
      <c r="F2556" t="s">
        <v>2208</v>
      </c>
    </row>
    <row r="2557" spans="1:6" hidden="1" x14ac:dyDescent="0.2">
      <c r="A2557" s="63">
        <v>45763</v>
      </c>
      <c r="B2557" t="s">
        <v>2321</v>
      </c>
      <c r="C2557">
        <v>20</v>
      </c>
      <c r="D2557" t="s">
        <v>858</v>
      </c>
      <c r="E2557" t="s">
        <v>6</v>
      </c>
      <c r="F2557" t="s">
        <v>2208</v>
      </c>
    </row>
    <row r="2558" spans="1:6" hidden="1" x14ac:dyDescent="0.2">
      <c r="A2558" s="63">
        <v>45763</v>
      </c>
      <c r="B2558" t="s">
        <v>511</v>
      </c>
      <c r="C2558">
        <v>125</v>
      </c>
      <c r="D2558" t="s">
        <v>512</v>
      </c>
      <c r="E2558" t="s">
        <v>45</v>
      </c>
      <c r="F2558" t="s">
        <v>2208</v>
      </c>
    </row>
    <row r="2559" spans="1:6" hidden="1" x14ac:dyDescent="0.2">
      <c r="A2559" s="63">
        <v>45763</v>
      </c>
      <c r="B2559" t="s">
        <v>2216</v>
      </c>
      <c r="C2559">
        <v>-8.48</v>
      </c>
      <c r="D2559" t="s">
        <v>956</v>
      </c>
      <c r="E2559" t="s">
        <v>6</v>
      </c>
      <c r="F2559" t="s">
        <v>2208</v>
      </c>
    </row>
    <row r="2560" spans="1:6" hidden="1" x14ac:dyDescent="0.2">
      <c r="A2560" s="63">
        <v>45763</v>
      </c>
      <c r="B2560" t="s">
        <v>495</v>
      </c>
      <c r="C2560">
        <v>14.5</v>
      </c>
      <c r="D2560" t="s">
        <v>469</v>
      </c>
      <c r="E2560" t="s">
        <v>6</v>
      </c>
      <c r="F2560" t="s">
        <v>2208</v>
      </c>
    </row>
    <row r="2561" spans="1:6" hidden="1" x14ac:dyDescent="0.2">
      <c r="A2561" s="63">
        <v>45762</v>
      </c>
      <c r="B2561" t="s">
        <v>495</v>
      </c>
      <c r="C2561">
        <v>9.0299999999999994</v>
      </c>
      <c r="D2561" t="s">
        <v>469</v>
      </c>
      <c r="E2561" t="s">
        <v>6</v>
      </c>
      <c r="F2561" t="s">
        <v>2208</v>
      </c>
    </row>
    <row r="2562" spans="1:6" hidden="1" x14ac:dyDescent="0.2">
      <c r="A2562" s="63">
        <v>45762</v>
      </c>
      <c r="B2562" t="s">
        <v>495</v>
      </c>
      <c r="C2562">
        <v>12.08</v>
      </c>
      <c r="D2562" t="s">
        <v>469</v>
      </c>
      <c r="E2562" t="s">
        <v>6</v>
      </c>
      <c r="F2562" t="s">
        <v>2208</v>
      </c>
    </row>
    <row r="2563" spans="1:6" hidden="1" x14ac:dyDescent="0.2">
      <c r="A2563" s="63">
        <v>45761</v>
      </c>
      <c r="B2563" t="s">
        <v>2285</v>
      </c>
      <c r="C2563">
        <v>11.82</v>
      </c>
      <c r="D2563" t="s">
        <v>639</v>
      </c>
      <c r="E2563" t="s">
        <v>6</v>
      </c>
      <c r="F2563" t="s">
        <v>2208</v>
      </c>
    </row>
    <row r="2564" spans="1:6" hidden="1" x14ac:dyDescent="0.2">
      <c r="A2564" s="63">
        <v>45761</v>
      </c>
      <c r="B2564" t="s">
        <v>2215</v>
      </c>
      <c r="C2564">
        <v>-133.94999999999999</v>
      </c>
      <c r="D2564" t="s">
        <v>956</v>
      </c>
      <c r="E2564" t="s">
        <v>6</v>
      </c>
      <c r="F2564" t="s">
        <v>2208</v>
      </c>
    </row>
    <row r="2565" spans="1:6" hidden="1" x14ac:dyDescent="0.2">
      <c r="A2565" s="63">
        <v>45761</v>
      </c>
      <c r="B2565" t="s">
        <v>495</v>
      </c>
      <c r="C2565">
        <v>13.22</v>
      </c>
      <c r="D2565" t="s">
        <v>469</v>
      </c>
      <c r="E2565" t="s">
        <v>6</v>
      </c>
      <c r="F2565" t="s">
        <v>2208</v>
      </c>
    </row>
    <row r="2566" spans="1:6" hidden="1" x14ac:dyDescent="0.2">
      <c r="A2566" s="63">
        <v>45760</v>
      </c>
      <c r="B2566" t="s">
        <v>2352</v>
      </c>
      <c r="C2566">
        <v>32.979999999999997</v>
      </c>
      <c r="D2566">
        <v>0</v>
      </c>
      <c r="E2566">
        <v>0</v>
      </c>
      <c r="F2566" t="s">
        <v>2208</v>
      </c>
    </row>
    <row r="2567" spans="1:6" hidden="1" x14ac:dyDescent="0.2">
      <c r="A2567" s="63">
        <v>45760</v>
      </c>
      <c r="B2567" t="s">
        <v>2235</v>
      </c>
      <c r="C2567">
        <v>3.79</v>
      </c>
      <c r="D2567" t="s">
        <v>5</v>
      </c>
      <c r="E2567" t="s">
        <v>6</v>
      </c>
      <c r="F2567" t="s">
        <v>2208</v>
      </c>
    </row>
    <row r="2568" spans="1:6" hidden="1" x14ac:dyDescent="0.2">
      <c r="A2568" s="63">
        <v>45760</v>
      </c>
      <c r="B2568" t="s">
        <v>2236</v>
      </c>
      <c r="C2568">
        <v>12.89</v>
      </c>
      <c r="D2568" t="s">
        <v>956</v>
      </c>
      <c r="E2568" t="s">
        <v>6</v>
      </c>
      <c r="F2568" t="s">
        <v>2208</v>
      </c>
    </row>
    <row r="2569" spans="1:6" hidden="1" x14ac:dyDescent="0.2">
      <c r="A2569" s="63">
        <v>45760</v>
      </c>
      <c r="B2569" t="s">
        <v>2215</v>
      </c>
      <c r="C2569">
        <v>133.94999999999999</v>
      </c>
      <c r="D2569" t="s">
        <v>956</v>
      </c>
      <c r="E2569" t="s">
        <v>6</v>
      </c>
      <c r="F2569" t="s">
        <v>2208</v>
      </c>
    </row>
    <row r="2570" spans="1:6" hidden="1" x14ac:dyDescent="0.2">
      <c r="A2570" s="63">
        <v>45760</v>
      </c>
      <c r="B2570" t="s">
        <v>2267</v>
      </c>
      <c r="C2570">
        <v>17.920000000000002</v>
      </c>
      <c r="D2570" t="s">
        <v>165</v>
      </c>
      <c r="E2570" t="s">
        <v>45</v>
      </c>
      <c r="F2570" t="s">
        <v>2208</v>
      </c>
    </row>
    <row r="2571" spans="1:6" hidden="1" x14ac:dyDescent="0.2">
      <c r="A2571" s="63">
        <v>45760</v>
      </c>
      <c r="B2571" t="s">
        <v>2321</v>
      </c>
      <c r="C2571">
        <v>20</v>
      </c>
      <c r="D2571" t="s">
        <v>858</v>
      </c>
      <c r="E2571" t="s">
        <v>6</v>
      </c>
      <c r="F2571" t="s">
        <v>2208</v>
      </c>
    </row>
    <row r="2572" spans="1:6" hidden="1" x14ac:dyDescent="0.2">
      <c r="A2572" s="63">
        <v>45760</v>
      </c>
      <c r="B2572" t="s">
        <v>2387</v>
      </c>
      <c r="C2572">
        <v>58.81</v>
      </c>
      <c r="D2572" t="s">
        <v>956</v>
      </c>
      <c r="E2572" t="s">
        <v>45</v>
      </c>
      <c r="F2572" t="s">
        <v>2208</v>
      </c>
    </row>
    <row r="2573" spans="1:6" hidden="1" x14ac:dyDescent="0.2">
      <c r="A2573" s="63">
        <v>45760</v>
      </c>
      <c r="B2573" t="s">
        <v>2420</v>
      </c>
      <c r="C2573">
        <v>128.19</v>
      </c>
      <c r="D2573" t="s">
        <v>956</v>
      </c>
      <c r="E2573" t="s">
        <v>6</v>
      </c>
      <c r="F2573" t="s">
        <v>2208</v>
      </c>
    </row>
    <row r="2574" spans="1:6" hidden="1" x14ac:dyDescent="0.2">
      <c r="A2574" s="63">
        <v>45760</v>
      </c>
      <c r="B2574" t="s">
        <v>855</v>
      </c>
      <c r="C2574">
        <v>46.68</v>
      </c>
      <c r="D2574" t="s">
        <v>848</v>
      </c>
      <c r="E2574" t="s">
        <v>6</v>
      </c>
      <c r="F2574" t="s">
        <v>2208</v>
      </c>
    </row>
    <row r="2575" spans="1:6" hidden="1" x14ac:dyDescent="0.2">
      <c r="A2575" s="63">
        <v>45760</v>
      </c>
      <c r="B2575" t="s">
        <v>2219</v>
      </c>
      <c r="C2575">
        <v>1.04</v>
      </c>
      <c r="D2575">
        <v>0</v>
      </c>
      <c r="E2575">
        <v>0</v>
      </c>
      <c r="F2575" t="s">
        <v>2208</v>
      </c>
    </row>
    <row r="2576" spans="1:6" hidden="1" x14ac:dyDescent="0.2">
      <c r="A2576" s="63">
        <v>45759</v>
      </c>
      <c r="B2576" t="s">
        <v>2236</v>
      </c>
      <c r="C2576">
        <v>16.829999999999998</v>
      </c>
      <c r="D2576" t="s">
        <v>956</v>
      </c>
      <c r="E2576" t="s">
        <v>6</v>
      </c>
      <c r="F2576" t="s">
        <v>2208</v>
      </c>
    </row>
    <row r="2577" spans="1:6" hidden="1" x14ac:dyDescent="0.2">
      <c r="A2577" s="63">
        <v>45759</v>
      </c>
      <c r="B2577" t="s">
        <v>2396</v>
      </c>
      <c r="C2577">
        <v>67.52</v>
      </c>
      <c r="D2577" t="s">
        <v>5</v>
      </c>
      <c r="E2577" t="s">
        <v>6</v>
      </c>
      <c r="F2577" t="s">
        <v>2208</v>
      </c>
    </row>
    <row r="2578" spans="1:6" hidden="1" x14ac:dyDescent="0.2">
      <c r="A2578" s="63">
        <v>45759</v>
      </c>
      <c r="B2578" t="s">
        <v>2319</v>
      </c>
      <c r="C2578">
        <v>20.62</v>
      </c>
      <c r="D2578">
        <v>0</v>
      </c>
      <c r="E2578">
        <v>0</v>
      </c>
      <c r="F2578" t="s">
        <v>2208</v>
      </c>
    </row>
    <row r="2579" spans="1:6" hidden="1" x14ac:dyDescent="0.2">
      <c r="A2579" s="63">
        <v>45758</v>
      </c>
      <c r="B2579" t="s">
        <v>2215</v>
      </c>
      <c r="C2579">
        <v>30.67</v>
      </c>
      <c r="D2579" t="s">
        <v>956</v>
      </c>
      <c r="E2579" t="s">
        <v>6</v>
      </c>
      <c r="F2579" t="s">
        <v>2208</v>
      </c>
    </row>
    <row r="2580" spans="1:6" hidden="1" x14ac:dyDescent="0.2">
      <c r="A2580" s="63">
        <v>45758</v>
      </c>
      <c r="B2580" t="s">
        <v>2409</v>
      </c>
      <c r="C2580">
        <v>85.83</v>
      </c>
      <c r="D2580" t="s">
        <v>956</v>
      </c>
      <c r="E2580" t="s">
        <v>6</v>
      </c>
      <c r="F2580" t="s">
        <v>2208</v>
      </c>
    </row>
    <row r="2581" spans="1:6" hidden="1" x14ac:dyDescent="0.2">
      <c r="A2581" s="63">
        <v>45758</v>
      </c>
      <c r="B2581" t="s">
        <v>2321</v>
      </c>
      <c r="C2581">
        <v>20</v>
      </c>
      <c r="D2581" t="s">
        <v>858</v>
      </c>
      <c r="E2581" t="s">
        <v>6</v>
      </c>
      <c r="F2581" t="s">
        <v>2208</v>
      </c>
    </row>
    <row r="2582" spans="1:6" hidden="1" x14ac:dyDescent="0.2">
      <c r="A2582" s="63">
        <v>45758</v>
      </c>
      <c r="B2582" t="s">
        <v>2359</v>
      </c>
      <c r="C2582">
        <v>37.31</v>
      </c>
      <c r="D2582" t="s">
        <v>514</v>
      </c>
      <c r="E2582" t="s">
        <v>6</v>
      </c>
      <c r="F2582" t="s">
        <v>2208</v>
      </c>
    </row>
    <row r="2583" spans="1:6" hidden="1" x14ac:dyDescent="0.2">
      <c r="A2583" s="63">
        <v>45758</v>
      </c>
      <c r="B2583" t="s">
        <v>2413</v>
      </c>
      <c r="C2583">
        <v>107.59</v>
      </c>
      <c r="D2583" t="s">
        <v>5</v>
      </c>
      <c r="E2583" t="s">
        <v>6</v>
      </c>
      <c r="F2583" t="s">
        <v>2208</v>
      </c>
    </row>
    <row r="2584" spans="1:6" hidden="1" x14ac:dyDescent="0.2">
      <c r="A2584" s="63">
        <v>45757</v>
      </c>
      <c r="B2584" t="s">
        <v>859</v>
      </c>
      <c r="C2584">
        <v>95.42</v>
      </c>
      <c r="D2584" t="s">
        <v>858</v>
      </c>
      <c r="E2584" t="s">
        <v>45</v>
      </c>
      <c r="F2584" t="s">
        <v>2208</v>
      </c>
    </row>
    <row r="2585" spans="1:6" hidden="1" x14ac:dyDescent="0.2">
      <c r="A2585" s="63">
        <v>45757</v>
      </c>
      <c r="B2585" t="s">
        <v>2405</v>
      </c>
      <c r="C2585">
        <v>78.12</v>
      </c>
      <c r="D2585" t="s">
        <v>165</v>
      </c>
      <c r="E2585" t="s">
        <v>45</v>
      </c>
      <c r="F2585" t="s">
        <v>2208</v>
      </c>
    </row>
    <row r="2586" spans="1:6" hidden="1" x14ac:dyDescent="0.2">
      <c r="A2586" s="63">
        <v>45756</v>
      </c>
      <c r="B2586" t="s">
        <v>2288</v>
      </c>
      <c r="C2586">
        <v>12</v>
      </c>
      <c r="D2586">
        <v>0</v>
      </c>
      <c r="E2586">
        <v>0</v>
      </c>
      <c r="F2586" t="s">
        <v>2208</v>
      </c>
    </row>
    <row r="2587" spans="1:6" hidden="1" x14ac:dyDescent="0.2">
      <c r="A2587" s="63">
        <v>45755</v>
      </c>
      <c r="B2587" t="s">
        <v>1401</v>
      </c>
      <c r="C2587">
        <v>-1400</v>
      </c>
      <c r="D2587" t="s">
        <v>77</v>
      </c>
      <c r="E2587" t="s">
        <v>6</v>
      </c>
      <c r="F2587" t="s">
        <v>2208</v>
      </c>
    </row>
    <row r="2588" spans="1:6" hidden="1" x14ac:dyDescent="0.2">
      <c r="A2588" s="63">
        <v>45755</v>
      </c>
      <c r="B2588" t="s">
        <v>2331</v>
      </c>
      <c r="C2588">
        <v>23.15</v>
      </c>
      <c r="D2588" t="s">
        <v>165</v>
      </c>
      <c r="E2588" t="s">
        <v>45</v>
      </c>
      <c r="F2588" t="s">
        <v>2208</v>
      </c>
    </row>
    <row r="2589" spans="1:6" hidden="1" x14ac:dyDescent="0.2">
      <c r="A2589" s="63">
        <v>45754</v>
      </c>
      <c r="B2589" t="s">
        <v>2224</v>
      </c>
      <c r="C2589">
        <v>2.09</v>
      </c>
      <c r="D2589" t="s">
        <v>514</v>
      </c>
      <c r="E2589" t="s">
        <v>6</v>
      </c>
      <c r="F2589" t="s">
        <v>2208</v>
      </c>
    </row>
    <row r="2590" spans="1:6" hidden="1" x14ac:dyDescent="0.2">
      <c r="A2590" s="63">
        <v>45754</v>
      </c>
      <c r="B2590" t="s">
        <v>2224</v>
      </c>
      <c r="C2590">
        <v>3.46</v>
      </c>
      <c r="D2590" t="s">
        <v>514</v>
      </c>
      <c r="E2590" t="s">
        <v>6</v>
      </c>
      <c r="F2590" t="s">
        <v>2208</v>
      </c>
    </row>
    <row r="2591" spans="1:6" hidden="1" x14ac:dyDescent="0.2">
      <c r="A2591" s="63">
        <v>45754</v>
      </c>
      <c r="B2591" t="s">
        <v>2321</v>
      </c>
      <c r="C2591">
        <v>20</v>
      </c>
      <c r="D2591" t="s">
        <v>858</v>
      </c>
      <c r="E2591" t="s">
        <v>6</v>
      </c>
      <c r="F2591" t="s">
        <v>2208</v>
      </c>
    </row>
    <row r="2592" spans="1:6" hidden="1" x14ac:dyDescent="0.2">
      <c r="A2592" s="63">
        <v>45754</v>
      </c>
      <c r="B2592" t="s">
        <v>2263</v>
      </c>
      <c r="C2592">
        <v>8</v>
      </c>
      <c r="D2592" t="s">
        <v>901</v>
      </c>
      <c r="E2592" t="s">
        <v>45</v>
      </c>
      <c r="F2592" t="s">
        <v>2208</v>
      </c>
    </row>
    <row r="2593" spans="1:6" hidden="1" x14ac:dyDescent="0.2">
      <c r="A2593" s="63">
        <v>45754</v>
      </c>
      <c r="B2593" t="s">
        <v>2241</v>
      </c>
      <c r="C2593">
        <v>12.08</v>
      </c>
      <c r="D2593" t="s">
        <v>165</v>
      </c>
      <c r="E2593" t="s">
        <v>45</v>
      </c>
      <c r="F2593" t="s">
        <v>2208</v>
      </c>
    </row>
    <row r="2594" spans="1:6" hidden="1" x14ac:dyDescent="0.2">
      <c r="A2594" s="63">
        <v>45754</v>
      </c>
      <c r="B2594" t="s">
        <v>2241</v>
      </c>
      <c r="C2594">
        <v>13.22</v>
      </c>
      <c r="D2594" t="s">
        <v>165</v>
      </c>
      <c r="E2594" t="s">
        <v>45</v>
      </c>
      <c r="F2594" t="s">
        <v>2208</v>
      </c>
    </row>
    <row r="2595" spans="1:6" hidden="1" x14ac:dyDescent="0.2">
      <c r="A2595" s="63">
        <v>45753</v>
      </c>
      <c r="B2595" t="s">
        <v>2249</v>
      </c>
      <c r="C2595">
        <v>5.87</v>
      </c>
      <c r="D2595" t="s">
        <v>639</v>
      </c>
      <c r="E2595" t="s">
        <v>6</v>
      </c>
      <c r="F2595" t="s">
        <v>2208</v>
      </c>
    </row>
    <row r="2596" spans="1:6" hidden="1" x14ac:dyDescent="0.2">
      <c r="A2596" s="63">
        <v>45752</v>
      </c>
      <c r="B2596" t="s">
        <v>2311</v>
      </c>
      <c r="C2596">
        <v>16.78</v>
      </c>
      <c r="D2596" t="s">
        <v>858</v>
      </c>
      <c r="E2596" t="s">
        <v>6</v>
      </c>
      <c r="F2596" t="s">
        <v>2208</v>
      </c>
    </row>
    <row r="2597" spans="1:6" hidden="1" x14ac:dyDescent="0.2">
      <c r="A2597" s="63">
        <v>45752</v>
      </c>
      <c r="B2597" t="s">
        <v>1408</v>
      </c>
      <c r="C2597">
        <v>66.2</v>
      </c>
      <c r="D2597" t="s">
        <v>858</v>
      </c>
      <c r="E2597" t="s">
        <v>6</v>
      </c>
      <c r="F2597" t="s">
        <v>2208</v>
      </c>
    </row>
    <row r="2598" spans="1:6" hidden="1" x14ac:dyDescent="0.2">
      <c r="A2598" s="63">
        <v>45751</v>
      </c>
      <c r="B2598" t="s">
        <v>2321</v>
      </c>
      <c r="C2598">
        <v>20</v>
      </c>
      <c r="D2598" t="s">
        <v>858</v>
      </c>
      <c r="E2598" t="s">
        <v>6</v>
      </c>
      <c r="F2598" t="s">
        <v>2208</v>
      </c>
    </row>
    <row r="2599" spans="1:6" hidden="1" x14ac:dyDescent="0.2">
      <c r="A2599" s="63">
        <v>45751</v>
      </c>
      <c r="B2599" t="s">
        <v>2241</v>
      </c>
      <c r="C2599">
        <v>7.57</v>
      </c>
      <c r="D2599" t="s">
        <v>165</v>
      </c>
      <c r="E2599" t="s">
        <v>45</v>
      </c>
      <c r="F2599" t="s">
        <v>2208</v>
      </c>
    </row>
    <row r="2600" spans="1:6" hidden="1" x14ac:dyDescent="0.2">
      <c r="A2600" s="63">
        <v>45751</v>
      </c>
      <c r="B2600" t="s">
        <v>2241</v>
      </c>
      <c r="C2600">
        <v>12.13</v>
      </c>
      <c r="D2600" t="s">
        <v>165</v>
      </c>
      <c r="E2600" t="s">
        <v>45</v>
      </c>
      <c r="F2600" t="s">
        <v>2208</v>
      </c>
    </row>
    <row r="2601" spans="1:6" hidden="1" x14ac:dyDescent="0.2">
      <c r="A2601" s="63">
        <v>45750</v>
      </c>
      <c r="B2601" t="s">
        <v>2321</v>
      </c>
      <c r="C2601">
        <v>20</v>
      </c>
      <c r="D2601" t="s">
        <v>858</v>
      </c>
      <c r="E2601" t="s">
        <v>6</v>
      </c>
      <c r="F2601" t="s">
        <v>2208</v>
      </c>
    </row>
    <row r="2602" spans="1:6" hidden="1" x14ac:dyDescent="0.2">
      <c r="A2602" s="63">
        <v>45750</v>
      </c>
      <c r="B2602" t="s">
        <v>2321</v>
      </c>
      <c r="C2602">
        <v>20</v>
      </c>
      <c r="D2602" t="s">
        <v>858</v>
      </c>
      <c r="E2602" t="s">
        <v>6</v>
      </c>
      <c r="F2602" t="s">
        <v>2208</v>
      </c>
    </row>
    <row r="2603" spans="1:6" hidden="1" x14ac:dyDescent="0.2">
      <c r="A2603" s="63">
        <v>45749</v>
      </c>
      <c r="B2603" t="s">
        <v>931</v>
      </c>
      <c r="C2603">
        <v>3.3</v>
      </c>
      <c r="D2603" t="s">
        <v>901</v>
      </c>
      <c r="E2603" t="s">
        <v>6</v>
      </c>
      <c r="F2603" t="s">
        <v>2208</v>
      </c>
    </row>
    <row r="2604" spans="1:6" hidden="1" x14ac:dyDescent="0.2">
      <c r="A2604" s="63">
        <v>45748</v>
      </c>
      <c r="B2604" t="s">
        <v>2226</v>
      </c>
      <c r="C2604">
        <v>2.66</v>
      </c>
      <c r="D2604" t="s">
        <v>5</v>
      </c>
      <c r="E2604" t="s">
        <v>6</v>
      </c>
      <c r="F2604" t="s">
        <v>2208</v>
      </c>
    </row>
    <row r="2605" spans="1:6" hidden="1" x14ac:dyDescent="0.2">
      <c r="A2605" s="63">
        <v>45747</v>
      </c>
      <c r="B2605" t="s">
        <v>2273</v>
      </c>
      <c r="C2605">
        <v>9.73</v>
      </c>
      <c r="D2605" t="s">
        <v>956</v>
      </c>
      <c r="E2605" t="s">
        <v>6</v>
      </c>
      <c r="F2605" t="s">
        <v>2208</v>
      </c>
    </row>
    <row r="2606" spans="1:6" hidden="1" x14ac:dyDescent="0.2">
      <c r="A2606" s="63">
        <v>45747</v>
      </c>
      <c r="B2606" t="s">
        <v>2272</v>
      </c>
      <c r="C2606">
        <v>9.66</v>
      </c>
      <c r="D2606" t="s">
        <v>514</v>
      </c>
      <c r="E2606" t="s">
        <v>6</v>
      </c>
      <c r="F2606" t="s">
        <v>2208</v>
      </c>
    </row>
    <row r="2607" spans="1:6" hidden="1" x14ac:dyDescent="0.2">
      <c r="A2607" s="63">
        <v>45747</v>
      </c>
      <c r="B2607" t="s">
        <v>2215</v>
      </c>
      <c r="C2607">
        <v>22.83</v>
      </c>
      <c r="D2607" t="s">
        <v>956</v>
      </c>
      <c r="E2607" t="s">
        <v>6</v>
      </c>
      <c r="F2607" t="s">
        <v>2208</v>
      </c>
    </row>
    <row r="2608" spans="1:6" hidden="1" x14ac:dyDescent="0.2">
      <c r="A2608" s="63">
        <v>45747</v>
      </c>
      <c r="B2608" t="s">
        <v>859</v>
      </c>
      <c r="C2608">
        <v>22.07</v>
      </c>
      <c r="D2608" t="s">
        <v>858</v>
      </c>
      <c r="E2608" t="s">
        <v>45</v>
      </c>
      <c r="F2608" t="s">
        <v>2208</v>
      </c>
    </row>
    <row r="2609" spans="1:6" hidden="1" x14ac:dyDescent="0.2">
      <c r="A2609" s="63">
        <v>45747</v>
      </c>
      <c r="B2609" t="s">
        <v>2241</v>
      </c>
      <c r="C2609">
        <v>12.21</v>
      </c>
      <c r="D2609" t="s">
        <v>165</v>
      </c>
      <c r="E2609" t="s">
        <v>45</v>
      </c>
      <c r="F2609" t="s">
        <v>2208</v>
      </c>
    </row>
    <row r="2610" spans="1:6" hidden="1" x14ac:dyDescent="0.2">
      <c r="A2610" s="63">
        <v>45747</v>
      </c>
      <c r="B2610" t="s">
        <v>496</v>
      </c>
      <c r="C2610">
        <v>33.03</v>
      </c>
      <c r="D2610" t="s">
        <v>469</v>
      </c>
      <c r="E2610" t="s">
        <v>6</v>
      </c>
      <c r="F2610" t="s">
        <v>2208</v>
      </c>
    </row>
    <row r="2611" spans="1:6" hidden="1" x14ac:dyDescent="0.2">
      <c r="A2611" s="63">
        <v>45746</v>
      </c>
      <c r="B2611" t="s">
        <v>2215</v>
      </c>
      <c r="C2611">
        <v>6.3</v>
      </c>
      <c r="D2611" t="s">
        <v>956</v>
      </c>
      <c r="E2611" t="s">
        <v>6</v>
      </c>
      <c r="F2611" t="s">
        <v>2208</v>
      </c>
    </row>
    <row r="2612" spans="1:6" hidden="1" x14ac:dyDescent="0.2">
      <c r="A2612" s="63">
        <v>45745</v>
      </c>
      <c r="B2612" t="s">
        <v>2368</v>
      </c>
      <c r="C2612">
        <v>41.07</v>
      </c>
      <c r="D2612" t="s">
        <v>512</v>
      </c>
      <c r="E2612" t="s">
        <v>45</v>
      </c>
      <c r="F2612" t="s">
        <v>2208</v>
      </c>
    </row>
    <row r="2613" spans="1:6" hidden="1" x14ac:dyDescent="0.2">
      <c r="A2613" s="63">
        <v>45745</v>
      </c>
      <c r="B2613" t="s">
        <v>2419</v>
      </c>
      <c r="C2613">
        <v>126.19</v>
      </c>
      <c r="D2613" t="s">
        <v>956</v>
      </c>
      <c r="E2613" t="s">
        <v>45</v>
      </c>
      <c r="F2613" t="s">
        <v>2208</v>
      </c>
    </row>
    <row r="2614" spans="1:6" hidden="1" x14ac:dyDescent="0.2">
      <c r="A2614" s="63">
        <v>45745</v>
      </c>
      <c r="B2614" t="s">
        <v>2325</v>
      </c>
      <c r="C2614">
        <v>20.69</v>
      </c>
      <c r="D2614" t="s">
        <v>956</v>
      </c>
      <c r="E2614" t="s">
        <v>45</v>
      </c>
      <c r="F2614" t="s">
        <v>2208</v>
      </c>
    </row>
    <row r="2615" spans="1:6" hidden="1" x14ac:dyDescent="0.2">
      <c r="A2615" s="63">
        <v>45744</v>
      </c>
      <c r="B2615" t="s">
        <v>2358</v>
      </c>
      <c r="C2615">
        <v>34.549999999999997</v>
      </c>
      <c r="D2615" t="s">
        <v>165</v>
      </c>
      <c r="E2615" t="s">
        <v>45</v>
      </c>
      <c r="F2615" t="s">
        <v>2208</v>
      </c>
    </row>
    <row r="2616" spans="1:6" hidden="1" x14ac:dyDescent="0.2">
      <c r="A2616" s="63">
        <v>45744</v>
      </c>
      <c r="B2616" t="s">
        <v>2304</v>
      </c>
      <c r="C2616">
        <v>15.66</v>
      </c>
      <c r="D2616" t="s">
        <v>600</v>
      </c>
      <c r="E2616" t="s">
        <v>6</v>
      </c>
      <c r="F2616" t="s">
        <v>2208</v>
      </c>
    </row>
    <row r="2617" spans="1:6" hidden="1" x14ac:dyDescent="0.2">
      <c r="A2617" s="63">
        <v>45744</v>
      </c>
      <c r="B2617" t="s">
        <v>2370</v>
      </c>
      <c r="C2617">
        <v>42.4</v>
      </c>
      <c r="D2617" t="s">
        <v>165</v>
      </c>
      <c r="E2617" t="s">
        <v>45</v>
      </c>
      <c r="F2617" t="s">
        <v>2208</v>
      </c>
    </row>
    <row r="2618" spans="1:6" hidden="1" x14ac:dyDescent="0.2">
      <c r="A2618" s="63">
        <v>45743</v>
      </c>
      <c r="B2618" t="s">
        <v>2215</v>
      </c>
      <c r="C2618">
        <v>29.47</v>
      </c>
      <c r="D2618" t="s">
        <v>956</v>
      </c>
      <c r="E2618" t="s">
        <v>6</v>
      </c>
      <c r="F2618" t="s">
        <v>2208</v>
      </c>
    </row>
    <row r="2619" spans="1:6" hidden="1" x14ac:dyDescent="0.2">
      <c r="A2619" s="63">
        <v>45743</v>
      </c>
      <c r="B2619" t="s">
        <v>2303</v>
      </c>
      <c r="C2619">
        <v>15.4</v>
      </c>
      <c r="D2619" t="s">
        <v>956</v>
      </c>
      <c r="E2619" t="s">
        <v>45</v>
      </c>
      <c r="F2619" t="s">
        <v>2208</v>
      </c>
    </row>
    <row r="2620" spans="1:6" hidden="1" x14ac:dyDescent="0.2">
      <c r="A2620" s="63">
        <v>45742</v>
      </c>
      <c r="B2620" t="s">
        <v>2424</v>
      </c>
      <c r="C2620">
        <v>184.24</v>
      </c>
      <c r="D2620" t="s">
        <v>956</v>
      </c>
      <c r="E2620" t="s">
        <v>45</v>
      </c>
      <c r="F2620" t="s">
        <v>2208</v>
      </c>
    </row>
    <row r="2621" spans="1:6" hidden="1" x14ac:dyDescent="0.2">
      <c r="A2621" s="63">
        <v>45742</v>
      </c>
      <c r="B2621" t="s">
        <v>2268</v>
      </c>
      <c r="C2621">
        <v>8.92</v>
      </c>
      <c r="D2621">
        <v>0</v>
      </c>
      <c r="E2621">
        <v>0</v>
      </c>
      <c r="F2621" t="s">
        <v>2208</v>
      </c>
    </row>
    <row r="2622" spans="1:6" hidden="1" x14ac:dyDescent="0.2">
      <c r="A2622" s="63">
        <v>45741</v>
      </c>
      <c r="B2622" t="s">
        <v>2242</v>
      </c>
      <c r="C2622">
        <v>5</v>
      </c>
      <c r="D2622" t="s">
        <v>165</v>
      </c>
      <c r="E2622" t="s">
        <v>45</v>
      </c>
      <c r="F2622" t="s">
        <v>2208</v>
      </c>
    </row>
    <row r="2623" spans="1:6" hidden="1" x14ac:dyDescent="0.2">
      <c r="A2623" s="63">
        <v>45741</v>
      </c>
      <c r="B2623" t="s">
        <v>2339</v>
      </c>
      <c r="C2623">
        <v>27.25</v>
      </c>
      <c r="D2623" t="s">
        <v>469</v>
      </c>
      <c r="E2623" t="s">
        <v>45</v>
      </c>
      <c r="F2623" t="s">
        <v>2208</v>
      </c>
    </row>
    <row r="2624" spans="1:6" hidden="1" x14ac:dyDescent="0.2">
      <c r="A2624" s="63">
        <v>45741</v>
      </c>
      <c r="B2624" t="s">
        <v>1283</v>
      </c>
      <c r="C2624">
        <v>-2415.38</v>
      </c>
      <c r="D2624" t="s">
        <v>77</v>
      </c>
      <c r="E2624" t="s">
        <v>6</v>
      </c>
      <c r="F2624" t="s">
        <v>2208</v>
      </c>
    </row>
    <row r="2625" spans="1:6" hidden="1" x14ac:dyDescent="0.2">
      <c r="A2625" s="63">
        <v>45741</v>
      </c>
      <c r="B2625" t="s">
        <v>2422</v>
      </c>
      <c r="C2625">
        <v>165.75</v>
      </c>
      <c r="D2625">
        <v>0</v>
      </c>
      <c r="E2625">
        <v>0</v>
      </c>
      <c r="F2625" t="s">
        <v>2208</v>
      </c>
    </row>
    <row r="2626" spans="1:6" hidden="1" x14ac:dyDescent="0.2">
      <c r="A2626" s="63">
        <v>45740</v>
      </c>
      <c r="B2626" t="s">
        <v>2243</v>
      </c>
      <c r="C2626">
        <v>5.03</v>
      </c>
      <c r="D2626" t="s">
        <v>956</v>
      </c>
      <c r="E2626" t="s">
        <v>45</v>
      </c>
      <c r="F2626" t="s">
        <v>2208</v>
      </c>
    </row>
    <row r="2627" spans="1:6" hidden="1" x14ac:dyDescent="0.2">
      <c r="A2627" s="63">
        <v>45740</v>
      </c>
      <c r="B2627" t="s">
        <v>942</v>
      </c>
      <c r="C2627">
        <v>-1600</v>
      </c>
      <c r="D2627" t="s">
        <v>77</v>
      </c>
      <c r="E2627" t="s">
        <v>6</v>
      </c>
      <c r="F2627" t="s">
        <v>2208</v>
      </c>
    </row>
    <row r="2628" spans="1:6" hidden="1" x14ac:dyDescent="0.2">
      <c r="A2628" s="63">
        <v>45739</v>
      </c>
      <c r="B2628" t="s">
        <v>2234</v>
      </c>
      <c r="C2628">
        <v>3.72</v>
      </c>
      <c r="D2628" t="s">
        <v>956</v>
      </c>
      <c r="E2628" t="s">
        <v>45</v>
      </c>
      <c r="F2628" t="s">
        <v>2208</v>
      </c>
    </row>
    <row r="2629" spans="1:6" hidden="1" x14ac:dyDescent="0.2">
      <c r="A2629" s="63">
        <v>45739</v>
      </c>
      <c r="B2629" t="s">
        <v>2423</v>
      </c>
      <c r="C2629">
        <v>179.35</v>
      </c>
      <c r="D2629" t="s">
        <v>165</v>
      </c>
      <c r="E2629" t="s">
        <v>45</v>
      </c>
      <c r="F2629" t="s">
        <v>2208</v>
      </c>
    </row>
    <row r="2630" spans="1:6" hidden="1" x14ac:dyDescent="0.2">
      <c r="A2630" s="63">
        <v>45739</v>
      </c>
      <c r="B2630" t="s">
        <v>2238</v>
      </c>
      <c r="C2630">
        <v>4.34</v>
      </c>
      <c r="D2630">
        <v>0</v>
      </c>
      <c r="E2630">
        <v>0</v>
      </c>
      <c r="F2630" t="s">
        <v>2208</v>
      </c>
    </row>
    <row r="2631" spans="1:6" hidden="1" x14ac:dyDescent="0.2">
      <c r="A2631" s="63">
        <v>45739</v>
      </c>
      <c r="B2631" t="s">
        <v>861</v>
      </c>
      <c r="C2631">
        <v>20</v>
      </c>
      <c r="D2631" t="s">
        <v>858</v>
      </c>
      <c r="E2631" t="s">
        <v>45</v>
      </c>
      <c r="F2631" t="s">
        <v>2208</v>
      </c>
    </row>
    <row r="2632" spans="1:6" hidden="1" x14ac:dyDescent="0.2">
      <c r="A2632" s="63">
        <v>45739</v>
      </c>
      <c r="B2632" t="s">
        <v>2381</v>
      </c>
      <c r="C2632">
        <v>56.77</v>
      </c>
      <c r="D2632" t="s">
        <v>956</v>
      </c>
      <c r="E2632" t="s">
        <v>45</v>
      </c>
      <c r="F2632" t="s">
        <v>2208</v>
      </c>
    </row>
    <row r="2633" spans="1:6" hidden="1" x14ac:dyDescent="0.2">
      <c r="A2633" s="63">
        <v>45738</v>
      </c>
      <c r="B2633" t="s">
        <v>2322</v>
      </c>
      <c r="C2633">
        <v>20</v>
      </c>
      <c r="D2633" t="s">
        <v>858</v>
      </c>
      <c r="E2633" t="s">
        <v>6</v>
      </c>
      <c r="F2633" t="s">
        <v>2208</v>
      </c>
    </row>
    <row r="2634" spans="1:6" hidden="1" x14ac:dyDescent="0.2">
      <c r="A2634" s="63">
        <v>45738</v>
      </c>
      <c r="B2634" t="s">
        <v>74</v>
      </c>
      <c r="C2634">
        <v>40</v>
      </c>
      <c r="D2634" t="s">
        <v>68</v>
      </c>
      <c r="E2634" t="s">
        <v>45</v>
      </c>
      <c r="F2634" t="s">
        <v>2208</v>
      </c>
    </row>
    <row r="2635" spans="1:6" hidden="1" x14ac:dyDescent="0.2">
      <c r="A2635" s="63">
        <v>45737</v>
      </c>
      <c r="B2635" t="s">
        <v>2376</v>
      </c>
      <c r="C2635">
        <v>47.34</v>
      </c>
      <c r="D2635" t="s">
        <v>165</v>
      </c>
      <c r="E2635" t="s">
        <v>45</v>
      </c>
      <c r="F2635" t="s">
        <v>2208</v>
      </c>
    </row>
    <row r="2636" spans="1:6" hidden="1" x14ac:dyDescent="0.2">
      <c r="A2636" s="63">
        <v>45737</v>
      </c>
      <c r="B2636" t="s">
        <v>2231</v>
      </c>
      <c r="C2636">
        <v>3</v>
      </c>
      <c r="D2636" t="s">
        <v>165</v>
      </c>
      <c r="E2636" t="s">
        <v>45</v>
      </c>
      <c r="F2636" t="s">
        <v>2208</v>
      </c>
    </row>
    <row r="2637" spans="1:6" hidden="1" x14ac:dyDescent="0.2">
      <c r="A2637" s="63">
        <v>45737</v>
      </c>
      <c r="B2637" t="s">
        <v>2425</v>
      </c>
      <c r="C2637">
        <v>251.6</v>
      </c>
      <c r="D2637" t="s">
        <v>98</v>
      </c>
      <c r="E2637" t="s">
        <v>6</v>
      </c>
      <c r="F2637" t="s">
        <v>2208</v>
      </c>
    </row>
    <row r="2638" spans="1:6" hidden="1" x14ac:dyDescent="0.2">
      <c r="A2638" s="63">
        <v>45737</v>
      </c>
      <c r="B2638" t="s">
        <v>2323</v>
      </c>
      <c r="C2638">
        <v>20</v>
      </c>
      <c r="D2638" t="s">
        <v>858</v>
      </c>
      <c r="E2638" t="s">
        <v>6</v>
      </c>
      <c r="F2638" t="s">
        <v>2208</v>
      </c>
    </row>
    <row r="2639" spans="1:6" hidden="1" x14ac:dyDescent="0.2">
      <c r="A2639" s="63">
        <v>45737</v>
      </c>
      <c r="B2639" t="s">
        <v>2323</v>
      </c>
      <c r="C2639">
        <v>20</v>
      </c>
      <c r="D2639" t="s">
        <v>858</v>
      </c>
      <c r="E2639" t="s">
        <v>6</v>
      </c>
      <c r="F2639" t="s">
        <v>2208</v>
      </c>
    </row>
    <row r="2640" spans="1:6" hidden="1" x14ac:dyDescent="0.2">
      <c r="A2640" s="63">
        <v>45737</v>
      </c>
      <c r="B2640" t="s">
        <v>2323</v>
      </c>
      <c r="C2640">
        <v>20.03</v>
      </c>
      <c r="D2640" t="s">
        <v>858</v>
      </c>
      <c r="E2640" t="s">
        <v>6</v>
      </c>
      <c r="F2640" t="s">
        <v>2208</v>
      </c>
    </row>
    <row r="2641" spans="1:6" hidden="1" x14ac:dyDescent="0.2">
      <c r="A2641" s="63">
        <v>45737</v>
      </c>
      <c r="B2641" t="s">
        <v>2378</v>
      </c>
      <c r="C2641">
        <v>72.25</v>
      </c>
      <c r="D2641" t="s">
        <v>5</v>
      </c>
      <c r="E2641" t="s">
        <v>6</v>
      </c>
      <c r="F2641" t="s">
        <v>2208</v>
      </c>
    </row>
    <row r="2642" spans="1:6" hidden="1" x14ac:dyDescent="0.2">
      <c r="A2642" s="63">
        <v>45736</v>
      </c>
      <c r="B2642" t="s">
        <v>2226</v>
      </c>
      <c r="C2642">
        <v>5.25</v>
      </c>
      <c r="D2642" t="s">
        <v>5</v>
      </c>
      <c r="E2642" t="s">
        <v>6</v>
      </c>
      <c r="F2642" t="s">
        <v>2208</v>
      </c>
    </row>
    <row r="2643" spans="1:6" hidden="1" x14ac:dyDescent="0.2">
      <c r="A2643" s="63">
        <v>45735</v>
      </c>
      <c r="B2643" t="s">
        <v>2444</v>
      </c>
      <c r="C2643">
        <v>504.71</v>
      </c>
      <c r="D2643" t="s">
        <v>469</v>
      </c>
      <c r="E2643" t="s">
        <v>6</v>
      </c>
      <c r="F2643" t="s">
        <v>2208</v>
      </c>
    </row>
    <row r="2644" spans="1:6" hidden="1" x14ac:dyDescent="0.2">
      <c r="A2644" s="63">
        <v>45735</v>
      </c>
      <c r="B2644" t="s">
        <v>2319</v>
      </c>
      <c r="C2644">
        <v>19.57</v>
      </c>
      <c r="D2644">
        <v>0</v>
      </c>
      <c r="E2644">
        <v>0</v>
      </c>
      <c r="F2644" t="s">
        <v>2208</v>
      </c>
    </row>
    <row r="2645" spans="1:6" hidden="1" x14ac:dyDescent="0.2">
      <c r="A2645" s="63">
        <v>45734</v>
      </c>
      <c r="B2645" t="s">
        <v>1193</v>
      </c>
      <c r="C2645">
        <v>159</v>
      </c>
      <c r="D2645" t="s">
        <v>593</v>
      </c>
      <c r="E2645" t="s">
        <v>6</v>
      </c>
      <c r="F2645" t="s">
        <v>2208</v>
      </c>
    </row>
    <row r="2646" spans="1:6" hidden="1" x14ac:dyDescent="0.2">
      <c r="A2646" s="63">
        <v>45734</v>
      </c>
      <c r="B2646" t="s">
        <v>2436</v>
      </c>
      <c r="C2646">
        <v>988.11</v>
      </c>
      <c r="D2646" t="s">
        <v>956</v>
      </c>
      <c r="E2646" t="s">
        <v>45</v>
      </c>
      <c r="F2646" t="s">
        <v>2208</v>
      </c>
    </row>
    <row r="2647" spans="1:6" hidden="1" x14ac:dyDescent="0.2">
      <c r="A2647" s="63">
        <v>45734</v>
      </c>
      <c r="B2647" t="s">
        <v>2264</v>
      </c>
      <c r="C2647">
        <v>8</v>
      </c>
      <c r="D2647" t="s">
        <v>5</v>
      </c>
      <c r="E2647" t="s">
        <v>6</v>
      </c>
      <c r="F2647" t="s">
        <v>2208</v>
      </c>
    </row>
    <row r="2648" spans="1:6" hidden="1" x14ac:dyDescent="0.2">
      <c r="A2648" s="63">
        <v>45734</v>
      </c>
      <c r="B2648" t="s">
        <v>2294</v>
      </c>
      <c r="C2648">
        <v>13.22</v>
      </c>
      <c r="D2648" t="s">
        <v>165</v>
      </c>
      <c r="E2648" t="s">
        <v>45</v>
      </c>
      <c r="F2648" t="s">
        <v>2208</v>
      </c>
    </row>
    <row r="2649" spans="1:6" hidden="1" x14ac:dyDescent="0.2">
      <c r="A2649" s="63">
        <v>45734</v>
      </c>
      <c r="B2649" t="s">
        <v>2232</v>
      </c>
      <c r="C2649">
        <v>9.15</v>
      </c>
      <c r="D2649">
        <v>0</v>
      </c>
      <c r="E2649">
        <v>0</v>
      </c>
      <c r="F2649" t="s">
        <v>2208</v>
      </c>
    </row>
    <row r="2650" spans="1:6" hidden="1" x14ac:dyDescent="0.2">
      <c r="A2650" s="63">
        <v>45733</v>
      </c>
      <c r="B2650" t="s">
        <v>2417</v>
      </c>
      <c r="C2650">
        <v>1101.3499999999999</v>
      </c>
      <c r="D2650" t="s">
        <v>469</v>
      </c>
      <c r="E2650" t="s">
        <v>45</v>
      </c>
      <c r="F2650" t="s">
        <v>2208</v>
      </c>
    </row>
    <row r="2651" spans="1:6" hidden="1" x14ac:dyDescent="0.2">
      <c r="A2651" s="63">
        <v>45733</v>
      </c>
      <c r="B2651" t="s">
        <v>2232</v>
      </c>
      <c r="C2651">
        <v>3.27</v>
      </c>
      <c r="D2651">
        <v>0</v>
      </c>
      <c r="E2651">
        <v>0</v>
      </c>
      <c r="F2651" t="s">
        <v>2208</v>
      </c>
    </row>
    <row r="2652" spans="1:6" hidden="1" x14ac:dyDescent="0.2">
      <c r="A2652" s="63">
        <v>45732</v>
      </c>
      <c r="B2652" t="s">
        <v>2323</v>
      </c>
      <c r="C2652">
        <v>20.04</v>
      </c>
      <c r="D2652" t="s">
        <v>858</v>
      </c>
      <c r="E2652" t="s">
        <v>6</v>
      </c>
      <c r="F2652" t="s">
        <v>2208</v>
      </c>
    </row>
    <row r="2653" spans="1:6" hidden="1" x14ac:dyDescent="0.2">
      <c r="A2653" s="63">
        <v>45732</v>
      </c>
      <c r="B2653" t="s">
        <v>350</v>
      </c>
      <c r="C2653">
        <v>15.69</v>
      </c>
      <c r="D2653" t="s">
        <v>165</v>
      </c>
      <c r="E2653" t="s">
        <v>45</v>
      </c>
      <c r="F2653" t="s">
        <v>2208</v>
      </c>
    </row>
    <row r="2654" spans="1:6" hidden="1" x14ac:dyDescent="0.2">
      <c r="A2654" s="63">
        <v>45731</v>
      </c>
      <c r="B2654" t="s">
        <v>2297</v>
      </c>
      <c r="C2654">
        <v>73.290000000000006</v>
      </c>
      <c r="D2654" t="s">
        <v>5</v>
      </c>
      <c r="E2654" t="s">
        <v>6</v>
      </c>
      <c r="F2654" t="s">
        <v>2208</v>
      </c>
    </row>
    <row r="2655" spans="1:6" hidden="1" x14ac:dyDescent="0.2">
      <c r="A2655" s="63">
        <v>45730</v>
      </c>
      <c r="B2655" t="s">
        <v>2284</v>
      </c>
      <c r="C2655">
        <v>11.66</v>
      </c>
      <c r="D2655" t="s">
        <v>639</v>
      </c>
      <c r="E2655" t="s">
        <v>6</v>
      </c>
      <c r="F2655" t="s">
        <v>2208</v>
      </c>
    </row>
    <row r="2656" spans="1:6" hidden="1" x14ac:dyDescent="0.2">
      <c r="A2656" s="63">
        <v>45730</v>
      </c>
      <c r="B2656" t="s">
        <v>2355</v>
      </c>
      <c r="C2656">
        <v>33.82</v>
      </c>
      <c r="D2656">
        <v>0</v>
      </c>
      <c r="E2656">
        <v>0</v>
      </c>
      <c r="F2656" t="s">
        <v>2208</v>
      </c>
    </row>
    <row r="2657" spans="1:6" hidden="1" x14ac:dyDescent="0.2">
      <c r="A2657" s="63">
        <v>45729</v>
      </c>
      <c r="B2657" t="s">
        <v>879</v>
      </c>
      <c r="C2657">
        <v>220.7</v>
      </c>
      <c r="D2657" t="s">
        <v>858</v>
      </c>
      <c r="E2657" t="s">
        <v>45</v>
      </c>
      <c r="F2657" t="s">
        <v>2208</v>
      </c>
    </row>
    <row r="2658" spans="1:6" hidden="1" x14ac:dyDescent="0.2">
      <c r="A2658" s="63">
        <v>45729</v>
      </c>
      <c r="B2658" t="s">
        <v>2415</v>
      </c>
      <c r="C2658">
        <v>121.08</v>
      </c>
      <c r="D2658" t="s">
        <v>956</v>
      </c>
      <c r="E2658" t="s">
        <v>45</v>
      </c>
      <c r="F2658" t="s">
        <v>2208</v>
      </c>
    </row>
    <row r="2659" spans="1:6" hidden="1" x14ac:dyDescent="0.2">
      <c r="A2659" s="63">
        <v>45729</v>
      </c>
      <c r="B2659" t="s">
        <v>2241</v>
      </c>
      <c r="C2659">
        <v>17.2</v>
      </c>
      <c r="D2659" t="s">
        <v>165</v>
      </c>
      <c r="E2659" t="s">
        <v>45</v>
      </c>
      <c r="F2659" t="s">
        <v>2208</v>
      </c>
    </row>
    <row r="2660" spans="1:6" hidden="1" x14ac:dyDescent="0.2">
      <c r="A2660" s="63">
        <v>45727</v>
      </c>
      <c r="B2660" t="s">
        <v>511</v>
      </c>
      <c r="C2660">
        <v>125</v>
      </c>
      <c r="D2660" t="s">
        <v>512</v>
      </c>
      <c r="E2660" t="s">
        <v>45</v>
      </c>
      <c r="F2660" t="s">
        <v>2208</v>
      </c>
    </row>
    <row r="2661" spans="1:6" hidden="1" x14ac:dyDescent="0.2">
      <c r="A2661" s="63">
        <v>45726</v>
      </c>
      <c r="B2661" t="s">
        <v>2366</v>
      </c>
      <c r="C2661">
        <v>39.700000000000003</v>
      </c>
      <c r="D2661" t="s">
        <v>514</v>
      </c>
      <c r="E2661" t="s">
        <v>6</v>
      </c>
      <c r="F2661" t="s">
        <v>2208</v>
      </c>
    </row>
    <row r="2662" spans="1:6" hidden="1" x14ac:dyDescent="0.2">
      <c r="A2662" s="63">
        <v>45725</v>
      </c>
      <c r="B2662" t="s">
        <v>857</v>
      </c>
      <c r="C2662">
        <v>55.18</v>
      </c>
      <c r="D2662" t="s">
        <v>858</v>
      </c>
      <c r="E2662" t="s">
        <v>45</v>
      </c>
      <c r="F2662" t="s">
        <v>2208</v>
      </c>
    </row>
    <row r="2663" spans="1:6" hidden="1" x14ac:dyDescent="0.2">
      <c r="A2663" s="63">
        <v>45725</v>
      </c>
      <c r="B2663" t="s">
        <v>2255</v>
      </c>
      <c r="C2663">
        <v>6.68</v>
      </c>
      <c r="D2663" t="s">
        <v>165</v>
      </c>
      <c r="E2663" t="s">
        <v>45</v>
      </c>
      <c r="F2663" t="s">
        <v>2208</v>
      </c>
    </row>
    <row r="2664" spans="1:6" hidden="1" x14ac:dyDescent="0.2">
      <c r="A2664" s="63">
        <v>45725</v>
      </c>
      <c r="B2664" t="s">
        <v>2300</v>
      </c>
      <c r="C2664">
        <v>14.65</v>
      </c>
      <c r="D2664" t="s">
        <v>165</v>
      </c>
      <c r="E2664" t="s">
        <v>45</v>
      </c>
      <c r="F2664" t="s">
        <v>2208</v>
      </c>
    </row>
    <row r="2665" spans="1:6" hidden="1" x14ac:dyDescent="0.2">
      <c r="A2665" s="63">
        <v>45724</v>
      </c>
      <c r="B2665" t="s">
        <v>2215</v>
      </c>
      <c r="C2665">
        <v>157.56</v>
      </c>
      <c r="D2665" t="s">
        <v>956</v>
      </c>
      <c r="E2665" t="s">
        <v>6</v>
      </c>
      <c r="F2665" t="s">
        <v>2208</v>
      </c>
    </row>
    <row r="2666" spans="1:6" hidden="1" x14ac:dyDescent="0.2">
      <c r="A2666" s="63">
        <v>45724</v>
      </c>
      <c r="B2666" t="s">
        <v>2297</v>
      </c>
      <c r="C2666">
        <v>14.05</v>
      </c>
      <c r="D2666" t="s">
        <v>5</v>
      </c>
      <c r="E2666" t="s">
        <v>6</v>
      </c>
      <c r="F2666" t="s">
        <v>2208</v>
      </c>
    </row>
    <row r="2667" spans="1:6" hidden="1" x14ac:dyDescent="0.2">
      <c r="A2667" s="63">
        <v>45723</v>
      </c>
      <c r="B2667" t="s">
        <v>2214</v>
      </c>
      <c r="C2667">
        <v>-256.20999999999998</v>
      </c>
      <c r="D2667" t="s">
        <v>956</v>
      </c>
      <c r="E2667" t="s">
        <v>45</v>
      </c>
      <c r="F2667" t="s">
        <v>2208</v>
      </c>
    </row>
    <row r="2668" spans="1:6" hidden="1" x14ac:dyDescent="0.2">
      <c r="A2668" s="63">
        <v>45723</v>
      </c>
      <c r="B2668" t="s">
        <v>2402</v>
      </c>
      <c r="C2668">
        <v>73.22</v>
      </c>
      <c r="D2668" t="s">
        <v>514</v>
      </c>
      <c r="E2668" t="s">
        <v>6</v>
      </c>
      <c r="F2668" t="s">
        <v>2208</v>
      </c>
    </row>
    <row r="2669" spans="1:6" hidden="1" x14ac:dyDescent="0.2">
      <c r="A2669" s="63">
        <v>45723</v>
      </c>
      <c r="B2669" t="s">
        <v>2297</v>
      </c>
      <c r="C2669">
        <v>53.32</v>
      </c>
      <c r="D2669" t="s">
        <v>5</v>
      </c>
      <c r="E2669" t="s">
        <v>6</v>
      </c>
      <c r="F2669" t="s">
        <v>2208</v>
      </c>
    </row>
    <row r="2670" spans="1:6" hidden="1" x14ac:dyDescent="0.2">
      <c r="A2670" s="63">
        <v>45723</v>
      </c>
      <c r="B2670" t="s">
        <v>2263</v>
      </c>
      <c r="C2670">
        <v>8</v>
      </c>
      <c r="D2670" t="s">
        <v>901</v>
      </c>
      <c r="E2670" t="s">
        <v>45</v>
      </c>
      <c r="F2670" t="s">
        <v>2208</v>
      </c>
    </row>
    <row r="2671" spans="1:6" hidden="1" x14ac:dyDescent="0.2">
      <c r="A2671" s="63">
        <v>45723</v>
      </c>
      <c r="B2671" t="s">
        <v>2262</v>
      </c>
      <c r="C2671">
        <v>7.85</v>
      </c>
      <c r="D2671" t="s">
        <v>5</v>
      </c>
      <c r="E2671" t="s">
        <v>6</v>
      </c>
      <c r="F2671" t="s">
        <v>2208</v>
      </c>
    </row>
    <row r="2672" spans="1:6" hidden="1" x14ac:dyDescent="0.2">
      <c r="A2672" s="63">
        <v>45722</v>
      </c>
      <c r="B2672" t="s">
        <v>2248</v>
      </c>
      <c r="C2672">
        <v>5.78</v>
      </c>
      <c r="D2672" t="s">
        <v>639</v>
      </c>
      <c r="E2672" t="s">
        <v>6</v>
      </c>
      <c r="F2672" t="s">
        <v>2208</v>
      </c>
    </row>
    <row r="2673" spans="1:6" hidden="1" x14ac:dyDescent="0.2">
      <c r="A2673" s="63">
        <v>45722</v>
      </c>
      <c r="B2673" t="s">
        <v>2375</v>
      </c>
      <c r="C2673">
        <v>46.85</v>
      </c>
      <c r="D2673" t="s">
        <v>5</v>
      </c>
      <c r="E2673" t="s">
        <v>6</v>
      </c>
      <c r="F2673" t="s">
        <v>2208</v>
      </c>
    </row>
    <row r="2674" spans="1:6" hidden="1" x14ac:dyDescent="0.2">
      <c r="A2674" s="63">
        <v>45721</v>
      </c>
      <c r="B2674" t="s">
        <v>2393</v>
      </c>
      <c r="C2674">
        <v>66.2</v>
      </c>
      <c r="D2674" t="s">
        <v>858</v>
      </c>
      <c r="E2674" t="s">
        <v>6</v>
      </c>
      <c r="F2674" t="s">
        <v>2208</v>
      </c>
    </row>
    <row r="2675" spans="1:6" hidden="1" x14ac:dyDescent="0.2">
      <c r="A2675" s="63">
        <v>45720</v>
      </c>
      <c r="B2675" t="s">
        <v>2323</v>
      </c>
      <c r="C2675">
        <v>20.04</v>
      </c>
      <c r="D2675" t="s">
        <v>858</v>
      </c>
      <c r="E2675" t="s">
        <v>6</v>
      </c>
      <c r="F2675" t="s">
        <v>2208</v>
      </c>
    </row>
    <row r="2676" spans="1:6" hidden="1" x14ac:dyDescent="0.2">
      <c r="A2676" s="63">
        <v>45719</v>
      </c>
      <c r="B2676" t="s">
        <v>2247</v>
      </c>
      <c r="C2676">
        <v>5.68</v>
      </c>
      <c r="D2676" t="s">
        <v>858</v>
      </c>
      <c r="E2676" t="s">
        <v>6</v>
      </c>
      <c r="F2676" t="s">
        <v>2208</v>
      </c>
    </row>
    <row r="2677" spans="1:6" hidden="1" x14ac:dyDescent="0.2">
      <c r="A2677" s="63">
        <v>45718</v>
      </c>
      <c r="B2677" t="s">
        <v>931</v>
      </c>
      <c r="C2677">
        <v>3.3</v>
      </c>
      <c r="D2677" t="s">
        <v>901</v>
      </c>
      <c r="E2677" t="s">
        <v>6</v>
      </c>
      <c r="F2677" t="s">
        <v>2208</v>
      </c>
    </row>
    <row r="2678" spans="1:6" hidden="1" x14ac:dyDescent="0.2">
      <c r="A2678" s="63">
        <v>45718</v>
      </c>
      <c r="B2678" t="s">
        <v>2293</v>
      </c>
      <c r="C2678">
        <v>12.76</v>
      </c>
      <c r="D2678" t="s">
        <v>956</v>
      </c>
      <c r="E2678" t="s">
        <v>45</v>
      </c>
      <c r="F2678" t="s">
        <v>2208</v>
      </c>
    </row>
    <row r="2679" spans="1:6" hidden="1" x14ac:dyDescent="0.2">
      <c r="A2679" s="63">
        <v>45718</v>
      </c>
      <c r="B2679" t="s">
        <v>350</v>
      </c>
      <c r="C2679">
        <v>17.05</v>
      </c>
      <c r="D2679" t="s">
        <v>165</v>
      </c>
      <c r="E2679" t="s">
        <v>45</v>
      </c>
      <c r="F2679" t="s">
        <v>2208</v>
      </c>
    </row>
    <row r="2680" spans="1:6" hidden="1" x14ac:dyDescent="0.2">
      <c r="A2680" s="63">
        <v>45718</v>
      </c>
      <c r="B2680" t="s">
        <v>2297</v>
      </c>
      <c r="C2680">
        <v>38.950000000000003</v>
      </c>
      <c r="D2680" t="s">
        <v>5</v>
      </c>
      <c r="E2680" t="s">
        <v>6</v>
      </c>
      <c r="F2680" t="s">
        <v>2208</v>
      </c>
    </row>
    <row r="2681" spans="1:6" hidden="1" x14ac:dyDescent="0.2">
      <c r="A2681" s="63">
        <v>45716</v>
      </c>
      <c r="B2681" t="s">
        <v>2330</v>
      </c>
      <c r="C2681">
        <v>22.07</v>
      </c>
      <c r="D2681" t="s">
        <v>858</v>
      </c>
      <c r="E2681" t="s">
        <v>6</v>
      </c>
      <c r="F2681" t="s">
        <v>2208</v>
      </c>
    </row>
    <row r="2682" spans="1:6" hidden="1" x14ac:dyDescent="0.2">
      <c r="A2682" s="63">
        <v>45714</v>
      </c>
      <c r="B2682" t="s">
        <v>2389</v>
      </c>
      <c r="C2682">
        <v>60</v>
      </c>
      <c r="D2682" t="s">
        <v>600</v>
      </c>
      <c r="E2682" t="s">
        <v>6</v>
      </c>
      <c r="F2682" t="s">
        <v>2208</v>
      </c>
    </row>
    <row r="2683" spans="1:6" hidden="1" x14ac:dyDescent="0.2">
      <c r="A2683" s="63">
        <v>45714</v>
      </c>
      <c r="B2683" t="s">
        <v>2430</v>
      </c>
      <c r="C2683">
        <v>218</v>
      </c>
      <c r="D2683" t="s">
        <v>956</v>
      </c>
      <c r="E2683" t="s">
        <v>45</v>
      </c>
      <c r="F2683" t="s">
        <v>2208</v>
      </c>
    </row>
    <row r="2684" spans="1:6" hidden="1" x14ac:dyDescent="0.2">
      <c r="A2684" s="63">
        <v>45713</v>
      </c>
      <c r="B2684" t="s">
        <v>2385</v>
      </c>
      <c r="C2684">
        <v>58.61</v>
      </c>
      <c r="D2684" t="s">
        <v>600</v>
      </c>
      <c r="E2684" t="s">
        <v>6</v>
      </c>
      <c r="F2684" t="s">
        <v>2208</v>
      </c>
    </row>
    <row r="2685" spans="1:6" hidden="1" x14ac:dyDescent="0.2">
      <c r="A2685" s="63">
        <v>45713</v>
      </c>
      <c r="B2685" t="s">
        <v>2378</v>
      </c>
      <c r="C2685">
        <v>81.33</v>
      </c>
      <c r="D2685" t="s">
        <v>5</v>
      </c>
      <c r="E2685" t="s">
        <v>6</v>
      </c>
      <c r="F2685" t="s">
        <v>2208</v>
      </c>
    </row>
    <row r="2686" spans="1:6" hidden="1" x14ac:dyDescent="0.2">
      <c r="A2686" s="63">
        <v>45711</v>
      </c>
      <c r="B2686" t="s">
        <v>861</v>
      </c>
      <c r="C2686">
        <v>20</v>
      </c>
      <c r="D2686" t="s">
        <v>858</v>
      </c>
      <c r="E2686" t="s">
        <v>45</v>
      </c>
      <c r="F2686" t="s">
        <v>2208</v>
      </c>
    </row>
    <row r="2687" spans="1:6" hidden="1" x14ac:dyDescent="0.2">
      <c r="A2687" s="63">
        <v>45711</v>
      </c>
      <c r="B2687" t="s">
        <v>2269</v>
      </c>
      <c r="C2687">
        <v>35.08</v>
      </c>
      <c r="D2687" t="s">
        <v>165</v>
      </c>
      <c r="E2687" t="s">
        <v>45</v>
      </c>
      <c r="F2687" t="s">
        <v>2208</v>
      </c>
    </row>
    <row r="2688" spans="1:6" hidden="1" x14ac:dyDescent="0.2">
      <c r="A2688" s="63">
        <v>45711</v>
      </c>
      <c r="B2688" t="s">
        <v>350</v>
      </c>
      <c r="C2688">
        <v>15.69</v>
      </c>
      <c r="D2688" t="s">
        <v>165</v>
      </c>
      <c r="E2688" t="s">
        <v>45</v>
      </c>
      <c r="F2688" t="s">
        <v>2208</v>
      </c>
    </row>
    <row r="2689" spans="1:6" hidden="1" x14ac:dyDescent="0.2">
      <c r="A2689" s="63">
        <v>45710</v>
      </c>
      <c r="B2689" t="s">
        <v>2322</v>
      </c>
      <c r="C2689">
        <v>20</v>
      </c>
      <c r="D2689" t="s">
        <v>858</v>
      </c>
      <c r="E2689" t="s">
        <v>6</v>
      </c>
      <c r="F2689" t="s">
        <v>2208</v>
      </c>
    </row>
    <row r="2690" spans="1:6" hidden="1" x14ac:dyDescent="0.2">
      <c r="A2690" s="63">
        <v>45710</v>
      </c>
      <c r="B2690" t="s">
        <v>2227</v>
      </c>
      <c r="C2690">
        <v>10.97</v>
      </c>
      <c r="D2690" t="s">
        <v>165</v>
      </c>
      <c r="E2690" t="s">
        <v>45</v>
      </c>
      <c r="F2690" t="s">
        <v>2208</v>
      </c>
    </row>
    <row r="2691" spans="1:6" hidden="1" x14ac:dyDescent="0.2">
      <c r="A2691" s="63">
        <v>45710</v>
      </c>
      <c r="B2691" t="s">
        <v>946</v>
      </c>
      <c r="C2691">
        <v>-22456.46</v>
      </c>
      <c r="D2691" t="s">
        <v>77</v>
      </c>
      <c r="E2691" t="s">
        <v>6</v>
      </c>
      <c r="F2691" t="s">
        <v>2208</v>
      </c>
    </row>
    <row r="2692" spans="1:6" hidden="1" x14ac:dyDescent="0.2">
      <c r="A2692" s="63">
        <v>45710</v>
      </c>
      <c r="B2692" t="s">
        <v>946</v>
      </c>
      <c r="C2692">
        <v>-1972.14</v>
      </c>
      <c r="D2692" t="s">
        <v>77</v>
      </c>
      <c r="E2692" t="s">
        <v>6</v>
      </c>
      <c r="F2692" t="s">
        <v>2208</v>
      </c>
    </row>
    <row r="2693" spans="1:6" hidden="1" x14ac:dyDescent="0.2">
      <c r="A2693" s="63">
        <v>45709</v>
      </c>
      <c r="B2693" t="s">
        <v>2241</v>
      </c>
      <c r="C2693">
        <v>12.13</v>
      </c>
      <c r="D2693" t="s">
        <v>165</v>
      </c>
      <c r="E2693" t="s">
        <v>45</v>
      </c>
      <c r="F2693" t="s">
        <v>2208</v>
      </c>
    </row>
    <row r="2694" spans="1:6" hidden="1" x14ac:dyDescent="0.2">
      <c r="A2694" s="63">
        <v>45708</v>
      </c>
      <c r="B2694" t="s">
        <v>2410</v>
      </c>
      <c r="C2694">
        <v>95</v>
      </c>
      <c r="D2694" t="s">
        <v>98</v>
      </c>
      <c r="E2694" t="s">
        <v>6</v>
      </c>
      <c r="F2694" t="s">
        <v>2208</v>
      </c>
    </row>
    <row r="2695" spans="1:6" hidden="1" x14ac:dyDescent="0.2">
      <c r="A2695" s="63">
        <v>45708</v>
      </c>
      <c r="B2695" t="s">
        <v>2410</v>
      </c>
      <c r="C2695">
        <v>150</v>
      </c>
      <c r="D2695" t="s">
        <v>98</v>
      </c>
      <c r="E2695" t="s">
        <v>6</v>
      </c>
      <c r="F2695" t="s">
        <v>2208</v>
      </c>
    </row>
    <row r="2696" spans="1:6" hidden="1" x14ac:dyDescent="0.2">
      <c r="A2696" s="63">
        <v>45708</v>
      </c>
      <c r="B2696" t="s">
        <v>2388</v>
      </c>
      <c r="C2696">
        <v>59.93</v>
      </c>
      <c r="D2696" t="s">
        <v>5</v>
      </c>
      <c r="E2696" t="s">
        <v>6</v>
      </c>
      <c r="F2696" t="s">
        <v>2208</v>
      </c>
    </row>
    <row r="2697" spans="1:6" hidden="1" x14ac:dyDescent="0.2">
      <c r="A2697" s="63">
        <v>45705</v>
      </c>
      <c r="B2697" t="s">
        <v>802</v>
      </c>
      <c r="C2697">
        <v>300</v>
      </c>
      <c r="D2697" t="s">
        <v>796</v>
      </c>
      <c r="E2697" t="s">
        <v>45</v>
      </c>
      <c r="F2697" t="s">
        <v>2208</v>
      </c>
    </row>
    <row r="2698" spans="1:6" hidden="1" x14ac:dyDescent="0.2">
      <c r="A2698" s="63">
        <v>45704</v>
      </c>
      <c r="B2698" t="s">
        <v>2227</v>
      </c>
      <c r="C2698">
        <v>5.68</v>
      </c>
      <c r="D2698" t="s">
        <v>165</v>
      </c>
      <c r="E2698" t="s">
        <v>45</v>
      </c>
      <c r="F2698" t="s">
        <v>2208</v>
      </c>
    </row>
    <row r="2699" spans="1:6" hidden="1" x14ac:dyDescent="0.2">
      <c r="A2699" s="63">
        <v>45704</v>
      </c>
      <c r="B2699" t="s">
        <v>2276</v>
      </c>
      <c r="C2699">
        <v>9.98</v>
      </c>
      <c r="D2699">
        <v>0</v>
      </c>
      <c r="E2699">
        <v>0</v>
      </c>
      <c r="F2699" t="s">
        <v>2208</v>
      </c>
    </row>
    <row r="2700" spans="1:6" hidden="1" x14ac:dyDescent="0.2">
      <c r="A2700" s="63">
        <v>45703</v>
      </c>
      <c r="B2700" t="s">
        <v>2412</v>
      </c>
      <c r="C2700">
        <v>106.28</v>
      </c>
      <c r="D2700" t="s">
        <v>5</v>
      </c>
      <c r="E2700" t="s">
        <v>6</v>
      </c>
      <c r="F2700" t="s">
        <v>2208</v>
      </c>
    </row>
    <row r="2701" spans="1:6" hidden="1" x14ac:dyDescent="0.2">
      <c r="A2701" s="63">
        <v>45703</v>
      </c>
      <c r="B2701" t="s">
        <v>2342</v>
      </c>
      <c r="C2701">
        <v>27.92</v>
      </c>
      <c r="D2701" t="s">
        <v>165</v>
      </c>
      <c r="E2701" t="s">
        <v>45</v>
      </c>
      <c r="F2701" t="s">
        <v>2208</v>
      </c>
    </row>
    <row r="2702" spans="1:6" hidden="1" x14ac:dyDescent="0.2">
      <c r="A2702" s="63">
        <v>45702</v>
      </c>
      <c r="B2702" t="s">
        <v>1461</v>
      </c>
      <c r="C2702">
        <v>57.94</v>
      </c>
      <c r="D2702" t="s">
        <v>639</v>
      </c>
      <c r="E2702" t="s">
        <v>6</v>
      </c>
      <c r="F2702" t="s">
        <v>2208</v>
      </c>
    </row>
    <row r="2703" spans="1:6" hidden="1" x14ac:dyDescent="0.2">
      <c r="A2703" s="63">
        <v>45702</v>
      </c>
      <c r="B2703" t="s">
        <v>2283</v>
      </c>
      <c r="C2703">
        <v>11.36</v>
      </c>
      <c r="D2703" t="s">
        <v>639</v>
      </c>
      <c r="E2703" t="s">
        <v>6</v>
      </c>
      <c r="F2703" t="s">
        <v>2208</v>
      </c>
    </row>
    <row r="2704" spans="1:6" hidden="1" x14ac:dyDescent="0.2">
      <c r="A2704" s="63">
        <v>45701</v>
      </c>
      <c r="B2704" t="s">
        <v>1461</v>
      </c>
      <c r="C2704">
        <v>28.69</v>
      </c>
      <c r="D2704" t="s">
        <v>639</v>
      </c>
      <c r="E2704" t="s">
        <v>6</v>
      </c>
      <c r="F2704" t="s">
        <v>2208</v>
      </c>
    </row>
    <row r="2705" spans="1:6" hidden="1" x14ac:dyDescent="0.2">
      <c r="A2705" s="63">
        <v>45701</v>
      </c>
      <c r="B2705" t="s">
        <v>855</v>
      </c>
      <c r="C2705">
        <v>46.68</v>
      </c>
      <c r="D2705" t="s">
        <v>848</v>
      </c>
      <c r="E2705" t="s">
        <v>6</v>
      </c>
      <c r="F2705" t="s">
        <v>2208</v>
      </c>
    </row>
    <row r="2706" spans="1:6" hidden="1" x14ac:dyDescent="0.2">
      <c r="A2706" s="63">
        <v>45700</v>
      </c>
      <c r="B2706" t="s">
        <v>879</v>
      </c>
      <c r="C2706">
        <v>220.7</v>
      </c>
      <c r="D2706" t="s">
        <v>858</v>
      </c>
      <c r="E2706" t="s">
        <v>45</v>
      </c>
      <c r="F2706" t="s">
        <v>2208</v>
      </c>
    </row>
    <row r="2707" spans="1:6" hidden="1" x14ac:dyDescent="0.2">
      <c r="A2707" s="63">
        <v>45699</v>
      </c>
      <c r="B2707" t="s">
        <v>511</v>
      </c>
      <c r="C2707">
        <v>125</v>
      </c>
      <c r="D2707" t="s">
        <v>512</v>
      </c>
      <c r="E2707" t="s">
        <v>45</v>
      </c>
      <c r="F2707" t="s">
        <v>2208</v>
      </c>
    </row>
    <row r="2708" spans="1:6" hidden="1" x14ac:dyDescent="0.2">
      <c r="A2708" s="63">
        <v>45695</v>
      </c>
      <c r="B2708" t="s">
        <v>728</v>
      </c>
      <c r="C2708">
        <v>93.14</v>
      </c>
      <c r="D2708" t="s">
        <v>639</v>
      </c>
      <c r="E2708" t="s">
        <v>6</v>
      </c>
      <c r="F2708" t="s">
        <v>2208</v>
      </c>
    </row>
    <row r="2709" spans="1:6" hidden="1" x14ac:dyDescent="0.2">
      <c r="A2709" s="63">
        <v>45695</v>
      </c>
      <c r="B2709" t="s">
        <v>2354</v>
      </c>
      <c r="C2709">
        <v>33.11</v>
      </c>
      <c r="D2709" t="s">
        <v>469</v>
      </c>
      <c r="E2709" t="s">
        <v>6</v>
      </c>
      <c r="F2709" t="s">
        <v>2208</v>
      </c>
    </row>
    <row r="2710" spans="1:6" hidden="1" x14ac:dyDescent="0.2">
      <c r="A2710" s="63">
        <v>45695</v>
      </c>
      <c r="B2710" t="s">
        <v>2263</v>
      </c>
      <c r="C2710">
        <v>8</v>
      </c>
      <c r="D2710" t="s">
        <v>901</v>
      </c>
      <c r="E2710" t="s">
        <v>45</v>
      </c>
      <c r="F2710" t="s">
        <v>2208</v>
      </c>
    </row>
    <row r="2711" spans="1:6" hidden="1" x14ac:dyDescent="0.2">
      <c r="A2711" s="63">
        <v>45695</v>
      </c>
      <c r="B2711" t="s">
        <v>2262</v>
      </c>
      <c r="C2711">
        <v>7.85</v>
      </c>
      <c r="D2711" t="s">
        <v>5</v>
      </c>
      <c r="E2711" t="s">
        <v>6</v>
      </c>
      <c r="F2711" t="s">
        <v>2208</v>
      </c>
    </row>
    <row r="2712" spans="1:6" hidden="1" x14ac:dyDescent="0.2">
      <c r="A2712" s="63">
        <v>45694</v>
      </c>
      <c r="B2712" t="s">
        <v>2246</v>
      </c>
      <c r="C2712">
        <v>5.64</v>
      </c>
      <c r="D2712" t="s">
        <v>639</v>
      </c>
      <c r="E2712" t="s">
        <v>6</v>
      </c>
      <c r="F2712" t="s">
        <v>2208</v>
      </c>
    </row>
    <row r="2713" spans="1:6" hidden="1" x14ac:dyDescent="0.2">
      <c r="A2713" s="63">
        <v>45694</v>
      </c>
      <c r="B2713" t="s">
        <v>857</v>
      </c>
      <c r="C2713">
        <v>27.59</v>
      </c>
      <c r="D2713" t="s">
        <v>858</v>
      </c>
      <c r="E2713" t="s">
        <v>45</v>
      </c>
      <c r="F2713" t="s">
        <v>2208</v>
      </c>
    </row>
    <row r="2714" spans="1:6" hidden="1" x14ac:dyDescent="0.2">
      <c r="A2714" s="63">
        <v>45694</v>
      </c>
      <c r="B2714" t="s">
        <v>857</v>
      </c>
      <c r="C2714">
        <v>27.59</v>
      </c>
      <c r="D2714" t="s">
        <v>858</v>
      </c>
      <c r="E2714" t="s">
        <v>45</v>
      </c>
      <c r="F2714" t="s">
        <v>2208</v>
      </c>
    </row>
    <row r="2715" spans="1:6" hidden="1" x14ac:dyDescent="0.2">
      <c r="A2715" s="63">
        <v>45694</v>
      </c>
      <c r="B2715" t="s">
        <v>2241</v>
      </c>
      <c r="C2715">
        <v>13.22</v>
      </c>
      <c r="D2715" t="s">
        <v>165</v>
      </c>
      <c r="E2715" t="s">
        <v>45</v>
      </c>
      <c r="F2715" t="s">
        <v>2208</v>
      </c>
    </row>
    <row r="2716" spans="1:6" hidden="1" x14ac:dyDescent="0.2">
      <c r="A2716" s="63">
        <v>45693</v>
      </c>
      <c r="B2716" t="s">
        <v>2394</v>
      </c>
      <c r="C2716">
        <v>66.2</v>
      </c>
      <c r="D2716" t="s">
        <v>858</v>
      </c>
      <c r="E2716" t="s">
        <v>6</v>
      </c>
      <c r="F2716" t="s">
        <v>2208</v>
      </c>
    </row>
    <row r="2717" spans="1:6" hidden="1" x14ac:dyDescent="0.2">
      <c r="A2717" s="63">
        <v>45693</v>
      </c>
      <c r="B2717" t="s">
        <v>2229</v>
      </c>
      <c r="C2717">
        <v>59.46</v>
      </c>
      <c r="D2717" t="s">
        <v>514</v>
      </c>
      <c r="E2717" t="s">
        <v>6</v>
      </c>
      <c r="F2717" t="s">
        <v>2208</v>
      </c>
    </row>
    <row r="2718" spans="1:6" hidden="1" x14ac:dyDescent="0.2">
      <c r="A2718" s="63">
        <v>45692</v>
      </c>
      <c r="B2718" t="s">
        <v>2328</v>
      </c>
      <c r="C2718">
        <v>21.77</v>
      </c>
      <c r="D2718">
        <v>0</v>
      </c>
      <c r="E2718">
        <v>0</v>
      </c>
      <c r="F2718" t="s">
        <v>2208</v>
      </c>
    </row>
    <row r="2719" spans="1:6" hidden="1" x14ac:dyDescent="0.2">
      <c r="A2719" s="63">
        <v>45692</v>
      </c>
      <c r="B2719" t="s">
        <v>2244</v>
      </c>
      <c r="C2719">
        <v>5.15</v>
      </c>
      <c r="D2719">
        <v>0</v>
      </c>
      <c r="E2719">
        <v>0</v>
      </c>
      <c r="F2719" t="s">
        <v>2208</v>
      </c>
    </row>
    <row r="2720" spans="1:6" hidden="1" x14ac:dyDescent="0.2">
      <c r="A2720" s="63">
        <v>45691</v>
      </c>
      <c r="B2720" t="s">
        <v>1461</v>
      </c>
      <c r="C2720">
        <v>15.99</v>
      </c>
      <c r="D2720" t="s">
        <v>639</v>
      </c>
      <c r="E2720" t="s">
        <v>6</v>
      </c>
      <c r="F2720" t="s">
        <v>2208</v>
      </c>
    </row>
    <row r="2721" spans="1:6" hidden="1" x14ac:dyDescent="0.2">
      <c r="A2721" s="63">
        <v>45691</v>
      </c>
      <c r="B2721" t="s">
        <v>1461</v>
      </c>
      <c r="C2721">
        <v>36.39</v>
      </c>
      <c r="D2721" t="s">
        <v>639</v>
      </c>
      <c r="E2721" t="s">
        <v>6</v>
      </c>
      <c r="F2721" t="s">
        <v>2208</v>
      </c>
    </row>
    <row r="2722" spans="1:6" hidden="1" x14ac:dyDescent="0.2">
      <c r="A2722" s="63">
        <v>45691</v>
      </c>
      <c r="B2722" t="s">
        <v>2239</v>
      </c>
      <c r="C2722">
        <v>4.4000000000000004</v>
      </c>
      <c r="D2722" t="s">
        <v>858</v>
      </c>
      <c r="E2722" t="s">
        <v>6</v>
      </c>
      <c r="F2722" t="s">
        <v>2208</v>
      </c>
    </row>
    <row r="2723" spans="1:6" hidden="1" x14ac:dyDescent="0.2">
      <c r="A2723" s="63">
        <v>45691</v>
      </c>
      <c r="B2723" t="s">
        <v>2438</v>
      </c>
      <c r="C2723">
        <v>405.98</v>
      </c>
      <c r="D2723" t="s">
        <v>956</v>
      </c>
      <c r="E2723" t="s">
        <v>6</v>
      </c>
      <c r="F2723" t="s">
        <v>2208</v>
      </c>
    </row>
    <row r="2724" spans="1:6" hidden="1" x14ac:dyDescent="0.2">
      <c r="A2724" s="63">
        <v>45690</v>
      </c>
      <c r="B2724" t="s">
        <v>2224</v>
      </c>
      <c r="C2724">
        <v>13.13</v>
      </c>
      <c r="D2724" t="s">
        <v>514</v>
      </c>
      <c r="E2724" t="s">
        <v>6</v>
      </c>
      <c r="F2724" t="s">
        <v>2208</v>
      </c>
    </row>
    <row r="2725" spans="1:6" hidden="1" x14ac:dyDescent="0.2">
      <c r="A2725" s="63">
        <v>45690</v>
      </c>
      <c r="B2725" t="s">
        <v>931</v>
      </c>
      <c r="C2725">
        <v>3.3</v>
      </c>
      <c r="D2725" t="s">
        <v>901</v>
      </c>
      <c r="E2725" t="s">
        <v>6</v>
      </c>
      <c r="F2725" t="s">
        <v>2208</v>
      </c>
    </row>
    <row r="2726" spans="1:6" hidden="1" x14ac:dyDescent="0.2">
      <c r="A2726" s="63">
        <v>45690</v>
      </c>
      <c r="B2726" t="s">
        <v>350</v>
      </c>
      <c r="C2726">
        <v>14.66</v>
      </c>
      <c r="D2726" t="s">
        <v>165</v>
      </c>
      <c r="E2726" t="s">
        <v>45</v>
      </c>
      <c r="F2726" t="s">
        <v>2208</v>
      </c>
    </row>
    <row r="2727" spans="1:6" hidden="1" x14ac:dyDescent="0.2">
      <c r="A2727" s="63">
        <v>45689</v>
      </c>
      <c r="B2727" t="s">
        <v>2327</v>
      </c>
      <c r="C2727">
        <v>35.67</v>
      </c>
      <c r="D2727" t="s">
        <v>514</v>
      </c>
      <c r="E2727" t="s">
        <v>6</v>
      </c>
      <c r="F2727" t="s">
        <v>2208</v>
      </c>
    </row>
    <row r="2728" spans="1:6" hidden="1" x14ac:dyDescent="0.2">
      <c r="A2728" s="63">
        <v>45689</v>
      </c>
      <c r="B2728" t="s">
        <v>2383</v>
      </c>
      <c r="C2728">
        <v>74.77</v>
      </c>
      <c r="D2728" t="s">
        <v>5</v>
      </c>
      <c r="E2728" t="s">
        <v>6</v>
      </c>
      <c r="F2728" t="s">
        <v>2208</v>
      </c>
    </row>
    <row r="2729" spans="1:6" hidden="1" x14ac:dyDescent="0.2">
      <c r="A2729" s="63">
        <v>45688</v>
      </c>
      <c r="B2729" t="s">
        <v>859</v>
      </c>
      <c r="C2729">
        <v>22.07</v>
      </c>
      <c r="D2729" t="s">
        <v>858</v>
      </c>
      <c r="E2729" t="s">
        <v>45</v>
      </c>
      <c r="F2729" t="s">
        <v>2208</v>
      </c>
    </row>
    <row r="2730" spans="1:6" hidden="1" x14ac:dyDescent="0.2">
      <c r="A2730" s="63">
        <v>45687</v>
      </c>
      <c r="B2730" t="s">
        <v>2432</v>
      </c>
      <c r="C2730">
        <v>225</v>
      </c>
      <c r="D2730" t="s">
        <v>600</v>
      </c>
      <c r="E2730" t="s">
        <v>6</v>
      </c>
      <c r="F2730" t="s">
        <v>2208</v>
      </c>
    </row>
    <row r="2731" spans="1:6" hidden="1" x14ac:dyDescent="0.2">
      <c r="A2731" s="63">
        <v>45686</v>
      </c>
      <c r="B2731" t="s">
        <v>2341</v>
      </c>
      <c r="C2731">
        <v>33.869999999999997</v>
      </c>
      <c r="D2731" t="s">
        <v>639</v>
      </c>
      <c r="E2731" t="s">
        <v>6</v>
      </c>
      <c r="F2731" t="s">
        <v>2208</v>
      </c>
    </row>
    <row r="2732" spans="1:6" hidden="1" x14ac:dyDescent="0.2">
      <c r="A2732" s="63">
        <v>45683</v>
      </c>
      <c r="B2732" t="s">
        <v>2318</v>
      </c>
      <c r="C2732">
        <v>19.48</v>
      </c>
      <c r="D2732" t="s">
        <v>956</v>
      </c>
      <c r="E2732" t="s">
        <v>6</v>
      </c>
      <c r="F2732" t="s">
        <v>2208</v>
      </c>
    </row>
    <row r="2733" spans="1:6" hidden="1" x14ac:dyDescent="0.2">
      <c r="A2733" s="63">
        <v>45683</v>
      </c>
      <c r="B2733" t="s">
        <v>2215</v>
      </c>
      <c r="C2733">
        <v>95.97</v>
      </c>
      <c r="D2733" t="s">
        <v>956</v>
      </c>
      <c r="E2733" t="s">
        <v>6</v>
      </c>
      <c r="F2733" t="s">
        <v>2208</v>
      </c>
    </row>
    <row r="2734" spans="1:6" hidden="1" x14ac:dyDescent="0.2">
      <c r="A2734" s="63">
        <v>45683</v>
      </c>
      <c r="B2734" t="s">
        <v>2267</v>
      </c>
      <c r="C2734">
        <v>8.6999999999999993</v>
      </c>
      <c r="D2734" t="s">
        <v>165</v>
      </c>
      <c r="E2734" t="s">
        <v>45</v>
      </c>
      <c r="F2734" t="s">
        <v>2208</v>
      </c>
    </row>
    <row r="2735" spans="1:6" hidden="1" x14ac:dyDescent="0.2">
      <c r="A2735" s="63">
        <v>45683</v>
      </c>
      <c r="B2735" t="s">
        <v>350</v>
      </c>
      <c r="C2735">
        <v>22.16</v>
      </c>
      <c r="D2735" t="s">
        <v>165</v>
      </c>
      <c r="E2735" t="s">
        <v>45</v>
      </c>
      <c r="F2735" t="s">
        <v>2208</v>
      </c>
    </row>
    <row r="2736" spans="1:6" hidden="1" x14ac:dyDescent="0.2">
      <c r="A2736" s="63">
        <v>45682</v>
      </c>
      <c r="B2736" t="s">
        <v>946</v>
      </c>
      <c r="C2736">
        <v>-17443.98</v>
      </c>
      <c r="D2736" t="s">
        <v>77</v>
      </c>
      <c r="E2736" t="s">
        <v>6</v>
      </c>
      <c r="F2736" t="s">
        <v>2208</v>
      </c>
    </row>
    <row r="2737" spans="1:6" hidden="1" x14ac:dyDescent="0.2">
      <c r="A2737" s="63">
        <v>45682</v>
      </c>
      <c r="B2737" t="s">
        <v>2327</v>
      </c>
      <c r="C2737">
        <v>20.98</v>
      </c>
      <c r="D2737" t="s">
        <v>514</v>
      </c>
      <c r="E2737" t="s">
        <v>6</v>
      </c>
      <c r="F2737" t="s">
        <v>2208</v>
      </c>
    </row>
    <row r="2738" spans="1:6" hidden="1" x14ac:dyDescent="0.2">
      <c r="A2738" s="63">
        <v>45681</v>
      </c>
      <c r="B2738" t="s">
        <v>2236</v>
      </c>
      <c r="C2738">
        <v>13.11</v>
      </c>
      <c r="D2738" t="s">
        <v>956</v>
      </c>
      <c r="E2738" t="s">
        <v>6</v>
      </c>
      <c r="F2738" t="s">
        <v>2208</v>
      </c>
    </row>
    <row r="2739" spans="1:6" hidden="1" x14ac:dyDescent="0.2">
      <c r="A2739" s="63">
        <v>45681</v>
      </c>
      <c r="B2739" t="s">
        <v>2215</v>
      </c>
      <c r="C2739">
        <v>-89.66</v>
      </c>
      <c r="D2739" t="s">
        <v>956</v>
      </c>
      <c r="E2739" t="s">
        <v>6</v>
      </c>
      <c r="F2739" t="s">
        <v>2208</v>
      </c>
    </row>
    <row r="2740" spans="1:6" hidden="1" x14ac:dyDescent="0.2">
      <c r="A2740" s="63">
        <v>45681</v>
      </c>
      <c r="B2740" t="s">
        <v>2215</v>
      </c>
      <c r="C2740">
        <v>91.59</v>
      </c>
      <c r="D2740" t="s">
        <v>956</v>
      </c>
      <c r="E2740" t="s">
        <v>6</v>
      </c>
      <c r="F2740" t="s">
        <v>2208</v>
      </c>
    </row>
    <row r="2741" spans="1:6" hidden="1" x14ac:dyDescent="0.2">
      <c r="A2741" s="63">
        <v>45681</v>
      </c>
      <c r="B2741" t="s">
        <v>2267</v>
      </c>
      <c r="C2741">
        <v>24.05</v>
      </c>
      <c r="D2741" t="s">
        <v>165</v>
      </c>
      <c r="E2741" t="s">
        <v>45</v>
      </c>
      <c r="F2741" t="s">
        <v>2208</v>
      </c>
    </row>
    <row r="2742" spans="1:6" hidden="1" x14ac:dyDescent="0.2">
      <c r="A2742" s="63">
        <v>45681</v>
      </c>
      <c r="B2742" t="s">
        <v>924</v>
      </c>
      <c r="C2742">
        <v>229.99</v>
      </c>
      <c r="D2742" t="s">
        <v>901</v>
      </c>
      <c r="E2742" t="s">
        <v>45</v>
      </c>
      <c r="F2742" t="s">
        <v>2208</v>
      </c>
    </row>
    <row r="2743" spans="1:6" hidden="1" x14ac:dyDescent="0.2">
      <c r="A2743" s="63">
        <v>45681</v>
      </c>
      <c r="B2743" t="s">
        <v>879</v>
      </c>
      <c r="C2743">
        <v>220.7</v>
      </c>
      <c r="D2743" t="s">
        <v>858</v>
      </c>
      <c r="E2743" t="s">
        <v>45</v>
      </c>
      <c r="F2743" t="s">
        <v>2208</v>
      </c>
    </row>
    <row r="2744" spans="1:6" hidden="1" x14ac:dyDescent="0.2">
      <c r="A2744" s="63">
        <v>45680</v>
      </c>
      <c r="B2744" t="s">
        <v>2215</v>
      </c>
      <c r="C2744">
        <v>94.16</v>
      </c>
      <c r="D2744" t="s">
        <v>956</v>
      </c>
      <c r="E2744" t="s">
        <v>6</v>
      </c>
      <c r="F2744" t="s">
        <v>2208</v>
      </c>
    </row>
    <row r="2745" spans="1:6" hidden="1" x14ac:dyDescent="0.2">
      <c r="A2745" s="63">
        <v>45680</v>
      </c>
      <c r="B2745" t="s">
        <v>30</v>
      </c>
      <c r="C2745">
        <v>80.91</v>
      </c>
      <c r="D2745" t="s">
        <v>5</v>
      </c>
      <c r="E2745" t="s">
        <v>6</v>
      </c>
      <c r="F2745" t="s">
        <v>2208</v>
      </c>
    </row>
    <row r="2746" spans="1:6" hidden="1" x14ac:dyDescent="0.2">
      <c r="A2746" s="63">
        <v>45680</v>
      </c>
      <c r="B2746" t="s">
        <v>861</v>
      </c>
      <c r="C2746">
        <v>20</v>
      </c>
      <c r="D2746" t="s">
        <v>858</v>
      </c>
      <c r="E2746" t="s">
        <v>45</v>
      </c>
      <c r="F2746" t="s">
        <v>2208</v>
      </c>
    </row>
    <row r="2747" spans="1:6" hidden="1" x14ac:dyDescent="0.2">
      <c r="A2747" s="63">
        <v>45680</v>
      </c>
      <c r="B2747" t="s">
        <v>1284</v>
      </c>
      <c r="C2747">
        <v>2.5299999999999998</v>
      </c>
      <c r="D2747" t="s">
        <v>5</v>
      </c>
      <c r="E2747" t="s">
        <v>6</v>
      </c>
      <c r="F2747" t="s">
        <v>2208</v>
      </c>
    </row>
    <row r="2748" spans="1:6" hidden="1" x14ac:dyDescent="0.2">
      <c r="A2748" s="63">
        <v>45679</v>
      </c>
      <c r="B2748" t="s">
        <v>2308</v>
      </c>
      <c r="C2748">
        <v>16.09</v>
      </c>
      <c r="D2748">
        <v>0</v>
      </c>
      <c r="E2748">
        <v>0</v>
      </c>
      <c r="F2748" t="s">
        <v>2208</v>
      </c>
    </row>
    <row r="2749" spans="1:6" hidden="1" x14ac:dyDescent="0.2">
      <c r="A2749" s="63">
        <v>45679</v>
      </c>
      <c r="B2749" t="s">
        <v>2332</v>
      </c>
      <c r="C2749">
        <v>23.16</v>
      </c>
      <c r="D2749" t="s">
        <v>514</v>
      </c>
      <c r="E2749" t="s">
        <v>6</v>
      </c>
      <c r="F2749" t="s">
        <v>2208</v>
      </c>
    </row>
    <row r="2750" spans="1:6" hidden="1" x14ac:dyDescent="0.2">
      <c r="A2750" s="63">
        <v>45679</v>
      </c>
      <c r="B2750" t="s">
        <v>2309</v>
      </c>
      <c r="C2750">
        <v>16.13</v>
      </c>
      <c r="D2750" t="s">
        <v>165</v>
      </c>
      <c r="E2750" t="s">
        <v>45</v>
      </c>
      <c r="F2750" t="s">
        <v>2208</v>
      </c>
    </row>
    <row r="2751" spans="1:6" hidden="1" x14ac:dyDescent="0.2">
      <c r="A2751" s="63">
        <v>45679</v>
      </c>
      <c r="B2751" t="s">
        <v>2292</v>
      </c>
      <c r="C2751">
        <v>12.72</v>
      </c>
      <c r="D2751" t="s">
        <v>165</v>
      </c>
      <c r="E2751" t="s">
        <v>45</v>
      </c>
      <c r="F2751" t="s">
        <v>2208</v>
      </c>
    </row>
    <row r="2752" spans="1:6" hidden="1" x14ac:dyDescent="0.2">
      <c r="A2752" s="63">
        <v>45679</v>
      </c>
      <c r="B2752" t="s">
        <v>2322</v>
      </c>
      <c r="C2752">
        <v>20</v>
      </c>
      <c r="D2752" t="s">
        <v>858</v>
      </c>
      <c r="E2752" t="s">
        <v>6</v>
      </c>
      <c r="F2752" t="s">
        <v>2208</v>
      </c>
    </row>
    <row r="2753" spans="1:6" hidden="1" x14ac:dyDescent="0.2">
      <c r="A2753" s="63">
        <v>45679</v>
      </c>
      <c r="B2753" t="s">
        <v>74</v>
      </c>
      <c r="C2753">
        <v>40</v>
      </c>
      <c r="D2753" t="s">
        <v>68</v>
      </c>
      <c r="E2753" t="s">
        <v>45</v>
      </c>
      <c r="F2753" t="s">
        <v>2208</v>
      </c>
    </row>
    <row r="2754" spans="1:6" hidden="1" x14ac:dyDescent="0.2">
      <c r="A2754" s="63">
        <v>45679</v>
      </c>
      <c r="B2754" t="s">
        <v>2226</v>
      </c>
      <c r="C2754">
        <v>4.22</v>
      </c>
      <c r="D2754" t="s">
        <v>5</v>
      </c>
      <c r="E2754" t="s">
        <v>6</v>
      </c>
      <c r="F2754" t="s">
        <v>2208</v>
      </c>
    </row>
    <row r="2755" spans="1:6" hidden="1" x14ac:dyDescent="0.2">
      <c r="A2755" s="63">
        <v>45678</v>
      </c>
      <c r="B2755" t="s">
        <v>2256</v>
      </c>
      <c r="C2755">
        <v>7.11</v>
      </c>
      <c r="D2755" t="s">
        <v>165</v>
      </c>
      <c r="E2755" t="s">
        <v>45</v>
      </c>
      <c r="F2755" t="s">
        <v>2208</v>
      </c>
    </row>
    <row r="2756" spans="1:6" hidden="1" x14ac:dyDescent="0.2">
      <c r="A2756" s="63">
        <v>45678</v>
      </c>
      <c r="B2756" t="s">
        <v>2223</v>
      </c>
      <c r="C2756">
        <v>2</v>
      </c>
      <c r="D2756" t="s">
        <v>858</v>
      </c>
      <c r="E2756" t="s">
        <v>6</v>
      </c>
      <c r="F2756" t="s">
        <v>2208</v>
      </c>
    </row>
    <row r="2757" spans="1:6" hidden="1" x14ac:dyDescent="0.2">
      <c r="A2757" s="63">
        <v>45678</v>
      </c>
      <c r="B2757" t="s">
        <v>2233</v>
      </c>
      <c r="C2757">
        <v>3.65</v>
      </c>
      <c r="D2757" t="s">
        <v>5</v>
      </c>
      <c r="E2757" t="s">
        <v>6</v>
      </c>
      <c r="F2757" t="s">
        <v>2208</v>
      </c>
    </row>
    <row r="2758" spans="1:6" hidden="1" x14ac:dyDescent="0.2">
      <c r="A2758" s="63">
        <v>45678</v>
      </c>
      <c r="B2758" t="s">
        <v>2306</v>
      </c>
      <c r="C2758">
        <v>16.010000000000002</v>
      </c>
      <c r="D2758" t="s">
        <v>5</v>
      </c>
      <c r="E2758" t="s">
        <v>6</v>
      </c>
      <c r="F2758" t="s">
        <v>2208</v>
      </c>
    </row>
    <row r="2759" spans="1:6" hidden="1" x14ac:dyDescent="0.2">
      <c r="A2759" s="63">
        <v>45678</v>
      </c>
      <c r="B2759" t="s">
        <v>2287</v>
      </c>
      <c r="C2759">
        <v>11.94</v>
      </c>
      <c r="D2759" t="s">
        <v>165</v>
      </c>
      <c r="E2759" t="s">
        <v>45</v>
      </c>
      <c r="F2759" t="s">
        <v>2208</v>
      </c>
    </row>
    <row r="2760" spans="1:6" hidden="1" x14ac:dyDescent="0.2">
      <c r="A2760" s="63">
        <v>45678</v>
      </c>
      <c r="B2760" t="s">
        <v>1284</v>
      </c>
      <c r="C2760">
        <v>7.83</v>
      </c>
      <c r="D2760" t="s">
        <v>5</v>
      </c>
      <c r="E2760" t="s">
        <v>6</v>
      </c>
      <c r="F2760" t="s">
        <v>2208</v>
      </c>
    </row>
    <row r="2761" spans="1:6" hidden="1" x14ac:dyDescent="0.2">
      <c r="A2761" s="63">
        <v>45677</v>
      </c>
      <c r="B2761" t="s">
        <v>2256</v>
      </c>
      <c r="C2761">
        <v>10.01</v>
      </c>
      <c r="D2761" t="s">
        <v>165</v>
      </c>
      <c r="E2761" t="s">
        <v>45</v>
      </c>
      <c r="F2761" t="s">
        <v>2208</v>
      </c>
    </row>
    <row r="2762" spans="1:6" hidden="1" x14ac:dyDescent="0.2">
      <c r="A2762" s="63">
        <v>45677</v>
      </c>
      <c r="B2762" t="s">
        <v>2317</v>
      </c>
      <c r="C2762">
        <v>18.32</v>
      </c>
      <c r="D2762" t="s">
        <v>165</v>
      </c>
      <c r="E2762" t="s">
        <v>45</v>
      </c>
      <c r="F2762" t="s">
        <v>2208</v>
      </c>
    </row>
    <row r="2763" spans="1:6" hidden="1" x14ac:dyDescent="0.2">
      <c r="A2763" s="63">
        <v>45676</v>
      </c>
      <c r="B2763" t="s">
        <v>2449</v>
      </c>
      <c r="C2763">
        <v>1527.52</v>
      </c>
      <c r="D2763" t="s">
        <v>956</v>
      </c>
      <c r="E2763" t="s">
        <v>45</v>
      </c>
      <c r="F2763" t="s">
        <v>2208</v>
      </c>
    </row>
    <row r="2764" spans="1:6" hidden="1" x14ac:dyDescent="0.2">
      <c r="A2764" s="63">
        <v>45676</v>
      </c>
      <c r="B2764" t="s">
        <v>2442</v>
      </c>
      <c r="C2764">
        <v>499</v>
      </c>
      <c r="D2764" t="s">
        <v>593</v>
      </c>
      <c r="E2764" t="s">
        <v>45</v>
      </c>
      <c r="F2764" t="s">
        <v>2208</v>
      </c>
    </row>
    <row r="2765" spans="1:6" hidden="1" x14ac:dyDescent="0.2">
      <c r="A2765" s="63">
        <v>45675</v>
      </c>
      <c r="B2765" t="s">
        <v>1487</v>
      </c>
      <c r="C2765">
        <v>31.99</v>
      </c>
      <c r="D2765" t="s">
        <v>5</v>
      </c>
      <c r="E2765" t="s">
        <v>45</v>
      </c>
      <c r="F2765" t="s">
        <v>2208</v>
      </c>
    </row>
    <row r="2766" spans="1:6" hidden="1" x14ac:dyDescent="0.2">
      <c r="A2766" s="63">
        <v>45675</v>
      </c>
      <c r="B2766" t="s">
        <v>2399</v>
      </c>
      <c r="C2766">
        <v>69.599999999999994</v>
      </c>
      <c r="D2766" t="s">
        <v>828</v>
      </c>
      <c r="E2766" t="s">
        <v>6</v>
      </c>
      <c r="F2766" t="s">
        <v>2208</v>
      </c>
    </row>
    <row r="2767" spans="1:6" hidden="1" x14ac:dyDescent="0.2">
      <c r="A2767" s="63">
        <v>45675</v>
      </c>
      <c r="B2767" t="s">
        <v>2383</v>
      </c>
      <c r="C2767">
        <v>117.31</v>
      </c>
      <c r="D2767" t="s">
        <v>5</v>
      </c>
      <c r="E2767" t="s">
        <v>6</v>
      </c>
      <c r="F2767" t="s">
        <v>2208</v>
      </c>
    </row>
    <row r="2768" spans="1:6" hidden="1" x14ac:dyDescent="0.2">
      <c r="A2768" s="63">
        <v>45674</v>
      </c>
      <c r="B2768" t="s">
        <v>2314</v>
      </c>
      <c r="C2768">
        <v>17.38</v>
      </c>
      <c r="D2768" t="s">
        <v>165</v>
      </c>
      <c r="E2768" t="s">
        <v>45</v>
      </c>
      <c r="F2768" t="s">
        <v>2208</v>
      </c>
    </row>
    <row r="2769" spans="1:6" hidden="1" x14ac:dyDescent="0.2">
      <c r="A2769" s="63">
        <v>45674</v>
      </c>
      <c r="B2769" t="s">
        <v>2382</v>
      </c>
      <c r="C2769">
        <v>56.82</v>
      </c>
      <c r="D2769" t="s">
        <v>5</v>
      </c>
      <c r="E2769" t="s">
        <v>6</v>
      </c>
      <c r="F2769" t="s">
        <v>2208</v>
      </c>
    </row>
    <row r="2770" spans="1:6" hidden="1" x14ac:dyDescent="0.2">
      <c r="A2770" s="63">
        <v>45673</v>
      </c>
      <c r="B2770" t="s">
        <v>225</v>
      </c>
      <c r="C2770">
        <v>11.58</v>
      </c>
      <c r="D2770" t="s">
        <v>165</v>
      </c>
      <c r="E2770" t="s">
        <v>45</v>
      </c>
      <c r="F2770" t="s">
        <v>2208</v>
      </c>
    </row>
    <row r="2771" spans="1:6" hidden="1" x14ac:dyDescent="0.2">
      <c r="A2771" s="63">
        <v>45673</v>
      </c>
      <c r="B2771" t="s">
        <v>2410</v>
      </c>
      <c r="C2771">
        <v>200</v>
      </c>
      <c r="D2771" t="s">
        <v>98</v>
      </c>
      <c r="E2771" t="s">
        <v>6</v>
      </c>
      <c r="F2771" t="s">
        <v>2208</v>
      </c>
    </row>
    <row r="2772" spans="1:6" hidden="1" x14ac:dyDescent="0.2">
      <c r="A2772" s="63">
        <v>45673</v>
      </c>
      <c r="B2772" t="s">
        <v>557</v>
      </c>
      <c r="C2772">
        <v>33.51</v>
      </c>
      <c r="D2772" t="s">
        <v>514</v>
      </c>
      <c r="E2772" t="s">
        <v>6</v>
      </c>
      <c r="F2772" t="s">
        <v>2208</v>
      </c>
    </row>
    <row r="2773" spans="1:6" hidden="1" x14ac:dyDescent="0.2">
      <c r="A2773" s="63">
        <v>45673</v>
      </c>
      <c r="B2773" t="s">
        <v>2434</v>
      </c>
      <c r="C2773">
        <v>291.05</v>
      </c>
      <c r="D2773" t="s">
        <v>165</v>
      </c>
      <c r="E2773" t="s">
        <v>45</v>
      </c>
      <c r="F2773" t="s">
        <v>2208</v>
      </c>
    </row>
    <row r="2774" spans="1:6" hidden="1" x14ac:dyDescent="0.2">
      <c r="A2774" s="63">
        <v>45673</v>
      </c>
      <c r="B2774" t="s">
        <v>2262</v>
      </c>
      <c r="C2774">
        <v>10</v>
      </c>
      <c r="D2774" t="s">
        <v>5</v>
      </c>
      <c r="E2774" t="s">
        <v>6</v>
      </c>
      <c r="F2774" t="s">
        <v>2208</v>
      </c>
    </row>
    <row r="2775" spans="1:6" hidden="1" x14ac:dyDescent="0.2">
      <c r="A2775" s="63">
        <v>45672</v>
      </c>
      <c r="B2775" t="s">
        <v>2443</v>
      </c>
      <c r="C2775">
        <v>500</v>
      </c>
      <c r="D2775" t="s">
        <v>165</v>
      </c>
      <c r="E2775" t="s">
        <v>45</v>
      </c>
      <c r="F2775" t="s">
        <v>2208</v>
      </c>
    </row>
    <row r="2776" spans="1:6" hidden="1" x14ac:dyDescent="0.2">
      <c r="A2776" s="63">
        <v>45671</v>
      </c>
      <c r="B2776" t="s">
        <v>2279</v>
      </c>
      <c r="C2776">
        <v>10.95</v>
      </c>
      <c r="D2776" t="s">
        <v>639</v>
      </c>
      <c r="E2776" t="s">
        <v>6</v>
      </c>
      <c r="F2776" t="s">
        <v>2208</v>
      </c>
    </row>
    <row r="2777" spans="1:6" hidden="1" x14ac:dyDescent="0.2">
      <c r="A2777" s="63">
        <v>45671</v>
      </c>
      <c r="B2777" t="s">
        <v>511</v>
      </c>
      <c r="C2777">
        <v>125</v>
      </c>
      <c r="D2777" t="s">
        <v>512</v>
      </c>
      <c r="E2777" t="s">
        <v>45</v>
      </c>
      <c r="F2777" t="s">
        <v>2208</v>
      </c>
    </row>
    <row r="2778" spans="1:6" hidden="1" x14ac:dyDescent="0.2">
      <c r="A2778" s="63">
        <v>45671</v>
      </c>
      <c r="B2778" t="s">
        <v>487</v>
      </c>
      <c r="C2778">
        <v>15373.75</v>
      </c>
      <c r="D2778" t="s">
        <v>469</v>
      </c>
      <c r="E2778" t="s">
        <v>56</v>
      </c>
      <c r="F2778" t="s">
        <v>2208</v>
      </c>
    </row>
    <row r="2779" spans="1:6" hidden="1" x14ac:dyDescent="0.2">
      <c r="A2779" s="63">
        <v>45671</v>
      </c>
      <c r="B2779" t="s">
        <v>2383</v>
      </c>
      <c r="C2779">
        <v>57.98</v>
      </c>
      <c r="D2779" t="s">
        <v>5</v>
      </c>
      <c r="E2779" t="s">
        <v>6</v>
      </c>
      <c r="F2779" t="s">
        <v>2208</v>
      </c>
    </row>
    <row r="2780" spans="1:6" hidden="1" x14ac:dyDescent="0.2">
      <c r="A2780" s="63">
        <v>45670</v>
      </c>
      <c r="B2780" t="s">
        <v>2274</v>
      </c>
      <c r="C2780">
        <v>9.7899999999999991</v>
      </c>
      <c r="D2780" t="s">
        <v>639</v>
      </c>
      <c r="E2780" t="s">
        <v>6</v>
      </c>
      <c r="F2780" t="s">
        <v>2208</v>
      </c>
    </row>
    <row r="2781" spans="1:6" hidden="1" x14ac:dyDescent="0.2">
      <c r="A2781" s="63">
        <v>45670</v>
      </c>
      <c r="B2781" t="s">
        <v>2344</v>
      </c>
      <c r="C2781">
        <v>34.93</v>
      </c>
      <c r="D2781" t="s">
        <v>165</v>
      </c>
      <c r="E2781" t="s">
        <v>45</v>
      </c>
      <c r="F2781" t="s">
        <v>2208</v>
      </c>
    </row>
    <row r="2782" spans="1:6" hidden="1" x14ac:dyDescent="0.2">
      <c r="A2782" s="63">
        <v>45670</v>
      </c>
      <c r="B2782" t="s">
        <v>2241</v>
      </c>
      <c r="C2782">
        <v>13.22</v>
      </c>
      <c r="D2782" t="s">
        <v>165</v>
      </c>
      <c r="E2782" t="s">
        <v>45</v>
      </c>
      <c r="F2782" t="s">
        <v>2208</v>
      </c>
    </row>
    <row r="2783" spans="1:6" hidden="1" x14ac:dyDescent="0.2">
      <c r="A2783" s="63">
        <v>45669</v>
      </c>
      <c r="B2783" t="s">
        <v>1487</v>
      </c>
      <c r="C2783">
        <v>36.07</v>
      </c>
      <c r="D2783" t="s">
        <v>5</v>
      </c>
      <c r="E2783" t="s">
        <v>45</v>
      </c>
      <c r="F2783" t="s">
        <v>2208</v>
      </c>
    </row>
    <row r="2784" spans="1:6" hidden="1" x14ac:dyDescent="0.2">
      <c r="A2784" s="63">
        <v>45669</v>
      </c>
      <c r="B2784" t="s">
        <v>2299</v>
      </c>
      <c r="C2784">
        <v>14.48</v>
      </c>
      <c r="D2784" t="s">
        <v>5</v>
      </c>
      <c r="E2784" t="s">
        <v>6</v>
      </c>
      <c r="F2784" t="s">
        <v>2208</v>
      </c>
    </row>
    <row r="2785" spans="1:6" hidden="1" x14ac:dyDescent="0.2">
      <c r="A2785" s="63">
        <v>45669</v>
      </c>
      <c r="B2785" t="s">
        <v>2299</v>
      </c>
      <c r="C2785">
        <v>54.95</v>
      </c>
      <c r="D2785" t="s">
        <v>5</v>
      </c>
      <c r="E2785" t="s">
        <v>6</v>
      </c>
      <c r="F2785" t="s">
        <v>2208</v>
      </c>
    </row>
    <row r="2786" spans="1:6" hidden="1" x14ac:dyDescent="0.2">
      <c r="A2786" s="63">
        <v>45669</v>
      </c>
      <c r="B2786" t="s">
        <v>879</v>
      </c>
      <c r="C2786">
        <v>220.7</v>
      </c>
      <c r="D2786" t="s">
        <v>858</v>
      </c>
      <c r="E2786" t="s">
        <v>45</v>
      </c>
      <c r="F2786" t="s">
        <v>2208</v>
      </c>
    </row>
    <row r="2787" spans="1:6" hidden="1" x14ac:dyDescent="0.2">
      <c r="A2787" s="63">
        <v>45669</v>
      </c>
      <c r="B2787" t="s">
        <v>2254</v>
      </c>
      <c r="C2787">
        <v>6.56</v>
      </c>
      <c r="D2787" t="s">
        <v>165</v>
      </c>
      <c r="E2787" t="s">
        <v>45</v>
      </c>
      <c r="F2787" t="s">
        <v>2208</v>
      </c>
    </row>
    <row r="2788" spans="1:6" hidden="1" x14ac:dyDescent="0.2">
      <c r="A2788" s="63">
        <v>45669</v>
      </c>
      <c r="B2788" t="s">
        <v>2282</v>
      </c>
      <c r="C2788">
        <v>11.32</v>
      </c>
      <c r="D2788" t="s">
        <v>165</v>
      </c>
      <c r="E2788" t="s">
        <v>45</v>
      </c>
      <c r="F2788" t="s">
        <v>2208</v>
      </c>
    </row>
    <row r="2789" spans="1:6" hidden="1" x14ac:dyDescent="0.2">
      <c r="A2789" s="63">
        <v>45669</v>
      </c>
      <c r="B2789" t="s">
        <v>2282</v>
      </c>
      <c r="C2789">
        <v>17.25</v>
      </c>
      <c r="D2789" t="s">
        <v>165</v>
      </c>
      <c r="E2789" t="s">
        <v>45</v>
      </c>
      <c r="F2789" t="s">
        <v>2208</v>
      </c>
    </row>
    <row r="2790" spans="1:6" hidden="1" x14ac:dyDescent="0.2">
      <c r="A2790" s="63">
        <v>45668</v>
      </c>
      <c r="B2790" t="s">
        <v>2282</v>
      </c>
      <c r="C2790">
        <v>16.3</v>
      </c>
      <c r="D2790" t="s">
        <v>165</v>
      </c>
      <c r="E2790" t="s">
        <v>45</v>
      </c>
      <c r="F2790" t="s">
        <v>2208</v>
      </c>
    </row>
    <row r="2791" spans="1:6" hidden="1" x14ac:dyDescent="0.2">
      <c r="A2791" s="63">
        <v>45667</v>
      </c>
      <c r="B2791" t="s">
        <v>2378</v>
      </c>
      <c r="C2791">
        <v>57.55</v>
      </c>
      <c r="D2791" t="s">
        <v>5</v>
      </c>
      <c r="E2791" t="s">
        <v>6</v>
      </c>
      <c r="F2791" t="s">
        <v>2208</v>
      </c>
    </row>
    <row r="2792" spans="1:6" hidden="1" x14ac:dyDescent="0.2">
      <c r="A2792" s="63">
        <v>45667</v>
      </c>
      <c r="B2792" t="s">
        <v>2241</v>
      </c>
      <c r="C2792">
        <v>4.88</v>
      </c>
      <c r="D2792" t="s">
        <v>165</v>
      </c>
      <c r="E2792" t="s">
        <v>45</v>
      </c>
      <c r="F2792" t="s">
        <v>2208</v>
      </c>
    </row>
    <row r="2793" spans="1:6" hidden="1" x14ac:dyDescent="0.2">
      <c r="A2793" s="63">
        <v>45666</v>
      </c>
      <c r="B2793" t="s">
        <v>2436</v>
      </c>
      <c r="C2793">
        <v>348.99</v>
      </c>
      <c r="D2793" t="s">
        <v>956</v>
      </c>
      <c r="E2793" t="s">
        <v>45</v>
      </c>
      <c r="F2793" t="s">
        <v>2208</v>
      </c>
    </row>
    <row r="2794" spans="1:6" hidden="1" x14ac:dyDescent="0.2">
      <c r="A2794" s="63">
        <v>45666</v>
      </c>
      <c r="B2794" t="s">
        <v>2361</v>
      </c>
      <c r="C2794">
        <v>37.43</v>
      </c>
      <c r="D2794" t="s">
        <v>5</v>
      </c>
      <c r="E2794" t="s">
        <v>6</v>
      </c>
      <c r="F2794" t="s">
        <v>2208</v>
      </c>
    </row>
    <row r="2795" spans="1:6" hidden="1" x14ac:dyDescent="0.2">
      <c r="A2795" s="63">
        <v>45666</v>
      </c>
      <c r="B2795" t="s">
        <v>2446</v>
      </c>
      <c r="C2795">
        <v>854.2</v>
      </c>
      <c r="D2795" t="s">
        <v>956</v>
      </c>
      <c r="E2795" t="s">
        <v>45</v>
      </c>
      <c r="F2795" t="s">
        <v>2208</v>
      </c>
    </row>
    <row r="2796" spans="1:6" hidden="1" x14ac:dyDescent="0.2">
      <c r="A2796" s="63">
        <v>45665</v>
      </c>
      <c r="B2796" t="s">
        <v>2429</v>
      </c>
      <c r="C2796">
        <v>208.38</v>
      </c>
      <c r="D2796" t="s">
        <v>98</v>
      </c>
      <c r="E2796" t="s">
        <v>6</v>
      </c>
      <c r="F2796" t="s">
        <v>2208</v>
      </c>
    </row>
    <row r="2797" spans="1:6" hidden="1" x14ac:dyDescent="0.2">
      <c r="A2797" s="63">
        <v>45664</v>
      </c>
      <c r="B2797" t="s">
        <v>1461</v>
      </c>
      <c r="C2797">
        <v>53.71</v>
      </c>
      <c r="D2797" t="s">
        <v>639</v>
      </c>
      <c r="E2797" t="s">
        <v>6</v>
      </c>
      <c r="F2797" t="s">
        <v>2208</v>
      </c>
    </row>
    <row r="2798" spans="1:6" hidden="1" x14ac:dyDescent="0.2">
      <c r="A2798" s="63">
        <v>45664</v>
      </c>
      <c r="B2798" t="s">
        <v>2341</v>
      </c>
      <c r="C2798">
        <v>27.64</v>
      </c>
      <c r="D2798" t="s">
        <v>639</v>
      </c>
      <c r="E2798" t="s">
        <v>6</v>
      </c>
      <c r="F2798" t="s">
        <v>2208</v>
      </c>
    </row>
    <row r="2799" spans="1:6" hidden="1" x14ac:dyDescent="0.2">
      <c r="A2799" s="63">
        <v>45664</v>
      </c>
      <c r="B2799" t="s">
        <v>2341</v>
      </c>
      <c r="C2799">
        <v>27.99</v>
      </c>
      <c r="D2799" t="s">
        <v>639</v>
      </c>
      <c r="E2799" t="s">
        <v>6</v>
      </c>
      <c r="F2799" t="s">
        <v>2208</v>
      </c>
    </row>
    <row r="2800" spans="1:6" hidden="1" x14ac:dyDescent="0.2">
      <c r="A2800" s="63">
        <v>45664</v>
      </c>
      <c r="B2800" t="s">
        <v>2340</v>
      </c>
      <c r="C2800">
        <v>27.57</v>
      </c>
      <c r="D2800" t="s">
        <v>901</v>
      </c>
      <c r="E2800" t="s">
        <v>45</v>
      </c>
      <c r="F2800" t="s">
        <v>2208</v>
      </c>
    </row>
    <row r="2801" spans="1:6" hidden="1" x14ac:dyDescent="0.2">
      <c r="A2801" s="63">
        <v>45664</v>
      </c>
      <c r="B2801" t="s">
        <v>2340</v>
      </c>
      <c r="C2801">
        <v>77.010000000000005</v>
      </c>
      <c r="D2801" t="s">
        <v>901</v>
      </c>
      <c r="E2801" t="s">
        <v>45</v>
      </c>
      <c r="F2801" t="s">
        <v>2208</v>
      </c>
    </row>
    <row r="2802" spans="1:6" hidden="1" x14ac:dyDescent="0.2">
      <c r="A2802" s="63">
        <v>45664</v>
      </c>
      <c r="B2802" t="s">
        <v>2263</v>
      </c>
      <c r="C2802">
        <v>8</v>
      </c>
      <c r="D2802" t="s">
        <v>901</v>
      </c>
      <c r="E2802" t="s">
        <v>45</v>
      </c>
      <c r="F2802" t="s">
        <v>2208</v>
      </c>
    </row>
    <row r="2803" spans="1:6" hidden="1" x14ac:dyDescent="0.2">
      <c r="A2803" s="63">
        <v>45663</v>
      </c>
      <c r="B2803" t="s">
        <v>2245</v>
      </c>
      <c r="C2803">
        <v>5.58</v>
      </c>
      <c r="D2803" t="s">
        <v>639</v>
      </c>
      <c r="E2803" t="s">
        <v>6</v>
      </c>
      <c r="F2803" t="s">
        <v>2208</v>
      </c>
    </row>
    <row r="2804" spans="1:6" hidden="1" x14ac:dyDescent="0.2">
      <c r="A2804" s="63">
        <v>45662</v>
      </c>
      <c r="B2804" t="s">
        <v>2395</v>
      </c>
      <c r="C2804">
        <v>66.2</v>
      </c>
      <c r="D2804" t="s">
        <v>858</v>
      </c>
      <c r="E2804" t="s">
        <v>6</v>
      </c>
      <c r="F2804" t="s">
        <v>2208</v>
      </c>
    </row>
    <row r="2805" spans="1:6" hidden="1" x14ac:dyDescent="0.2">
      <c r="A2805" s="63">
        <v>45662</v>
      </c>
      <c r="B2805" t="s">
        <v>2324</v>
      </c>
      <c r="C2805">
        <v>20.62</v>
      </c>
      <c r="D2805">
        <v>0</v>
      </c>
      <c r="E2805">
        <v>0</v>
      </c>
      <c r="F2805" t="s">
        <v>2208</v>
      </c>
    </row>
    <row r="2806" spans="1:6" hidden="1" x14ac:dyDescent="0.2">
      <c r="A2806" s="63">
        <v>45661</v>
      </c>
      <c r="B2806" t="s">
        <v>2295</v>
      </c>
      <c r="C2806">
        <v>13.23</v>
      </c>
      <c r="D2806" t="s">
        <v>5</v>
      </c>
      <c r="E2806" t="s">
        <v>6</v>
      </c>
      <c r="F2806" t="s">
        <v>2208</v>
      </c>
    </row>
    <row r="2807" spans="1:6" hidden="1" x14ac:dyDescent="0.2">
      <c r="A2807" s="63">
        <v>45661</v>
      </c>
      <c r="B2807" t="s">
        <v>1487</v>
      </c>
      <c r="C2807">
        <v>28.97</v>
      </c>
      <c r="D2807" t="s">
        <v>5</v>
      </c>
      <c r="E2807" t="s">
        <v>45</v>
      </c>
      <c r="F2807" t="s">
        <v>2208</v>
      </c>
    </row>
    <row r="2808" spans="1:6" hidden="1" x14ac:dyDescent="0.2">
      <c r="A2808" s="63">
        <v>45660</v>
      </c>
      <c r="B2808" t="s">
        <v>2406</v>
      </c>
      <c r="C2808">
        <v>79.709999999999994</v>
      </c>
      <c r="D2808" t="s">
        <v>165</v>
      </c>
      <c r="E2808" t="s">
        <v>45</v>
      </c>
      <c r="F2808" t="s">
        <v>2208</v>
      </c>
    </row>
    <row r="2809" spans="1:6" hidden="1" x14ac:dyDescent="0.2">
      <c r="A2809" s="63">
        <v>45660</v>
      </c>
      <c r="B2809" t="s">
        <v>2281</v>
      </c>
      <c r="C2809">
        <v>11.24</v>
      </c>
      <c r="D2809" t="s">
        <v>5</v>
      </c>
      <c r="E2809" t="s">
        <v>6</v>
      </c>
      <c r="F2809" t="s">
        <v>2208</v>
      </c>
    </row>
    <row r="2810" spans="1:6" hidden="1" x14ac:dyDescent="0.2">
      <c r="A2810" s="63">
        <v>45660</v>
      </c>
      <c r="B2810" t="s">
        <v>2378</v>
      </c>
      <c r="C2810">
        <v>52</v>
      </c>
      <c r="D2810" t="s">
        <v>5</v>
      </c>
      <c r="E2810" t="s">
        <v>6</v>
      </c>
      <c r="F2810" t="s">
        <v>2208</v>
      </c>
    </row>
    <row r="2811" spans="1:6" hidden="1" x14ac:dyDescent="0.2">
      <c r="A2811" s="63">
        <v>45660</v>
      </c>
      <c r="B2811" t="s">
        <v>2378</v>
      </c>
      <c r="C2811">
        <v>66.069999999999993</v>
      </c>
      <c r="D2811" t="s">
        <v>5</v>
      </c>
      <c r="E2811" t="s">
        <v>6</v>
      </c>
      <c r="F2811" t="s">
        <v>2208</v>
      </c>
    </row>
    <row r="2812" spans="1:6" hidden="1" x14ac:dyDescent="0.2">
      <c r="A2812" s="63">
        <v>45659</v>
      </c>
      <c r="B2812" t="s">
        <v>931</v>
      </c>
      <c r="C2812">
        <v>3.3</v>
      </c>
      <c r="D2812" t="s">
        <v>901</v>
      </c>
      <c r="E2812" t="s">
        <v>6</v>
      </c>
      <c r="F2812" t="s">
        <v>2208</v>
      </c>
    </row>
    <row r="2813" spans="1:6" hidden="1" x14ac:dyDescent="0.2">
      <c r="A2813" s="63">
        <v>45659</v>
      </c>
      <c r="B2813" t="s">
        <v>2377</v>
      </c>
      <c r="C2813">
        <v>50.74</v>
      </c>
      <c r="D2813" t="s">
        <v>469</v>
      </c>
      <c r="E2813" t="s">
        <v>6</v>
      </c>
      <c r="F2813" t="s">
        <v>2208</v>
      </c>
    </row>
    <row r="2814" spans="1:6" hidden="1" x14ac:dyDescent="0.2">
      <c r="A2814" s="63">
        <v>45659</v>
      </c>
      <c r="B2814" t="s">
        <v>2400</v>
      </c>
      <c r="C2814">
        <v>70.72</v>
      </c>
      <c r="D2814" t="s">
        <v>469</v>
      </c>
      <c r="E2814" t="s">
        <v>6</v>
      </c>
      <c r="F2814" t="s">
        <v>2208</v>
      </c>
    </row>
    <row r="2815" spans="1:6" hidden="1" x14ac:dyDescent="0.2">
      <c r="A2815" s="63">
        <v>45659</v>
      </c>
      <c r="B2815" t="s">
        <v>2417</v>
      </c>
      <c r="C2815">
        <v>125.73</v>
      </c>
      <c r="D2815" t="s">
        <v>469</v>
      </c>
      <c r="E2815" t="s">
        <v>45</v>
      </c>
      <c r="F2815" t="s">
        <v>2208</v>
      </c>
    </row>
    <row r="2816" spans="1:6" hidden="1" x14ac:dyDescent="0.2">
      <c r="A2816" s="63">
        <v>45658</v>
      </c>
      <c r="B2816" t="s">
        <v>2271</v>
      </c>
      <c r="C2816">
        <v>9.6</v>
      </c>
      <c r="D2816" t="s">
        <v>165</v>
      </c>
      <c r="E2816" t="s">
        <v>45</v>
      </c>
      <c r="F2816" t="s">
        <v>2208</v>
      </c>
    </row>
    <row r="2817" spans="1:6" hidden="1" x14ac:dyDescent="0.2">
      <c r="A2817" s="63">
        <v>45658</v>
      </c>
      <c r="B2817" t="s">
        <v>252</v>
      </c>
      <c r="C2817">
        <v>25.03</v>
      </c>
      <c r="D2817" t="s">
        <v>165</v>
      </c>
      <c r="E2817" t="s">
        <v>45</v>
      </c>
      <c r="F2817" t="s">
        <v>2208</v>
      </c>
    </row>
    <row r="2818" spans="1:6" hidden="1" x14ac:dyDescent="0.2">
      <c r="A2818" s="63">
        <v>45658</v>
      </c>
      <c r="B2818" t="s">
        <v>2400</v>
      </c>
      <c r="C2818">
        <v>121.3</v>
      </c>
      <c r="D2818" t="s">
        <v>469</v>
      </c>
      <c r="E2818" t="s">
        <v>6</v>
      </c>
      <c r="F2818" t="s">
        <v>2208</v>
      </c>
    </row>
  </sheetData>
  <autoFilter ref="A1:F2818" xr:uid="{81E25CF9-9B40-D245-A42F-9D9D3943720E}">
    <filterColumn colId="1">
      <filters>
        <filter val="Ext Credit Card Debit CASH ADVANCE             BEAVERTON    OR"/>
      </filters>
    </filterColumn>
  </autoFilter>
  <hyperlinks>
    <hyperlink ref="B1577" r:id="rId1" display="http://tonal.com/" xr:uid="{8E233666-3781-6C43-ABD3-1C818495F3BD}"/>
    <hyperlink ref="B758" r:id="rId2" display="http://brownpapertickets.com/" xr:uid="{8C6A852E-C530-334E-BFB2-3E210E236485}"/>
    <hyperlink ref="B1489" r:id="rId3" display="http://libro.fm/" xr:uid="{4932587F-6D1B-7748-9CC6-66F384C6F49E}"/>
    <hyperlink ref="B1578" r:id="rId4" display="http://tonal.com/" xr:uid="{868B7BAE-17A0-C842-AA6F-6C0EDBF5533D}"/>
    <hyperlink ref="B1490" r:id="rId5" display="http://libro.fm/" xr:uid="{38141151-E631-A74D-888B-43DF1049118B}"/>
    <hyperlink ref="B1492" r:id="rId6" display="http://thefp.com/" xr:uid="{04138AAB-8ABD-214D-8088-BC22C786A481}"/>
    <hyperlink ref="B1720" r:id="rId7" location="CA" display="http://g.co/HelpPay - CA" xr:uid="{BB4E160C-C559-A94F-B135-BA1DDF87C50C}"/>
    <hyperlink ref="B1051" r:id="rId8" display="http://pllcgosq.com/" xr:uid="{1BAAA508-C702-4247-9D6E-136AF760188F}"/>
    <hyperlink ref="B1052" r:id="rId9" display="http://pllcgosq.com/" xr:uid="{F00477A6-15E4-F64E-9101-D32B0FE80C84}"/>
    <hyperlink ref="B1980" r:id="rId10" display="http://www.rowlandphoto.com/" xr:uid="{019FC6E2-4E45-784E-BFB2-8AD6A7B99878}"/>
    <hyperlink ref="B1053" r:id="rId11" display="http://gosq.com/" xr:uid="{E10D8CB0-A677-1A4E-9CBB-EF8665E2DED2}"/>
    <hyperlink ref="B1493" r:id="rId12" display="http://apple.com/BILL" xr:uid="{67FF8D62-DA57-B74C-B169-B8410DE76B98}"/>
    <hyperlink ref="B1276" r:id="rId13" display="http://tonal.com/" xr:uid="{49A34E32-38ED-124E-A4A8-F1081606501F}"/>
    <hyperlink ref="B1494" r:id="rId14" display="http://apple.com/BILL" xr:uid="{07094CB5-A81D-BB46-8AF7-D43ED757CE4B}"/>
    <hyperlink ref="B1054" r:id="rId15" display="http://www.inua.groumt/" xr:uid="{233337F4-F056-1842-9198-40596CBEB4D1}"/>
    <hyperlink ref="B1495" r:id="rId16" display="http://apple.com/BILL" xr:uid="{0EB4DB3B-7520-574A-862C-2A4C955513CE}"/>
    <hyperlink ref="B1255" r:id="rId17" display="http://www.usaa.com/" xr:uid="{00E131C9-7ECE-974B-98CA-694F5DDE1DC9}"/>
    <hyperlink ref="B1497" r:id="rId18" display="http://apple.com/BILL" xr:uid="{817B4ACE-E893-8B48-8603-9FD5E9C6DFE4}"/>
    <hyperlink ref="B1499" r:id="rId19" display="http://apple.com/BILL" xr:uid="{FC6913B3-0A6D-444E-98C6-5777AF306568}"/>
    <hyperlink ref="B1055" r:id="rId20" display="http://gosq.com/" xr:uid="{CED6D650-CFBA-0D41-826A-BF40FD9CDC77}"/>
    <hyperlink ref="B1056" r:id="rId21" display="http://gosq.com/" xr:uid="{5D30C06C-032E-4F4E-A09C-7B8016F50EC6}"/>
    <hyperlink ref="B1756" r:id="rId22" display="http://spothero.com/" xr:uid="{2BF6BEBB-C98C-D44B-B6EE-CE81CD1F05A0}"/>
    <hyperlink ref="B1501" r:id="rId23" display="http://apple.com/BILL" xr:uid="{16FC783E-D352-204C-BBA5-98564A265E40}"/>
    <hyperlink ref="B1057" r:id="rId24" display="http://linkedin.com/WA" xr:uid="{92DB4CD6-9E78-6540-BC91-D81F4D18D6AE}"/>
    <hyperlink ref="B1502" r:id="rId25" display="http://apple.com/BILL" xr:uid="{F1EBF675-8FDA-C540-82A4-67421B37A063}"/>
    <hyperlink ref="B1277" r:id="rId26" display="http://tonal.com/" xr:uid="{6AA015C8-1569-D741-B4F7-37807555E784}"/>
    <hyperlink ref="B1942" r:id="rId27" display="http://etsy.com/" xr:uid="{37427A50-DF21-E742-AE2C-D4E4984533BC}"/>
    <hyperlink ref="B1058" r:id="rId28" display="http://gosq.com/" xr:uid="{E3692C5A-CDA2-F246-8584-1701905E7C82}"/>
    <hyperlink ref="B1059" r:id="rId29" display="http://gosq.com/" xr:uid="{64B1BDF4-7879-4C4F-8BB5-80B2B63E4431}"/>
    <hyperlink ref="B1898" r:id="rId30" display="http://amzn.com/billWA" xr:uid="{FB363987-D63B-5241-8749-237D9A7F12B5}"/>
    <hyperlink ref="B1503" r:id="rId31" display="http://apple.com/BILL" xr:uid="{FF9F98E4-522B-D848-9F01-61F36F2E5F7E}"/>
    <hyperlink ref="B1794" r:id="rId32" display="http://apple.com/BILL" xr:uid="{FAE90478-9DB6-9142-9E55-CFEEAD8A7568}"/>
    <hyperlink ref="B1060" r:id="rId33" display="http://gosq.com/" xr:uid="{3403745D-F55A-D44D-B75E-7DB6CE16537F}"/>
    <hyperlink ref="B1061" r:id="rId34" display="http://gosq.com/" xr:uid="{2103B0B7-1392-9942-957B-F4D8B34AEEEE}"/>
    <hyperlink ref="B1259" r:id="rId35" display="http://www.usaa.com/" xr:uid="{43DEEED9-2FA3-4C4F-8C9D-08917B07DEBA}"/>
    <hyperlink ref="B1062" r:id="rId36" display="http://mdseelig.com/" xr:uid="{F87AC99E-8186-BF4F-9D8A-BDCBD29B9DCF}"/>
    <hyperlink ref="B1506" r:id="rId37" display="http://apple.com/BILL" xr:uid="{D90268B7-9F42-6145-AC4F-5FBDC160D987}"/>
    <hyperlink ref="B1992" r:id="rId38" display="http://etsy.com/" xr:uid="{2D02ABA3-A1EB-2A41-A4B5-42CFBE7B28DF}"/>
    <hyperlink ref="B371" r:id="rId39" display="http://doordash.com/" xr:uid="{42FAF4D5-1F06-564F-87CB-200F9E6A916C}"/>
    <hyperlink ref="B1063" r:id="rId40" display="http://gosq.com/" xr:uid="{1F996E07-1476-CE4E-B24A-8A419B58FBB5}"/>
    <hyperlink ref="B1716" r:id="rId41" display="http://amzn.com/bil" xr:uid="{9DC2D46B-0BAB-8647-8C16-A8FAE4DFD0D0}"/>
    <hyperlink ref="B807" r:id="rId42" display="http://www.costco.cowa/" xr:uid="{B35818AD-CDF2-9E44-BEAD-4B3BA5E8351E}"/>
    <hyperlink ref="B1507" r:id="rId43" display="http://hulu.com/billCA" xr:uid="{83E596B9-3D79-2149-AF54-603E8251C608}"/>
    <hyperlink ref="B1508" r:id="rId44" display="http://apple.com/BILL" xr:uid="{1E4B2164-F64E-B842-80DC-CAE821118EE3}"/>
    <hyperlink ref="B1979" r:id="rId45" display="http://www.jfsseattle.org/" xr:uid="{1A40E8B8-D1E8-CD41-9FA3-E606E875DE26}"/>
    <hyperlink ref="B255" r:id="rId46" display="http://www.corryscleaning.com/" xr:uid="{5BDE0993-B99B-B140-8FE6-178E45654D62}"/>
    <hyperlink ref="B256" r:id="rId47" display="http://www.corryscleaning.com/" xr:uid="{7FA8FC43-4425-0545-91F1-F20B54408520}"/>
    <hyperlink ref="B1064" r:id="rId48" display="http://gosq.com/" xr:uid="{309980BE-B9C7-B74E-B96F-F960B55DD199}"/>
    <hyperlink ref="B1065" r:id="rId49" display="http://gosq.com/" xr:uid="{2C3F3670-C266-CA4F-AFCD-176D2528A18C}"/>
    <hyperlink ref="B1509" r:id="rId50" display="http://apple.com/BILL" xr:uid="{CE31BFA0-581A-9C46-B283-6572B5811645}"/>
    <hyperlink ref="B1995" r:id="rId51" display="http://expedia.com/" xr:uid="{7E023933-72C5-4B46-A35A-758BE096A46C}"/>
    <hyperlink ref="B1278" r:id="rId52" display="http://tonal.com/" xr:uid="{73DCF829-E911-1F49-9CA2-FF8B41C73030}"/>
    <hyperlink ref="B1510" r:id="rId53" display="http://apple.com/BILL" xr:uid="{88ADC335-94D0-BC4C-A912-D5BCEE3D89CC}"/>
    <hyperlink ref="B1893" r:id="rId54" display="http://amzn.com/billWA" xr:uid="{2BAA81FB-9C40-F044-9F47-5FD87C489EFA}"/>
    <hyperlink ref="B1066" r:id="rId55" display="http://gosq.com/" xr:uid="{98F8ED3F-9986-FC4D-883D-C3CC93C5C3F9}"/>
    <hyperlink ref="B1511" r:id="rId56" display="http://apple.com/BILL" xr:uid="{39BDFEDF-0B53-0C44-A211-A1C1E47D806A}"/>
    <hyperlink ref="B1068" r:id="rId57" display="http://gosq.com/" xr:uid="{5D6C4CE9-85CE-5C4A-AFE1-99EA3BE73366}"/>
    <hyperlink ref="B1852" r:id="rId58" display="http://amzn.com/billWA" xr:uid="{37D7117F-C948-5241-90DE-231759FDAEAA}"/>
    <hyperlink ref="B1512" r:id="rId59" display="http://apple.com/BILL" xr:uid="{A9AF6AEC-7D9D-3047-B1A9-5D055CAE6073}"/>
    <hyperlink ref="B820" r:id="rId60" display="http://www.costco.cowa/" xr:uid="{EAAB14A7-66D8-D74A-9F27-B5AE04C15D51}"/>
    <hyperlink ref="B1262" r:id="rId61" display="http://www.usaa.com/" xr:uid="{0DCF0C1B-176D-4846-BFF0-414365B15D78}"/>
    <hyperlink ref="B1902" r:id="rId62" display="http://srsmrktplace.com/" xr:uid="{BF442F8E-A6A7-734A-8F7A-5028745DB55B}"/>
    <hyperlink ref="B1513" r:id="rId63" display="http://netflix.com/" xr:uid="{BDCAFE0C-BA1A-C248-B13A-7BDD5097CDDA}"/>
    <hyperlink ref="B1069" r:id="rId64" display="http://mdseelig.com/" xr:uid="{396812F9-AFD8-9740-AF1A-7A7CA21362FE}"/>
    <hyperlink ref="B822" r:id="rId65" display="http://www.dropps.coil/" xr:uid="{7D13775C-856D-A74A-879D-0782642331EF}"/>
    <hyperlink ref="B1858" r:id="rId66" display="http://amzn.com/billWA" xr:uid="{88074AD4-C92F-4B44-A24E-399A3349485D}"/>
    <hyperlink ref="B1515" r:id="rId67" display="http://apple.com/BILL" xr:uid="{0B467F15-5CCB-6B40-A40A-0612053D5AF1}"/>
    <hyperlink ref="B1797" r:id="rId68" display="http://amzn.com/billWA" xr:uid="{F429CADF-BA8F-C049-A351-15C74AA9B9BC}"/>
    <hyperlink ref="B1948" r:id="rId69" display="http://amzn.com/billWA" xr:uid="{DBBCE6AF-2E7E-054C-BD6F-8D370A14E294}"/>
    <hyperlink ref="B1070" r:id="rId70" display="http://gosq.com/" xr:uid="{76E41D3E-AD24-614A-A8F4-B5995CE8A996}"/>
    <hyperlink ref="B392" r:id="rId71" display="http://doordash.com/" xr:uid="{7CBF0878-A8D4-D545-AB3E-AF5539595D66}"/>
    <hyperlink ref="B393" r:id="rId72" display="http://doordash.com/" xr:uid="{F94168FF-844B-AD49-B242-814C8ACB0110}"/>
    <hyperlink ref="B1071" r:id="rId73" display="http://gosq.com/" xr:uid="{A64E431F-3CAD-B044-8133-F8819E62B472}"/>
    <hyperlink ref="B1072" r:id="rId74" display="http://gosq.com/" xr:uid="{2A715CD0-5256-2C46-8D18-87AF45073A40}"/>
    <hyperlink ref="B1171" r:id="rId75" display="http://amzn.com/billWA" xr:uid="{5B5FF32C-1A8E-5F46-A660-4CA79A83A7B8}"/>
    <hyperlink ref="B1073" r:id="rId76" display="http://www.inua.groumt/" xr:uid="{2A4C489D-76A6-DD43-9F88-AB4BF62F080D}"/>
    <hyperlink ref="B1471" r:id="rId77" location="CA" display="http://g.co/HelpPay - CA" xr:uid="{512E6D7A-7623-6A45-8C06-4313354C10E2}"/>
    <hyperlink ref="B1074" r:id="rId78" display="http://dmoose.com/" xr:uid="{518457D0-587F-964E-9AC8-9C8F43D650CB}"/>
    <hyperlink ref="B835" r:id="rId79" display="http://www.costco.cowa/" xr:uid="{6686A5D8-1421-DA41-A44A-870D2B572C2A}"/>
    <hyperlink ref="B1617" r:id="rId80" display="http://expedia.com/" xr:uid="{98A2E85D-0247-9C40-A4DA-08C3C4DEEEF7}"/>
    <hyperlink ref="B1518" r:id="rId81" display="http://apple.com/BILL" xr:uid="{99B92E74-F94B-844A-B919-546E57ED066C}"/>
    <hyperlink ref="B1519" r:id="rId82" display="http://apple.com/BILL" xr:uid="{89CAD0C6-0921-4647-88C5-9B1C3EBE0DB2}"/>
    <hyperlink ref="B1281" r:id="rId83" display="http://tonal.com/" xr:uid="{7081DCB8-8E60-7F4F-9F21-2C0EB66A363D}"/>
    <hyperlink ref="B148" r:id="rId84" display="http://clover.com/" xr:uid="{ABF4F267-C65D-E640-ABFC-0A95874FC880}"/>
    <hyperlink ref="B1520" r:id="rId85" display="http://apple.com/BILL" xr:uid="{B5240F67-B6F5-C546-9BA0-14863C290FAA}"/>
    <hyperlink ref="B151" r:id="rId86" display="http://www.flo.com/" xr:uid="{248930C4-5AD5-A845-B342-63BBCAC69985}"/>
    <hyperlink ref="B1265" r:id="rId87" display="http://www.usaa.com/" xr:uid="{F9204B1E-DD50-5D44-B167-04551D8EC7E7}"/>
    <hyperlink ref="B1076" r:id="rId88" display="http://pllcgosq.com/" xr:uid="{2A0496C7-B46C-0148-B8EC-F22F7DE182BF}"/>
    <hyperlink ref="B1077" r:id="rId89" display="http://pllcgosq.com/" xr:uid="{B310FA5B-E8F0-A14E-AAD6-2DA386600FBC}"/>
    <hyperlink ref="B152" r:id="rId90" display="http://www.flo.com/" xr:uid="{713F6158-F80D-EF4D-83C1-AE9E96087844}"/>
    <hyperlink ref="B1078" r:id="rId91" display="http://pllcgosq.com/" xr:uid="{B2B8C0FF-D259-A248-B4EA-0D8B419C1887}"/>
    <hyperlink ref="B153" r:id="rId92" display="http://www.flo.com/" xr:uid="{918FBE4B-12D1-2944-A1BE-BD3A734072A3}"/>
    <hyperlink ref="B1079" r:id="rId93" display="http://gosq.com/" xr:uid="{ED97EC16-CB3A-214D-A051-1DF0D8C08889}"/>
    <hyperlink ref="B426" r:id="rId94" display="http://doordash.com/" xr:uid="{E20F301C-1DBC-3D4A-A94E-4B03DAB28B12}"/>
    <hyperlink ref="B1080" r:id="rId95" display="http://gosq.com/" xr:uid="{0B9D09D5-359F-1847-95CB-47F327E8209D}"/>
    <hyperlink ref="B1081" r:id="rId96" display="http://mdseelig.com/" xr:uid="{E1316464-86EA-1A4C-BE5A-8C774FDDD6F3}"/>
    <hyperlink ref="B1523" r:id="rId97" display="http://apple.com/BILL" xr:uid="{6A8AE490-5D75-0A47-929B-08CCE173A3B6}"/>
    <hyperlink ref="B1674" r:id="rId98" display="http://expedia.com/" xr:uid="{A916F24F-B184-2341-AF6F-ADF1EADEFD26}"/>
    <hyperlink ref="B1675" r:id="rId99" display="http://expedia.com/" xr:uid="{2237B95A-6936-7543-A5FB-938DA2C9C6E6}"/>
    <hyperlink ref="B1083" r:id="rId100" display="http://www.inua.groumt/" xr:uid="{9CA4AE43-98A6-484E-8367-6D9B3E4C0AAB}"/>
    <hyperlink ref="B1084" r:id="rId101" display="http://gosq.com/" xr:uid="{BBD75BA4-A78B-ED46-8FC9-27DAEA315055}"/>
    <hyperlink ref="B1524" r:id="rId102" display="http://apple.com/BILL" xr:uid="{003D7E3A-DFB6-D64F-9D99-81FAA337A6AE}"/>
    <hyperlink ref="B1085" r:id="rId103" display="http://gosq.com/" xr:uid="{ABB471AD-4BDD-5547-B5CF-AB01A7117E48}"/>
    <hyperlink ref="B440" r:id="rId104" display="http://doordash.com/" xr:uid="{70841C9D-26F3-964F-92BE-5BB36E5732AC}"/>
    <hyperlink ref="B442" r:id="rId105" display="http://doordash.com/" xr:uid="{024E10CC-9D60-3A41-9754-A2D8E3F727F5}"/>
    <hyperlink ref="B1473" r:id="rId106" location="CA" display="http://g.co/HelpPay - CA" xr:uid="{590C155C-8415-0844-AAA7-8F5873B1F47C}"/>
    <hyperlink ref="B853" r:id="rId107" display="http://www.costco.cowa/" xr:uid="{55963858-DE3D-6641-8CB5-8B76ABEA6ED9}"/>
    <hyperlink ref="B1087" r:id="rId108" display="http://gosq.com/" xr:uid="{0E3E3F88-CD0A-ED40-A64A-0DE3FDBEFDB7}"/>
    <hyperlink ref="B450" r:id="rId109" display="http://doordash.com/" xr:uid="{B02D9404-228A-BB40-ACDA-DE72E8EF6A33}"/>
    <hyperlink ref="B1526" r:id="rId110" display="http://apple.com/BILL" xr:uid="{85AA3028-F054-E740-BFFD-FF4D89136A69}"/>
    <hyperlink ref="B1088" r:id="rId111" display="http://gosq.com/" xr:uid="{4A352026-7D10-D94C-A976-54BFE7C2E86F}"/>
    <hyperlink ref="B1678" r:id="rId112" display="http://expedia.com/" xr:uid="{89943103-BA5E-4041-9E42-6CC54E8F87EC}"/>
    <hyperlink ref="B454" r:id="rId113" display="http://www.sweetgreen.com/" xr:uid="{9A7848C9-B974-F94B-8D03-01DFA8F7F6E1}"/>
    <hyperlink ref="B1181" r:id="rId114" display="http://amzn.com/billWA" xr:uid="{4BD3FA65-FD81-DD4C-A198-39E82A4527D5}"/>
    <hyperlink ref="B457" r:id="rId115" display="http://doordash.com/" xr:uid="{574BBC1E-DCA5-0E45-8B51-99D4CAD72269}"/>
    <hyperlink ref="B1089" r:id="rId116" display="http://gosq.com/" xr:uid="{42D9233D-9E06-CE41-85B9-A4812A82AAB6}"/>
    <hyperlink ref="B1528" r:id="rId117" display="http://apple.com/BILL" xr:uid="{3956F067-E985-EC48-AB9E-3EFEE2298AFD}"/>
    <hyperlink ref="B1529" r:id="rId118" display="http://apple.com/BILL" xr:uid="{95AD1791-EAA6-D245-9935-054174C67B42}"/>
    <hyperlink ref="B1184" r:id="rId119" display="http://amzn.com/billWA" xr:uid="{524FAE69-34CC-6549-A122-B6CC02097EA1}"/>
    <hyperlink ref="B861" r:id="rId120" display="http://www.costco.cowa/" xr:uid="{CF5AA1E9-E6E6-504D-9278-A2353BE89E62}"/>
    <hyperlink ref="B1090" r:id="rId121" display="http://gosq.com/" xr:uid="{9CD557CE-667B-5440-8AB3-422051A89473}"/>
    <hyperlink ref="B1283" r:id="rId122" display="http://tonal.com/" xr:uid="{0C83E0BF-8AC4-D549-BBC5-5A502742CFA7}"/>
    <hyperlink ref="B1680" r:id="rId123" display="http://tripchrg.com/" xr:uid="{8A35DFC8-80EC-DC4E-AB99-BFCDD4807617}"/>
    <hyperlink ref="B1530" r:id="rId124" display="http://apple.com/BILL" xr:uid="{12E8C8CA-5E83-DC4C-8274-E8A1676A5065}"/>
    <hyperlink ref="B1188" r:id="rId125" display="http://amzn.com/billWA" xr:uid="{89ADDBA4-2830-274E-84DC-C42464C807AF}"/>
    <hyperlink ref="B1189" r:id="rId126" display="http://amzn.com/billWA" xr:uid="{2FA0BD88-FEE3-5E49-A61E-406A17A5AB8C}"/>
    <hyperlink ref="B1531" r:id="rId127" display="http://apple.com/BILL" xr:uid="{BB9BB716-D1E5-034E-9250-9E459025374B}"/>
    <hyperlink ref="B1091" r:id="rId128" display="http://gosq.com/" xr:uid="{3F7FBE47-316F-0740-AE84-4640D2742485}"/>
    <hyperlink ref="B1092" r:id="rId129" display="http://gosq.com/" xr:uid="{CB015C18-F62B-5043-9C87-BF260C57DB8C}"/>
    <hyperlink ref="B1269" r:id="rId130" display="http://www.usaa.com/" xr:uid="{27066EB5-52BA-E643-A3BC-D2CD5FC7E730}"/>
    <hyperlink ref="B1093" r:id="rId131" display="http://linkedin.com/WA" xr:uid="{BB16D60D-D3A7-7A49-8FFC-22CB6F253408}"/>
    <hyperlink ref="B1532" r:id="rId132" display="http://netflix.com/" xr:uid="{6A2103AC-AD1D-704D-B6E3-CB626E1D6E0D}"/>
    <hyperlink ref="B1094" r:id="rId133" display="http://mdseelig.com/" xr:uid="{CF846205-38FE-B74C-B6B0-45416C7F1BA9}"/>
    <hyperlink ref="B1534" r:id="rId134" display="http://apple.com/BILL" xr:uid="{73577525-6C71-074D-950A-B10804E639C3}"/>
    <hyperlink ref="B1095" r:id="rId135" display="http://www.inua.groumt/" xr:uid="{F71D5C93-5E1E-6C49-A650-DFC9FC589770}"/>
    <hyperlink ref="B1096" r:id="rId136" display="http://gosq.com/" xr:uid="{96675186-A199-4E41-9CA7-367B7E61E59E}"/>
    <hyperlink ref="B1192" r:id="rId137" display="http://amzn.com/billWA" xr:uid="{8856472C-8E83-0448-AD52-A90A5D90F73B}"/>
    <hyperlink ref="B1193" r:id="rId138" display="http://amzn.com/billWA" xr:uid="{7D281B60-EC4B-8946-9259-EE6A057B98E8}"/>
    <hyperlink ref="B1535" r:id="rId139" display="http://hulu.com/billCA" xr:uid="{B20D9ECB-1C7F-7844-B944-E5F721DE0053}"/>
    <hyperlink ref="B1097" r:id="rId140" display="http://gosq.com/" xr:uid="{7193AA1A-3A45-0449-B2F8-5199C2602E64}"/>
    <hyperlink ref="B1475" r:id="rId141" location="CA" display="http://g.co/helppay - CA" xr:uid="{324E007C-DD86-2946-B5A0-5634E525701B}"/>
    <hyperlink ref="B270" r:id="rId142" display="http://etsy.com/" xr:uid="{40A0E461-1B06-EA43-AAFD-4DC2FC45F323}"/>
    <hyperlink ref="B1098" r:id="rId143" display="http://gosq.com/" xr:uid="{556D358C-A286-2046-9302-2327B7A3B03D}"/>
    <hyperlink ref="B1538" r:id="rId144" display="http://apple.com/BILL" xr:uid="{8CD145D2-6694-0E45-B889-E5E61490D434}"/>
    <hyperlink ref="B1195" r:id="rId145" display="http://amzn.com/billWA" xr:uid="{1470F2E8-6F31-9B42-A762-20EB42FC2698}"/>
    <hyperlink ref="B1284" r:id="rId146" display="http://tonal.com/" xr:uid="{9BBD77FA-AC11-4E4B-AE77-1C72F8298777}"/>
    <hyperlink ref="B896" r:id="rId147" display="http://www.costco.cowa/" xr:uid="{CE3D44F2-D9B8-EA4F-AA27-049040F4DF9F}"/>
    <hyperlink ref="B1198" r:id="rId148" display="http://amzn.com/billWA" xr:uid="{50387688-5E60-A946-987D-C3D45021EB71}"/>
    <hyperlink ref="B1594" r:id="rId149" display="http://lyft.com/" xr:uid="{DD9EFCE5-F684-4446-9422-3EAAA7C0A353}"/>
    <hyperlink ref="B1539" r:id="rId150" display="http://apple.com/BILL" xr:uid="{3937C03A-ACB3-7246-BFFC-FE90B8722F2C}"/>
    <hyperlink ref="B1100" r:id="rId151" display="http://gosq.com/" xr:uid="{6BCF62CE-26E8-8F49-83E1-A989564B5842}"/>
    <hyperlink ref="B1270" r:id="rId152" display="http://www.usaa.com/" xr:uid="{23FBCA8C-2D46-B040-AB0F-309A02287811}"/>
    <hyperlink ref="B1540" r:id="rId153" display="http://apple.com/BILL" xr:uid="{D55C2BBC-D147-C940-A4A8-A0C6CB5553FE}"/>
    <hyperlink ref="B903" r:id="rId154" display="http://www.dropps.coil/" xr:uid="{6EF1C112-C0AA-5E40-B278-C661FC64A44B}"/>
    <hyperlink ref="B1101" r:id="rId155" display="http://mdseelig.com/" xr:uid="{BE0EF5D1-5480-104D-A5A6-3A57BD2B3B6E}"/>
    <hyperlink ref="B1102" r:id="rId156" display="http://gosq.com/" xr:uid="{8D8CAE40-80EF-B54E-A26B-475C2569AABB}"/>
    <hyperlink ref="B1543" r:id="rId157" display="http://apple.com/BILL" xr:uid="{685E8083-247E-A644-8F63-89E7C67C7BDF}"/>
    <hyperlink ref="B1199" r:id="rId158" display="http://amzn.com/billWA" xr:uid="{A1347223-2F0A-A446-ABDF-E2F5341CBD6C}"/>
    <hyperlink ref="B909" r:id="rId159" display="http://www.costco.cowa/" xr:uid="{934F65CE-A95B-B348-8A32-E36DF3593A86}"/>
    <hyperlink ref="B1104" r:id="rId160" display="http://www.inua.groumt/" xr:uid="{C0F47055-E2E3-194A-BFB5-49A13A447CDD}"/>
    <hyperlink ref="B1544" r:id="rId161" display="http://hulu.com/billCA" xr:uid="{CF44B34F-00CE-1A45-BC9E-223AE036DBA7}"/>
    <hyperlink ref="B1200" r:id="rId162" display="http://amzn.com/billWA" xr:uid="{52F2F781-460E-B94E-B123-69E294AA0759}"/>
    <hyperlink ref="B1105" r:id="rId163" display="http://linkedin.com/WA" xr:uid="{9DA1C234-FEB5-8246-9FD0-6BD3CA31F550}"/>
    <hyperlink ref="B1362" r:id="rId164" display="http://www.hangtag.ifl/" xr:uid="{58926BE4-5B5A-EF46-B19A-51E20B189FBB}"/>
    <hyperlink ref="B1106" r:id="rId165" display="http://gosq.com/" xr:uid="{964D438A-3C20-4C4B-877A-7A3AAE0880F0}"/>
    <hyperlink ref="B244" r:id="rId166" display="http://learninggofundme.com/" xr:uid="{31544F3E-484D-2B4F-AC15-9C14A9143A93}"/>
    <hyperlink ref="B1547" r:id="rId167" display="http://apple.com/BILL" xr:uid="{3E595CEB-FE27-3842-8F03-0023E28964FA}"/>
    <hyperlink ref="B1595" r:id="rId168" display="http://help.uber.com/" xr:uid="{3A2EBA62-9D07-154C-A2BF-87CD2A8E0A29}"/>
    <hyperlink ref="B1285" r:id="rId169" display="http://tonal.com/" xr:uid="{9696B16B-FEE6-C94D-ADB1-12CC68357511}"/>
    <hyperlink ref="B1204" r:id="rId170" display="http://amzn.com/billWA" xr:uid="{C2124B0A-B6BC-D64D-9EF2-8C0526A3E34D}"/>
    <hyperlink ref="B1109" r:id="rId171" display="http://pllcgosq.com/" xr:uid="{BA8819E6-F548-9D49-A373-D0FBB59B8CB1}"/>
    <hyperlink ref="B1110" r:id="rId172" display="http://gosq.com/" xr:uid="{4F5B2130-7B79-0F4F-ADD6-8A924434933A}"/>
    <hyperlink ref="B1111" r:id="rId173" display="http://gosq.com/" xr:uid="{05A6A994-E228-AE4F-A077-01982ABC4607}"/>
    <hyperlink ref="B1548" r:id="rId174" display="http://apple.com/BILL" xr:uid="{87C4F227-F0E0-4A46-A795-F99FF5F7630B}"/>
    <hyperlink ref="B1271" r:id="rId175" display="http://www.usaa.com/" xr:uid="{747B8BB0-3F9B-914F-9C35-63D455CAE91D}"/>
    <hyperlink ref="B1112" r:id="rId176" display="http://gosq.com/" xr:uid="{555F5B7F-AB43-6946-BF0A-636EF8F32FF6}"/>
    <hyperlink ref="B1113" r:id="rId177" display="http://gosq.com/" xr:uid="{46F051DD-BD56-6548-8BF8-681340D6389D}"/>
    <hyperlink ref="B926" r:id="rId178" display="http://www.costco.coca/" xr:uid="{E31866E3-3D73-1143-B6B9-F90512F5C259}"/>
    <hyperlink ref="B1115" r:id="rId179" display="http://mdseelig.com/" xr:uid="{F6E6B9AF-18A8-7546-965C-FEA8EE062FC2}"/>
    <hyperlink ref="B279" r:id="rId180" display="http://www.corryscleaning.com/" xr:uid="{2EC7E301-9E59-4646-9CA3-36B20F82C299}"/>
    <hyperlink ref="B1551" r:id="rId181" display="http://apple.com/BILL" xr:uid="{3BCCE2A4-004C-F045-8862-E367C94385FB}"/>
    <hyperlink ref="B1116" r:id="rId182" display="http://www.inua.groumt/" xr:uid="{5BDD3136-FF96-7947-A873-B45D589F53B2}"/>
    <hyperlink ref="B752" r:id="rId183" display="http://www.ussailing.org/" xr:uid="{85A88B0B-F1CF-7943-9460-0EAD15BD104F}"/>
    <hyperlink ref="B1206" r:id="rId184" display="http://amzn.com/billWA" xr:uid="{95D97A0A-5CCD-1348-8570-63638D20DA84}"/>
    <hyperlink ref="B1117" r:id="rId185" display="http://gosq.com/" xr:uid="{95BA9FBD-F1CC-8F49-A044-E114FDAD047E}"/>
    <hyperlink ref="B1118" r:id="rId186" display="http://gosq.com/" xr:uid="{65A473A7-DA40-D44F-905D-7D063F44FFF7}"/>
    <hyperlink ref="B1207" r:id="rId187" display="http://amzn.com/billWA" xr:uid="{2FDA2C26-6D34-4D47-AE3D-6B525580976E}"/>
    <hyperlink ref="B1552" r:id="rId188" display="http://hulu.com/billCA" xr:uid="{DF436579-0468-A64C-AE54-21CC3CACC88F}"/>
    <hyperlink ref="B1480" r:id="rId189" location="CA" display="http://g.co/HelpPay - CA" xr:uid="{99D20479-8A5E-3947-8EC6-F5C2E3E895CB}"/>
    <hyperlink ref="B1119" r:id="rId190" display="http://gosq.com/" xr:uid="{CB4183AD-4947-944C-B96B-28BA4F6AC2FF}"/>
    <hyperlink ref="B601" r:id="rId191" display="http://doordash.com/" xr:uid="{333ED28C-DE57-2E45-B8EE-C8B114AEB1E8}"/>
    <hyperlink ref="B1209" r:id="rId192" display="http://amzn.com/billWA" xr:uid="{76C8E187-E282-8D48-A56E-B6163F57D33B}"/>
    <hyperlink ref="B602" r:id="rId193" display="http://doordash.com/" xr:uid="{10E65300-2E29-C64F-8156-E64651ABF1CC}"/>
    <hyperlink ref="B1554" r:id="rId194" display="http://apple.com/BILL" xr:uid="{9E5F28D3-5A8F-3A4B-A789-A52CC06C0ABF}"/>
    <hyperlink ref="B1288" r:id="rId195" display="http://tonal.com/" xr:uid="{1C8AE3D8-6513-224A-8F23-96B11B0EB52E}"/>
    <hyperlink ref="B1213" r:id="rId196" display="http://amzn.com/billWA" xr:uid="{476A3699-94AE-924A-92BD-818B026570D1}"/>
    <hyperlink ref="B1555" r:id="rId197" display="http://apple.com/BILL" xr:uid="{F25A536A-009F-FB44-AE56-A7029CA870BA}"/>
    <hyperlink ref="B613" r:id="rId198" display="http://doordash.com/" xr:uid="{8CE679DB-B1C7-D14D-AA2F-4F93726B5939}"/>
    <hyperlink ref="B1272" r:id="rId199" display="http://www.usaa.com/" xr:uid="{BE1B6770-19E1-7F40-B4BC-E2A6962AFA69}"/>
    <hyperlink ref="B1219" r:id="rId200" display="http://amzn.com/billWA" xr:uid="{A5BF9D8C-DF65-A546-B14F-04D47440D7EA}"/>
    <hyperlink ref="B1220" r:id="rId201" display="http://amzn.com/billWA" xr:uid="{AA5E7900-9C7F-C141-B517-BAB1AFC0F9E3}"/>
    <hyperlink ref="B1120" r:id="rId202" display="http://gosq.com/" xr:uid="{F387F3F0-15A2-714B-842B-04B0F647C1F3}"/>
    <hyperlink ref="B1121" r:id="rId203" display="http://gosq.com/" xr:uid="{7BDCEBB3-2563-2B4D-A6BC-36B3614D8811}"/>
    <hyperlink ref="B1122" r:id="rId204" display="http://mdseelig.com/" xr:uid="{290668E6-7C10-E740-9D78-9C8ECCB3556C}"/>
    <hyperlink ref="B1558" r:id="rId205" display="http://apple.com/BILL" xr:uid="{4F274352-EA84-5A47-9BDC-A718494E8BAE}"/>
    <hyperlink ref="B1124" r:id="rId206" display="http://pllcgosq.com/" xr:uid="{50DD4BC8-0DA6-4C4D-AAF4-0B78BDB7ECFE}"/>
    <hyperlink ref="B1224" r:id="rId207" display="http://amzn.com/billWA" xr:uid="{F27C7ECF-785F-D546-8F77-B157C0B905BC}"/>
    <hyperlink ref="B1125" r:id="rId208" display="http://pllcgosq.com/" xr:uid="{4CEEBC6A-94FD-A746-9F23-41A1EE7623B4}"/>
    <hyperlink ref="B1225" r:id="rId209" display="http://amzn.com/billWA" xr:uid="{CC3D62A8-1231-9040-9781-6AEBB389ADB2}"/>
    <hyperlink ref="B1126" r:id="rId210" display="http://gosq.com/" xr:uid="{8C8B66A5-2641-184D-960E-47B467634804}"/>
    <hyperlink ref="B1226" r:id="rId211" display="http://amzn.com/billWA" xr:uid="{5E3A71DF-7FA7-6449-94EE-A46AE593D12B}"/>
    <hyperlink ref="B1710" r:id="rId212" display="http://coversandall.com/" xr:uid="{CCD559E5-C70B-8047-8BCD-E4ED796395CA}"/>
    <hyperlink ref="B1127" r:id="rId213" display="http://gosq.com/" xr:uid="{B7029244-077A-2141-BBA4-01BCA7B1505F}"/>
    <hyperlink ref="B1228" r:id="rId214" display="http://amzn.com/billWA" xr:uid="{518B1812-4D57-3845-9F7D-63FE73E093ED}"/>
    <hyperlink ref="B1229" r:id="rId215" display="http://amzn.com/billWA" xr:uid="{374B6239-09F3-2A49-9A92-8F09E3D48B3A}"/>
    <hyperlink ref="B962" r:id="rId216" display="http://www.costco.coca/" xr:uid="{7744BE85-1286-154F-9B32-1D8BBCB1E1DD}"/>
    <hyperlink ref="B1559" r:id="rId217" display="http://hulu.com/billCA" xr:uid="{44A568E5-2371-F247-B5CC-FA1B5FD38081}"/>
    <hyperlink ref="B1560" r:id="rId218" display="http://apple.com/BILL" xr:uid="{971C759B-E223-AC4A-A7E7-B6006A1D395D}"/>
    <hyperlink ref="B1230" r:id="rId219" display="http://amzn.com/billWA" xr:uid="{BB8D9D33-4E75-A843-9A18-DEB7C0BCAFDA}"/>
    <hyperlink ref="B1231" r:id="rId220" display="http://amzn.com/billWA" xr:uid="{BD344C4A-8860-1A41-B44E-16F9BC53FD29}"/>
    <hyperlink ref="B1482" r:id="rId221" location="CA" display="http://g.co/helppay - CA" xr:uid="{1AE0B55E-7C93-EB45-BB99-B09FFB53738C}"/>
    <hyperlink ref="B1128" r:id="rId222" display="http://gosq.com/" xr:uid="{7CDFECFA-5B11-3E45-AB39-7E2073854562}"/>
    <hyperlink ref="B1232" r:id="rId223" display="http://amzn.com/billWA" xr:uid="{EBB1C0DE-B8D9-2446-950B-947F7C3AC699}"/>
    <hyperlink ref="B1129" r:id="rId224" display="http://gosq.com/" xr:uid="{E7872DB4-750F-E840-8F1B-ED07AA9CCB12}"/>
    <hyperlink ref="B1130" r:id="rId225" display="http://www.inua.groumt/" xr:uid="{A889E181-F775-2D4E-A947-7986A51331B2}"/>
    <hyperlink ref="B1234" r:id="rId226" display="http://amzn.com/billWA" xr:uid="{96E0D862-AC4E-DC48-B103-62AB5C19D7EF}"/>
    <hyperlink ref="B1131" r:id="rId227" display="http://linkedin.com/WA" xr:uid="{85612398-8531-B949-B5F8-C63A97AA4817}"/>
    <hyperlink ref="B1235" r:id="rId228" display="http://amzn.com/billWA" xr:uid="{C69C9A52-7708-C74D-9607-DBA42B5C6DCB}"/>
    <hyperlink ref="B641" r:id="rId229" display="http://doordash.com/" xr:uid="{17FBF1D6-2F3A-7248-BB57-D0B141ECBF42}"/>
    <hyperlink ref="B1562" r:id="rId230" display="http://apple.com/BILL" xr:uid="{EF89BE7E-DB10-EC4A-970D-41D72ABDF168}"/>
    <hyperlink ref="B1132" r:id="rId231" display="http://gosq.com/" xr:uid="{9222767E-E26C-C746-AC8C-81E85CCA22BA}"/>
    <hyperlink ref="B1133" r:id="rId232" display="http://www.inua.groumt/" xr:uid="{BAD5DC67-2A15-C746-917A-CE3BF91E2687}"/>
    <hyperlink ref="B975" r:id="rId233" display="http://www.costco.coca/" xr:uid="{D689A800-D077-4642-9612-6926C5CE70BA}"/>
    <hyperlink ref="B1134" r:id="rId234" display="http://www.inua.groumt/" xr:uid="{654856ED-B2EE-AB44-8A1C-E3CE4E3FD442}"/>
    <hyperlink ref="B1135" r:id="rId235" display="http://www.inua.groumt/" xr:uid="{2912E655-8FAE-2D47-B59F-86AA301C0ADE}"/>
    <hyperlink ref="B1136" r:id="rId236" display="http://www.inua.groumt/" xr:uid="{CBFA1F0F-AD31-B243-AE91-6D27C17C7655}"/>
    <hyperlink ref="B1236" r:id="rId237" display="http://amzn.com/billWA" xr:uid="{9AA3262C-916E-CA41-8F75-0C5416E205C3}"/>
    <hyperlink ref="B1289" r:id="rId238" display="http://tonal.com/" xr:uid="{FFFB9ECD-39B4-064F-A832-D01121E4B090}"/>
    <hyperlink ref="B1237" r:id="rId239" display="http://amzn.com/billWA" xr:uid="{D378AFCC-356E-DE42-AA31-1E0E8E2670E4}"/>
    <hyperlink ref="B1238" r:id="rId240" display="http://amzn.com/billWA" xr:uid="{5F25B5A3-9E6E-0041-960E-7AB8ED3EED4B}"/>
    <hyperlink ref="B1239" r:id="rId241" display="http://amzn.com/billWA" xr:uid="{089FD1EF-0EB5-BB4C-8B18-5C33B09F6FA9}"/>
    <hyperlink ref="B649" r:id="rId242" display="http://doordash.com/" xr:uid="{A6B82C23-02BA-3A46-B0E1-8DE8802C3ED2}"/>
    <hyperlink ref="B1564" r:id="rId243" display="http://apple.com/BILL" xr:uid="{F7A0BB54-813E-1D42-BEF1-348AFD6949B2}"/>
    <hyperlink ref="B650" r:id="rId244" display="http://doordash.com/" xr:uid="{E9B4B27A-685A-5B40-9F5F-8922F5DA0A3B}"/>
    <hyperlink ref="B1137" r:id="rId245" display="http://gosq.com/" xr:uid="{EE549ACF-9D16-0346-B822-DD5FE990895A}"/>
    <hyperlink ref="B1138" r:id="rId246" display="http://gosq.com/" xr:uid="{BCC73C33-BB68-F841-A5C1-98FD288082BE}"/>
    <hyperlink ref="B1241" r:id="rId247" display="http://amzn.com/billWA" xr:uid="{552A649F-6E13-3446-A853-47A44B1C0036}"/>
    <hyperlink ref="B1273" r:id="rId248" display="http://www.usaa.com/" xr:uid="{4F501AB1-6224-7A45-9CAC-3FF21C33CEBD}"/>
    <hyperlink ref="B1566" r:id="rId249" display="http://netflix.com/" xr:uid="{8ED67A71-E561-C348-B921-EA95AF5AF950}"/>
    <hyperlink ref="B1242" r:id="rId250" display="http://coversandall.com/" xr:uid="{460AC943-C99D-C241-AC77-9D1C1087457E}"/>
    <hyperlink ref="B1140" r:id="rId251" display="http://mdseelig.com/" xr:uid="{DB00951F-1820-4040-B6A9-E52B128D9EF1}"/>
    <hyperlink ref="B988" r:id="rId252" display="http://www.dropps.coil/" xr:uid="{2F0F151A-CDB5-5A42-97A1-99A6A5723503}"/>
    <hyperlink ref="B1568" r:id="rId253" display="http://apple.com/BILL" xr:uid="{0D057199-7B17-B247-ABB6-957500637752}"/>
    <hyperlink ref="B1243" r:id="rId254" display="http://amzn.com/billWA" xr:uid="{7850D3D0-36B3-4F49-9D52-D4E1970B6C4E}"/>
    <hyperlink ref="B1141" r:id="rId255" display="http://gosq.com/" xr:uid="{4ED10986-E7C0-C84E-8A74-AE7F33B98CFD}"/>
    <hyperlink ref="B1244" r:id="rId256" display="http://amzn.com/billWA" xr:uid="{C8495444-C2D3-D044-A8D3-CD94B33A2144}"/>
    <hyperlink ref="B1142" r:id="rId257" display="http://gosq.com/" xr:uid="{EE7AA84A-30C6-8B4A-A233-58D06CCA7668}"/>
    <hyperlink ref="B1569" r:id="rId258" display="http://apple.com/BILL" xr:uid="{BE3D8EAB-73E4-C349-9119-9EABADF25EED}"/>
    <hyperlink ref="B1570" r:id="rId259" display="http://apple.com/BILL" xr:uid="{0F2C4B09-F79A-EB43-AF01-0911991E215F}"/>
    <hyperlink ref="B667" r:id="rId260" display="http://www.doordash.ca/" xr:uid="{C2BA525B-4EF2-A744-98BA-4F4B65B22FED}"/>
    <hyperlink ref="B1572" r:id="rId261" display="http://apple.com/BILL" xr:uid="{506D11C9-035C-6E49-A3B6-B4387DBD282F}"/>
    <hyperlink ref="B1574" r:id="rId262" display="http://apple.com/BILL" xr:uid="{7C0B1CBF-B6E2-8A4B-AA4B-F87B2C69BD42}"/>
    <hyperlink ref="B1575" r:id="rId263" display="http://hulu.com/billCA" xr:uid="{AD0DD54C-8690-584D-8E13-4CA6C2B04126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E546-5B9C-E444-B663-0D90A1A8B73F}">
  <dimension ref="A1:F111"/>
  <sheetViews>
    <sheetView topLeftCell="A74" workbookViewId="0">
      <selection activeCell="B107" sqref="B107"/>
    </sheetView>
  </sheetViews>
  <sheetFormatPr baseColWidth="10" defaultRowHeight="16" x14ac:dyDescent="0.2"/>
  <cols>
    <col min="2" max="2" width="54.33203125" customWidth="1"/>
    <col min="3" max="3" width="14" customWidth="1"/>
    <col min="4" max="4" width="19.83203125" customWidth="1"/>
  </cols>
  <sheetData>
    <row r="1" spans="1:6" x14ac:dyDescent="0.2">
      <c r="A1" s="26" t="s">
        <v>1258</v>
      </c>
      <c r="B1" s="39" t="s">
        <v>0</v>
      </c>
      <c r="C1" s="26" t="s">
        <v>1226</v>
      </c>
      <c r="D1" s="26" t="s">
        <v>1511</v>
      </c>
      <c r="E1" s="26" t="s">
        <v>2204</v>
      </c>
      <c r="F1" s="26" t="s">
        <v>2206</v>
      </c>
    </row>
    <row r="2" spans="1:6" x14ac:dyDescent="0.2">
      <c r="A2" s="27">
        <v>45685</v>
      </c>
      <c r="B2" s="28" t="s">
        <v>943</v>
      </c>
      <c r="C2" s="28">
        <v>-5000</v>
      </c>
      <c r="D2" t="str">
        <f>_xlfn.XLOOKUP(B2,'Payee Ref'!A:A,'Payee Ref'!B:B,"unassigned",0,1)</f>
        <v>Travel</v>
      </c>
      <c r="E2" t="str">
        <f>_xlfn.XLOOKUP(B2,'Payee Ref'!A:A,'Payee Ref'!C:C,"unassigned",0,1)</f>
        <v>Luxury</v>
      </c>
      <c r="F2" t="s">
        <v>2209</v>
      </c>
    </row>
    <row r="3" spans="1:6" x14ac:dyDescent="0.2">
      <c r="A3" s="27">
        <v>45709</v>
      </c>
      <c r="B3" s="28" t="s">
        <v>943</v>
      </c>
      <c r="C3" s="28">
        <v>-3000</v>
      </c>
      <c r="D3" t="str">
        <f>_xlfn.XLOOKUP(B3,'Payee Ref'!A:A,'Payee Ref'!B:B,"unassigned",0,1)</f>
        <v>Travel</v>
      </c>
      <c r="E3" t="str">
        <f>_xlfn.XLOOKUP(B3,'Payee Ref'!A:A,'Payee Ref'!C:C,"unassigned",0,1)</f>
        <v>Luxury</v>
      </c>
      <c r="F3" t="s">
        <v>2209</v>
      </c>
    </row>
    <row r="4" spans="1:6" x14ac:dyDescent="0.2">
      <c r="A4" s="27">
        <v>45687</v>
      </c>
      <c r="B4" s="28" t="s">
        <v>943</v>
      </c>
      <c r="C4" s="28">
        <v>-3000</v>
      </c>
      <c r="D4" t="str">
        <f>_xlfn.XLOOKUP(B4,'Payee Ref'!A:A,'Payee Ref'!B:B,"unassigned",0,1)</f>
        <v>Travel</v>
      </c>
      <c r="E4" t="str">
        <f>_xlfn.XLOOKUP(B4,'Payee Ref'!A:A,'Payee Ref'!C:C,"unassigned",0,1)</f>
        <v>Luxury</v>
      </c>
      <c r="F4" t="s">
        <v>2209</v>
      </c>
    </row>
    <row r="5" spans="1:6" x14ac:dyDescent="0.2">
      <c r="A5" s="27">
        <v>45672</v>
      </c>
      <c r="B5" s="28" t="s">
        <v>943</v>
      </c>
      <c r="C5" s="28">
        <v>-1200</v>
      </c>
      <c r="D5" t="str">
        <f>_xlfn.XLOOKUP(B5,'Payee Ref'!A:A,'Payee Ref'!B:B,"unassigned",0,1)</f>
        <v>Travel</v>
      </c>
      <c r="E5" t="str">
        <f>_xlfn.XLOOKUP(B5,'Payee Ref'!A:A,'Payee Ref'!C:C,"unassigned",0,1)</f>
        <v>Luxury</v>
      </c>
      <c r="F5" t="s">
        <v>2209</v>
      </c>
    </row>
    <row r="6" spans="1:6" x14ac:dyDescent="0.2">
      <c r="A6" s="27">
        <v>45728</v>
      </c>
      <c r="B6" s="28" t="s">
        <v>943</v>
      </c>
      <c r="C6" s="28">
        <v>-500</v>
      </c>
      <c r="D6" t="str">
        <f>_xlfn.XLOOKUP(B6,'Payee Ref'!A:A,'Payee Ref'!B:B,"unassigned",0,1)</f>
        <v>Travel</v>
      </c>
      <c r="E6" t="str">
        <f>_xlfn.XLOOKUP(B6,'Payee Ref'!A:A,'Payee Ref'!C:C,"unassigned",0,1)</f>
        <v>Luxury</v>
      </c>
      <c r="F6" t="s">
        <v>2209</v>
      </c>
    </row>
    <row r="7" spans="1:6" x14ac:dyDescent="0.2">
      <c r="A7" s="27">
        <v>45909</v>
      </c>
      <c r="B7" s="28" t="s">
        <v>84</v>
      </c>
      <c r="C7" s="28">
        <v>-316.57</v>
      </c>
      <c r="D7" t="str">
        <f>_xlfn.XLOOKUP(B7,'Payee Ref'!A:A,'Payee Ref'!B:B,"unassigned",0,1)</f>
        <v>Travel</v>
      </c>
      <c r="E7" t="str">
        <f>_xlfn.XLOOKUP(B7,'Payee Ref'!A:A,'Payee Ref'!C:C,"unassigned",0,1)</f>
        <v>Luxury</v>
      </c>
      <c r="F7" t="s">
        <v>2209</v>
      </c>
    </row>
    <row r="8" spans="1:6" x14ac:dyDescent="0.2">
      <c r="A8" s="27">
        <v>45923</v>
      </c>
      <c r="B8" s="28" t="s">
        <v>943</v>
      </c>
      <c r="C8" s="28">
        <v>-303.86</v>
      </c>
      <c r="D8" t="str">
        <f>_xlfn.XLOOKUP(B8,'Payee Ref'!A:A,'Payee Ref'!B:B,"unassigned",0,1)</f>
        <v>Travel</v>
      </c>
      <c r="E8" t="str">
        <f>_xlfn.XLOOKUP(B8,'Payee Ref'!A:A,'Payee Ref'!C:C,"unassigned",0,1)</f>
        <v>Luxury</v>
      </c>
      <c r="F8" t="s">
        <v>2209</v>
      </c>
    </row>
    <row r="9" spans="1:6" x14ac:dyDescent="0.2">
      <c r="A9" s="27">
        <v>45909</v>
      </c>
      <c r="B9" s="28" t="s">
        <v>943</v>
      </c>
      <c r="C9" s="28">
        <v>-253</v>
      </c>
      <c r="D9" t="str">
        <f>_xlfn.XLOOKUP(B9,'Payee Ref'!A:A,'Payee Ref'!B:B,"unassigned",0,1)</f>
        <v>Travel</v>
      </c>
      <c r="E9" t="str">
        <f>_xlfn.XLOOKUP(B9,'Payee Ref'!A:A,'Payee Ref'!C:C,"unassigned",0,1)</f>
        <v>Luxury</v>
      </c>
      <c r="F9" t="s">
        <v>2209</v>
      </c>
    </row>
    <row r="10" spans="1:6" x14ac:dyDescent="0.2">
      <c r="A10" s="27">
        <v>45898</v>
      </c>
      <c r="B10" s="28" t="s">
        <v>84</v>
      </c>
      <c r="C10" s="28">
        <v>-203</v>
      </c>
      <c r="D10" t="str">
        <f>_xlfn.XLOOKUP(B10,'Payee Ref'!A:A,'Payee Ref'!B:B,"unassigned",0,1)</f>
        <v>Travel</v>
      </c>
      <c r="E10" t="str">
        <f>_xlfn.XLOOKUP(B10,'Payee Ref'!A:A,'Payee Ref'!C:C,"unassigned",0,1)</f>
        <v>Luxury</v>
      </c>
      <c r="F10" t="s">
        <v>2209</v>
      </c>
    </row>
    <row r="11" spans="1:6" x14ac:dyDescent="0.2">
      <c r="A11" s="27">
        <v>45929</v>
      </c>
      <c r="B11" s="28" t="s">
        <v>84</v>
      </c>
      <c r="C11" s="28">
        <v>-104.55</v>
      </c>
      <c r="D11" t="str">
        <f>_xlfn.XLOOKUP(B11,'Payee Ref'!A:A,'Payee Ref'!B:B,"unassigned",0,1)</f>
        <v>Travel</v>
      </c>
      <c r="E11" t="str">
        <f>_xlfn.XLOOKUP(B11,'Payee Ref'!A:A,'Payee Ref'!C:C,"unassigned",0,1)</f>
        <v>Luxury</v>
      </c>
      <c r="F11" t="s">
        <v>2209</v>
      </c>
    </row>
    <row r="12" spans="1:6" x14ac:dyDescent="0.2">
      <c r="A12" s="27">
        <v>45824</v>
      </c>
      <c r="B12" s="28" t="s">
        <v>84</v>
      </c>
      <c r="C12" s="28">
        <v>-79.98</v>
      </c>
      <c r="D12" t="str">
        <f>_xlfn.XLOOKUP(B12,'Payee Ref'!A:A,'Payee Ref'!B:B,"unassigned",0,1)</f>
        <v>Travel</v>
      </c>
      <c r="E12" t="str">
        <f>_xlfn.XLOOKUP(B12,'Payee Ref'!A:A,'Payee Ref'!C:C,"unassigned",0,1)</f>
        <v>Luxury</v>
      </c>
      <c r="F12" t="s">
        <v>2209</v>
      </c>
    </row>
    <row r="13" spans="1:6" x14ac:dyDescent="0.2">
      <c r="A13" s="27">
        <v>45829</v>
      </c>
      <c r="B13" s="28" t="s">
        <v>84</v>
      </c>
      <c r="C13" s="28">
        <v>-73.19</v>
      </c>
      <c r="D13" t="str">
        <f>_xlfn.XLOOKUP(B13,'Payee Ref'!A:A,'Payee Ref'!B:B,"unassigned",0,1)</f>
        <v>Travel</v>
      </c>
      <c r="E13" t="str">
        <f>_xlfn.XLOOKUP(B13,'Payee Ref'!A:A,'Payee Ref'!C:C,"unassigned",0,1)</f>
        <v>Luxury</v>
      </c>
      <c r="F13" t="s">
        <v>2209</v>
      </c>
    </row>
    <row r="14" spans="1:6" x14ac:dyDescent="0.2">
      <c r="A14" s="27">
        <v>45867</v>
      </c>
      <c r="B14" s="28" t="s">
        <v>943</v>
      </c>
      <c r="C14" s="28">
        <v>-37.869999999999997</v>
      </c>
      <c r="D14" t="str">
        <f>_xlfn.XLOOKUP(B14,'Payee Ref'!A:A,'Payee Ref'!B:B,"unassigned",0,1)</f>
        <v>Travel</v>
      </c>
      <c r="E14" t="str">
        <f>_xlfn.XLOOKUP(B14,'Payee Ref'!A:A,'Payee Ref'!C:C,"unassigned",0,1)</f>
        <v>Luxury</v>
      </c>
      <c r="F14" t="s">
        <v>2209</v>
      </c>
    </row>
    <row r="15" spans="1:6" x14ac:dyDescent="0.2">
      <c r="A15" s="27">
        <v>45867</v>
      </c>
      <c r="B15" s="28" t="s">
        <v>84</v>
      </c>
      <c r="C15" s="28">
        <v>-37.869999999999997</v>
      </c>
      <c r="D15" t="str">
        <f>_xlfn.XLOOKUP(B15,'Payee Ref'!A:A,'Payee Ref'!B:B,"unassigned",0,1)</f>
        <v>Travel</v>
      </c>
      <c r="E15" t="str">
        <f>_xlfn.XLOOKUP(B15,'Payee Ref'!A:A,'Payee Ref'!C:C,"unassigned",0,1)</f>
        <v>Luxury</v>
      </c>
      <c r="F15" t="s">
        <v>2209</v>
      </c>
    </row>
    <row r="16" spans="1:6" x14ac:dyDescent="0.2">
      <c r="A16" s="27">
        <v>45877</v>
      </c>
      <c r="B16" s="28" t="s">
        <v>943</v>
      </c>
      <c r="C16" s="28">
        <v>-36.01</v>
      </c>
      <c r="D16" t="str">
        <f>_xlfn.XLOOKUP(B16,'Payee Ref'!A:A,'Payee Ref'!B:B,"unassigned",0,1)</f>
        <v>Travel</v>
      </c>
      <c r="E16" t="str">
        <f>_xlfn.XLOOKUP(B16,'Payee Ref'!A:A,'Payee Ref'!C:C,"unassigned",0,1)</f>
        <v>Luxury</v>
      </c>
      <c r="F16" t="s">
        <v>2209</v>
      </c>
    </row>
    <row r="17" spans="1:6" x14ac:dyDescent="0.2">
      <c r="A17" s="27">
        <v>45982</v>
      </c>
      <c r="B17" s="28" t="s">
        <v>82</v>
      </c>
      <c r="C17" s="28">
        <v>-35</v>
      </c>
      <c r="D17" t="str">
        <f>_xlfn.XLOOKUP(B17,'Payee Ref'!A:A,'Payee Ref'!B:B,"unassigned",0,1)</f>
        <v>Travel</v>
      </c>
      <c r="E17" t="str">
        <f>_xlfn.XLOOKUP(B17,'Payee Ref'!A:A,'Payee Ref'!C:C,"unassigned",0,1)</f>
        <v>Luxury</v>
      </c>
      <c r="F17" t="s">
        <v>2209</v>
      </c>
    </row>
    <row r="18" spans="1:6" x14ac:dyDescent="0.2">
      <c r="A18" s="27">
        <v>45866</v>
      </c>
      <c r="B18" s="28" t="s">
        <v>84</v>
      </c>
      <c r="C18" s="28">
        <v>-34.97</v>
      </c>
      <c r="D18" t="str">
        <f>_xlfn.XLOOKUP(B18,'Payee Ref'!A:A,'Payee Ref'!B:B,"unassigned",0,1)</f>
        <v>Travel</v>
      </c>
      <c r="E18" t="str">
        <f>_xlfn.XLOOKUP(B18,'Payee Ref'!A:A,'Payee Ref'!C:C,"unassigned",0,1)</f>
        <v>Luxury</v>
      </c>
      <c r="F18" t="s">
        <v>2209</v>
      </c>
    </row>
    <row r="19" spans="1:6" x14ac:dyDescent="0.2">
      <c r="A19" s="27">
        <v>45876</v>
      </c>
      <c r="B19" s="28" t="s">
        <v>84</v>
      </c>
      <c r="C19" s="28">
        <v>-32.909999999999997</v>
      </c>
      <c r="D19" t="str">
        <f>_xlfn.XLOOKUP(B19,'Payee Ref'!A:A,'Payee Ref'!B:B,"unassigned",0,1)</f>
        <v>Travel</v>
      </c>
      <c r="E19" t="str">
        <f>_xlfn.XLOOKUP(B19,'Payee Ref'!A:A,'Payee Ref'!C:C,"unassigned",0,1)</f>
        <v>Luxury</v>
      </c>
      <c r="F19" t="s">
        <v>2209</v>
      </c>
    </row>
    <row r="20" spans="1:6" x14ac:dyDescent="0.2">
      <c r="A20" s="27">
        <v>45878</v>
      </c>
      <c r="B20" s="28" t="s">
        <v>943</v>
      </c>
      <c r="C20" s="28">
        <v>-32.31</v>
      </c>
      <c r="D20" t="str">
        <f>_xlfn.XLOOKUP(B20,'Payee Ref'!A:A,'Payee Ref'!B:B,"unassigned",0,1)</f>
        <v>Travel</v>
      </c>
      <c r="E20" t="str">
        <f>_xlfn.XLOOKUP(B20,'Payee Ref'!A:A,'Payee Ref'!C:C,"unassigned",0,1)</f>
        <v>Luxury</v>
      </c>
      <c r="F20" t="s">
        <v>2209</v>
      </c>
    </row>
    <row r="21" spans="1:6" x14ac:dyDescent="0.2">
      <c r="A21" s="27">
        <v>45778</v>
      </c>
      <c r="B21" s="28" t="s">
        <v>84</v>
      </c>
      <c r="C21" s="28">
        <v>-29.18</v>
      </c>
      <c r="D21" t="str">
        <f>_xlfn.XLOOKUP(B21,'Payee Ref'!A:A,'Payee Ref'!B:B,"unassigned",0,1)</f>
        <v>Travel</v>
      </c>
      <c r="E21" t="str">
        <f>_xlfn.XLOOKUP(B21,'Payee Ref'!A:A,'Payee Ref'!C:C,"unassigned",0,1)</f>
        <v>Luxury</v>
      </c>
      <c r="F21" t="s">
        <v>2209</v>
      </c>
    </row>
    <row r="22" spans="1:6" x14ac:dyDescent="0.2">
      <c r="A22" s="27">
        <v>45871</v>
      </c>
      <c r="B22" s="28" t="s">
        <v>943</v>
      </c>
      <c r="C22" s="28">
        <v>-28.35</v>
      </c>
      <c r="D22" t="str">
        <f>_xlfn.XLOOKUP(B22,'Payee Ref'!A:A,'Payee Ref'!B:B,"unassigned",0,1)</f>
        <v>Travel</v>
      </c>
      <c r="E22" t="str">
        <f>_xlfn.XLOOKUP(B22,'Payee Ref'!A:A,'Payee Ref'!C:C,"unassigned",0,1)</f>
        <v>Luxury</v>
      </c>
      <c r="F22" t="s">
        <v>2209</v>
      </c>
    </row>
    <row r="23" spans="1:6" x14ac:dyDescent="0.2">
      <c r="A23" s="27">
        <v>45974</v>
      </c>
      <c r="B23" s="28" t="s">
        <v>1227</v>
      </c>
      <c r="C23" s="28">
        <v>-27.19</v>
      </c>
      <c r="D23" t="str">
        <f>_xlfn.XLOOKUP(B23,'Payee Ref'!A:A,'Payee Ref'!B:B,"unassigned",0,1)</f>
        <v>Travel</v>
      </c>
      <c r="E23" t="str">
        <f>_xlfn.XLOOKUP(B23,'Payee Ref'!A:A,'Payee Ref'!C:C,"unassigned",0,1)</f>
        <v>Luxury</v>
      </c>
      <c r="F23" t="s">
        <v>2209</v>
      </c>
    </row>
    <row r="24" spans="1:6" x14ac:dyDescent="0.2">
      <c r="A24" s="27">
        <v>45874</v>
      </c>
      <c r="B24" s="28" t="s">
        <v>943</v>
      </c>
      <c r="C24" s="28">
        <v>-27.1</v>
      </c>
      <c r="D24" t="str">
        <f>_xlfn.XLOOKUP(B24,'Payee Ref'!A:A,'Payee Ref'!B:B,"unassigned",0,1)</f>
        <v>Travel</v>
      </c>
      <c r="E24" t="str">
        <f>_xlfn.XLOOKUP(B24,'Payee Ref'!A:A,'Payee Ref'!C:C,"unassigned",0,1)</f>
        <v>Luxury</v>
      </c>
      <c r="F24" t="s">
        <v>2209</v>
      </c>
    </row>
    <row r="25" spans="1:6" x14ac:dyDescent="0.2">
      <c r="A25" s="27">
        <v>45871</v>
      </c>
      <c r="B25" s="28" t="s">
        <v>943</v>
      </c>
      <c r="C25" s="28">
        <v>-27.1</v>
      </c>
      <c r="D25" t="str">
        <f>_xlfn.XLOOKUP(B25,'Payee Ref'!A:A,'Payee Ref'!B:B,"unassigned",0,1)</f>
        <v>Travel</v>
      </c>
      <c r="E25" t="str">
        <f>_xlfn.XLOOKUP(B25,'Payee Ref'!A:A,'Payee Ref'!C:C,"unassigned",0,1)</f>
        <v>Luxury</v>
      </c>
      <c r="F25" t="s">
        <v>2209</v>
      </c>
    </row>
    <row r="26" spans="1:6" x14ac:dyDescent="0.2">
      <c r="A26" s="27">
        <v>45768</v>
      </c>
      <c r="B26" s="28" t="s">
        <v>943</v>
      </c>
      <c r="C26" s="28">
        <v>-25.92</v>
      </c>
      <c r="D26" t="str">
        <f>_xlfn.XLOOKUP(B26,'Payee Ref'!A:A,'Payee Ref'!B:B,"unassigned",0,1)</f>
        <v>Travel</v>
      </c>
      <c r="E26" t="str">
        <f>_xlfn.XLOOKUP(B26,'Payee Ref'!A:A,'Payee Ref'!C:C,"unassigned",0,1)</f>
        <v>Luxury</v>
      </c>
      <c r="F26" t="s">
        <v>2209</v>
      </c>
    </row>
    <row r="27" spans="1:6" x14ac:dyDescent="0.2">
      <c r="A27" s="27">
        <v>45808</v>
      </c>
      <c r="B27" s="28" t="s">
        <v>84</v>
      </c>
      <c r="C27" s="28">
        <v>-22.97</v>
      </c>
      <c r="D27" t="str">
        <f>_xlfn.XLOOKUP(B27,'Payee Ref'!A:A,'Payee Ref'!B:B,"unassigned",0,1)</f>
        <v>Travel</v>
      </c>
      <c r="E27" t="str">
        <f>_xlfn.XLOOKUP(B27,'Payee Ref'!A:A,'Payee Ref'!C:C,"unassigned",0,1)</f>
        <v>Luxury</v>
      </c>
      <c r="F27" t="s">
        <v>2209</v>
      </c>
    </row>
    <row r="28" spans="1:6" x14ac:dyDescent="0.2">
      <c r="A28" s="27">
        <v>45841</v>
      </c>
      <c r="B28" s="28" t="s">
        <v>943</v>
      </c>
      <c r="C28" s="28">
        <v>-21.6</v>
      </c>
      <c r="D28" t="str">
        <f>_xlfn.XLOOKUP(B28,'Payee Ref'!A:A,'Payee Ref'!B:B,"unassigned",0,1)</f>
        <v>Travel</v>
      </c>
      <c r="E28" t="str">
        <f>_xlfn.XLOOKUP(B28,'Payee Ref'!A:A,'Payee Ref'!C:C,"unassigned",0,1)</f>
        <v>Luxury</v>
      </c>
      <c r="F28" t="s">
        <v>2209</v>
      </c>
    </row>
    <row r="29" spans="1:6" x14ac:dyDescent="0.2">
      <c r="A29" s="27">
        <v>45785</v>
      </c>
      <c r="B29" s="28" t="s">
        <v>84</v>
      </c>
      <c r="C29" s="28">
        <v>-19.510000000000002</v>
      </c>
      <c r="D29" t="str">
        <f>_xlfn.XLOOKUP(B29,'Payee Ref'!A:A,'Payee Ref'!B:B,"unassigned",0,1)</f>
        <v>Travel</v>
      </c>
      <c r="E29" t="str">
        <f>_xlfn.XLOOKUP(B29,'Payee Ref'!A:A,'Payee Ref'!C:C,"unassigned",0,1)</f>
        <v>Luxury</v>
      </c>
      <c r="F29" t="s">
        <v>2209</v>
      </c>
    </row>
    <row r="30" spans="1:6" x14ac:dyDescent="0.2">
      <c r="A30" s="27">
        <v>45841</v>
      </c>
      <c r="B30" s="28" t="s">
        <v>84</v>
      </c>
      <c r="C30" s="28">
        <v>-18.899999999999999</v>
      </c>
      <c r="D30" t="str">
        <f>_xlfn.XLOOKUP(B30,'Payee Ref'!A:A,'Payee Ref'!B:B,"unassigned",0,1)</f>
        <v>Travel</v>
      </c>
      <c r="E30" t="str">
        <f>_xlfn.XLOOKUP(B30,'Payee Ref'!A:A,'Payee Ref'!C:C,"unassigned",0,1)</f>
        <v>Luxury</v>
      </c>
      <c r="F30" t="s">
        <v>2209</v>
      </c>
    </row>
    <row r="31" spans="1:6" x14ac:dyDescent="0.2">
      <c r="A31" s="27">
        <v>45832</v>
      </c>
      <c r="B31" s="28" t="s">
        <v>84</v>
      </c>
      <c r="C31" s="28">
        <v>-18.11</v>
      </c>
      <c r="D31" t="str">
        <f>_xlfn.XLOOKUP(B31,'Payee Ref'!A:A,'Payee Ref'!B:B,"unassigned",0,1)</f>
        <v>Travel</v>
      </c>
      <c r="E31" t="str">
        <f>_xlfn.XLOOKUP(B31,'Payee Ref'!A:A,'Payee Ref'!C:C,"unassigned",0,1)</f>
        <v>Luxury</v>
      </c>
      <c r="F31" t="s">
        <v>2209</v>
      </c>
    </row>
    <row r="32" spans="1:6" x14ac:dyDescent="0.2">
      <c r="A32" s="27">
        <v>45838</v>
      </c>
      <c r="B32" s="28" t="s">
        <v>84</v>
      </c>
      <c r="C32" s="28">
        <v>-16.77</v>
      </c>
      <c r="D32" t="str">
        <f>_xlfn.XLOOKUP(B32,'Payee Ref'!A:A,'Payee Ref'!B:B,"unassigned",0,1)</f>
        <v>Travel</v>
      </c>
      <c r="E32" t="str">
        <f>_xlfn.XLOOKUP(B32,'Payee Ref'!A:A,'Payee Ref'!C:C,"unassigned",0,1)</f>
        <v>Luxury</v>
      </c>
      <c r="F32" t="s">
        <v>2209</v>
      </c>
    </row>
    <row r="33" spans="1:6" x14ac:dyDescent="0.2">
      <c r="A33" s="27">
        <v>45793</v>
      </c>
      <c r="B33" s="28" t="s">
        <v>943</v>
      </c>
      <c r="C33" s="28">
        <v>-16.22</v>
      </c>
      <c r="D33" t="str">
        <f>_xlfn.XLOOKUP(B33,'Payee Ref'!A:A,'Payee Ref'!B:B,"unassigned",0,1)</f>
        <v>Travel</v>
      </c>
      <c r="E33" t="str">
        <f>_xlfn.XLOOKUP(B33,'Payee Ref'!A:A,'Payee Ref'!C:C,"unassigned",0,1)</f>
        <v>Luxury</v>
      </c>
      <c r="F33" t="s">
        <v>2209</v>
      </c>
    </row>
    <row r="34" spans="1:6" x14ac:dyDescent="0.2">
      <c r="A34" s="27">
        <v>45834</v>
      </c>
      <c r="B34" s="28" t="s">
        <v>84</v>
      </c>
      <c r="C34" s="28">
        <v>-15.52</v>
      </c>
      <c r="D34" t="str">
        <f>_xlfn.XLOOKUP(B34,'Payee Ref'!A:A,'Payee Ref'!B:B,"unassigned",0,1)</f>
        <v>Travel</v>
      </c>
      <c r="E34" t="str">
        <f>_xlfn.XLOOKUP(B34,'Payee Ref'!A:A,'Payee Ref'!C:C,"unassigned",0,1)</f>
        <v>Luxury</v>
      </c>
      <c r="F34" t="s">
        <v>2209</v>
      </c>
    </row>
    <row r="35" spans="1:6" x14ac:dyDescent="0.2">
      <c r="A35" s="27">
        <v>45822</v>
      </c>
      <c r="B35" s="28" t="s">
        <v>943</v>
      </c>
      <c r="C35" s="28">
        <v>-14.07</v>
      </c>
      <c r="D35" t="str">
        <f>_xlfn.XLOOKUP(B35,'Payee Ref'!A:A,'Payee Ref'!B:B,"unassigned",0,1)</f>
        <v>Travel</v>
      </c>
      <c r="E35" t="str">
        <f>_xlfn.XLOOKUP(B35,'Payee Ref'!A:A,'Payee Ref'!C:C,"unassigned",0,1)</f>
        <v>Luxury</v>
      </c>
      <c r="F35" t="s">
        <v>2209</v>
      </c>
    </row>
    <row r="36" spans="1:6" x14ac:dyDescent="0.2">
      <c r="A36" s="27">
        <v>45943</v>
      </c>
      <c r="B36" s="28" t="s">
        <v>1227</v>
      </c>
      <c r="C36" s="28">
        <v>-11.53</v>
      </c>
      <c r="D36" t="str">
        <f>_xlfn.XLOOKUP(B36,'Payee Ref'!A:A,'Payee Ref'!B:B,"unassigned",0,1)</f>
        <v>Travel</v>
      </c>
      <c r="E36" t="str">
        <f>_xlfn.XLOOKUP(B36,'Payee Ref'!A:A,'Payee Ref'!C:C,"unassigned",0,1)</f>
        <v>Luxury</v>
      </c>
      <c r="F36" t="s">
        <v>2209</v>
      </c>
    </row>
    <row r="37" spans="1:6" x14ac:dyDescent="0.2">
      <c r="A37" s="27">
        <v>45848</v>
      </c>
      <c r="B37" s="28" t="s">
        <v>84</v>
      </c>
      <c r="C37" s="28">
        <v>-10.24</v>
      </c>
      <c r="D37" t="str">
        <f>_xlfn.XLOOKUP(B37,'Payee Ref'!A:A,'Payee Ref'!B:B,"unassigned",0,1)</f>
        <v>Travel</v>
      </c>
      <c r="E37" t="str">
        <f>_xlfn.XLOOKUP(B37,'Payee Ref'!A:A,'Payee Ref'!C:C,"unassigned",0,1)</f>
        <v>Luxury</v>
      </c>
      <c r="F37" t="s">
        <v>2209</v>
      </c>
    </row>
    <row r="38" spans="1:6" x14ac:dyDescent="0.2">
      <c r="A38" s="27">
        <v>45780</v>
      </c>
      <c r="B38" s="28" t="s">
        <v>84</v>
      </c>
      <c r="C38" s="28">
        <v>-9.6</v>
      </c>
      <c r="D38" t="str">
        <f>_xlfn.XLOOKUP(B38,'Payee Ref'!A:A,'Payee Ref'!B:B,"unassigned",0,1)</f>
        <v>Travel</v>
      </c>
      <c r="E38" t="str">
        <f>_xlfn.XLOOKUP(B38,'Payee Ref'!A:A,'Payee Ref'!C:C,"unassigned",0,1)</f>
        <v>Luxury</v>
      </c>
      <c r="F38" t="s">
        <v>2209</v>
      </c>
    </row>
    <row r="39" spans="1:6" x14ac:dyDescent="0.2">
      <c r="A39" s="27">
        <v>45889</v>
      </c>
      <c r="B39" s="28" t="s">
        <v>82</v>
      </c>
      <c r="C39" s="28">
        <v>-8</v>
      </c>
      <c r="D39" t="str">
        <f>_xlfn.XLOOKUP(B39,'Payee Ref'!A:A,'Payee Ref'!B:B,"unassigned",0,1)</f>
        <v>Travel</v>
      </c>
      <c r="E39" t="str">
        <f>_xlfn.XLOOKUP(B39,'Payee Ref'!A:A,'Payee Ref'!C:C,"unassigned",0,1)</f>
        <v>Luxury</v>
      </c>
      <c r="F39" t="s">
        <v>2209</v>
      </c>
    </row>
    <row r="40" spans="1:6" x14ac:dyDescent="0.2">
      <c r="A40" s="27">
        <v>45815</v>
      </c>
      <c r="B40" s="28" t="s">
        <v>84</v>
      </c>
      <c r="C40" s="28">
        <v>-7.98</v>
      </c>
      <c r="D40" t="str">
        <f>_xlfn.XLOOKUP(B40,'Payee Ref'!A:A,'Payee Ref'!B:B,"unassigned",0,1)</f>
        <v>Travel</v>
      </c>
      <c r="E40" t="str">
        <f>_xlfn.XLOOKUP(B40,'Payee Ref'!A:A,'Payee Ref'!C:C,"unassigned",0,1)</f>
        <v>Luxury</v>
      </c>
      <c r="F40" t="s">
        <v>2209</v>
      </c>
    </row>
    <row r="41" spans="1:6" x14ac:dyDescent="0.2">
      <c r="A41" s="27">
        <v>45862</v>
      </c>
      <c r="B41" s="28" t="s">
        <v>84</v>
      </c>
      <c r="C41" s="28">
        <v>-6.38</v>
      </c>
      <c r="D41" t="str">
        <f>_xlfn.XLOOKUP(B41,'Payee Ref'!A:A,'Payee Ref'!B:B,"unassigned",0,1)</f>
        <v>Travel</v>
      </c>
      <c r="E41" t="str">
        <f>_xlfn.XLOOKUP(B41,'Payee Ref'!A:A,'Payee Ref'!C:C,"unassigned",0,1)</f>
        <v>Luxury</v>
      </c>
      <c r="F41" t="s">
        <v>2209</v>
      </c>
    </row>
    <row r="42" spans="1:6" x14ac:dyDescent="0.2">
      <c r="A42" s="27">
        <v>45863</v>
      </c>
      <c r="B42" s="28" t="s">
        <v>943</v>
      </c>
      <c r="C42" s="28">
        <v>-5.7</v>
      </c>
      <c r="D42" t="str">
        <f>_xlfn.XLOOKUP(B42,'Payee Ref'!A:A,'Payee Ref'!B:B,"unassigned",0,1)</f>
        <v>Travel</v>
      </c>
      <c r="E42" t="str">
        <f>_xlfn.XLOOKUP(B42,'Payee Ref'!A:A,'Payee Ref'!C:C,"unassigned",0,1)</f>
        <v>Luxury</v>
      </c>
      <c r="F42" t="s">
        <v>2209</v>
      </c>
    </row>
    <row r="43" spans="1:6" x14ac:dyDescent="0.2">
      <c r="A43" s="27">
        <v>45801</v>
      </c>
      <c r="B43" s="28" t="s">
        <v>84</v>
      </c>
      <c r="C43" s="28">
        <v>-3.56</v>
      </c>
      <c r="D43" t="str">
        <f>_xlfn.XLOOKUP(B43,'Payee Ref'!A:A,'Payee Ref'!B:B,"unassigned",0,1)</f>
        <v>Travel</v>
      </c>
      <c r="E43" t="str">
        <f>_xlfn.XLOOKUP(B43,'Payee Ref'!A:A,'Payee Ref'!C:C,"unassigned",0,1)</f>
        <v>Luxury</v>
      </c>
      <c r="F43" t="s">
        <v>2209</v>
      </c>
    </row>
    <row r="44" spans="1:6" x14ac:dyDescent="0.2">
      <c r="A44" s="27">
        <v>45980</v>
      </c>
      <c r="B44" s="28" t="s">
        <v>943</v>
      </c>
      <c r="C44" s="28">
        <v>-3.03</v>
      </c>
      <c r="D44" t="str">
        <f>_xlfn.XLOOKUP(B44,'Payee Ref'!A:A,'Payee Ref'!B:B,"unassigned",0,1)</f>
        <v>Travel</v>
      </c>
      <c r="E44" t="str">
        <f>_xlfn.XLOOKUP(B44,'Payee Ref'!A:A,'Payee Ref'!C:C,"unassigned",0,1)</f>
        <v>Luxury</v>
      </c>
      <c r="F44" t="s">
        <v>2209</v>
      </c>
    </row>
    <row r="45" spans="1:6" x14ac:dyDescent="0.2">
      <c r="A45" s="27">
        <v>45808</v>
      </c>
      <c r="B45" s="28" t="s">
        <v>943</v>
      </c>
      <c r="C45" s="28">
        <v>-2.95</v>
      </c>
      <c r="D45" t="str">
        <f>_xlfn.XLOOKUP(B45,'Payee Ref'!A:A,'Payee Ref'!B:B,"unassigned",0,1)</f>
        <v>Travel</v>
      </c>
      <c r="E45" t="str">
        <f>_xlfn.XLOOKUP(B45,'Payee Ref'!A:A,'Payee Ref'!C:C,"unassigned",0,1)</f>
        <v>Luxury</v>
      </c>
      <c r="F45" t="s">
        <v>2209</v>
      </c>
    </row>
    <row r="46" spans="1:6" x14ac:dyDescent="0.2">
      <c r="A46" s="27">
        <v>45863</v>
      </c>
      <c r="B46" s="28" t="s">
        <v>1240</v>
      </c>
      <c r="C46" s="28">
        <v>2.95</v>
      </c>
      <c r="D46" t="str">
        <f>_xlfn.XLOOKUP(B46,'Payee Ref'!A:A,'Payee Ref'!B:B,"unassigned",0,1)</f>
        <v>Travel</v>
      </c>
      <c r="E46" t="str">
        <f>_xlfn.XLOOKUP(B46,'Payee Ref'!A:A,'Payee Ref'!C:C,"unassigned",0,1)</f>
        <v>Luxury</v>
      </c>
      <c r="F46" t="s">
        <v>2209</v>
      </c>
    </row>
    <row r="47" spans="1:6" x14ac:dyDescent="0.2">
      <c r="A47" s="27">
        <v>45828</v>
      </c>
      <c r="B47" s="28" t="s">
        <v>1252</v>
      </c>
      <c r="C47" s="28">
        <v>3.03</v>
      </c>
      <c r="D47" t="str">
        <f>_xlfn.XLOOKUP(B47,'Payee Ref'!A:A,'Payee Ref'!B:B,"unassigned",0,1)</f>
        <v>Travel</v>
      </c>
      <c r="E47" t="str">
        <f>_xlfn.XLOOKUP(B47,'Payee Ref'!A:A,'Payee Ref'!C:C,"unassigned",0,1)</f>
        <v>Luxury</v>
      </c>
      <c r="F47" t="s">
        <v>2209</v>
      </c>
    </row>
    <row r="48" spans="1:6" x14ac:dyDescent="0.2">
      <c r="A48" s="27">
        <v>45863</v>
      </c>
      <c r="B48" s="28" t="s">
        <v>1241</v>
      </c>
      <c r="C48" s="28">
        <v>3.56</v>
      </c>
      <c r="D48" t="str">
        <f>_xlfn.XLOOKUP(B48,'Payee Ref'!A:A,'Payee Ref'!B:B,"unassigned",0,1)</f>
        <v>Travel</v>
      </c>
      <c r="E48" t="str">
        <f>_xlfn.XLOOKUP(B48,'Payee Ref'!A:A,'Payee Ref'!C:C,"unassigned",0,1)</f>
        <v>Luxury</v>
      </c>
      <c r="F48" t="s">
        <v>2209</v>
      </c>
    </row>
    <row r="49" spans="1:6" x14ac:dyDescent="0.2">
      <c r="A49" s="27">
        <v>45861</v>
      </c>
      <c r="B49" s="28" t="s">
        <v>1245</v>
      </c>
      <c r="C49" s="28">
        <v>5.3</v>
      </c>
      <c r="D49" t="str">
        <f>_xlfn.XLOOKUP(B49,'Payee Ref'!A:A,'Payee Ref'!B:B,"unassigned",0,1)</f>
        <v>Travel</v>
      </c>
      <c r="E49" t="str">
        <f>_xlfn.XLOOKUP(B49,'Payee Ref'!A:A,'Payee Ref'!C:C,"unassigned",0,1)</f>
        <v>Luxury</v>
      </c>
      <c r="F49" t="s">
        <v>2209</v>
      </c>
    </row>
    <row r="50" spans="1:6" x14ac:dyDescent="0.2">
      <c r="A50" s="27">
        <v>45867</v>
      </c>
      <c r="B50" s="28" t="s">
        <v>1234</v>
      </c>
      <c r="C50" s="28">
        <v>5.7</v>
      </c>
      <c r="D50" t="str">
        <f>_xlfn.XLOOKUP(B50,'Payee Ref'!A:A,'Payee Ref'!B:B,"unassigned",0,1)</f>
        <v>Travel</v>
      </c>
      <c r="E50" t="str">
        <f>_xlfn.XLOOKUP(B50,'Payee Ref'!A:A,'Payee Ref'!C:C,"unassigned",0,1)</f>
        <v>Luxury</v>
      </c>
      <c r="F50" t="s">
        <v>2209</v>
      </c>
    </row>
    <row r="51" spans="1:6" x14ac:dyDescent="0.2">
      <c r="A51" s="27">
        <v>45866</v>
      </c>
      <c r="B51" s="28" t="s">
        <v>1237</v>
      </c>
      <c r="C51" s="28">
        <v>6.38</v>
      </c>
      <c r="D51" t="str">
        <f>_xlfn.XLOOKUP(B51,'Payee Ref'!A:A,'Payee Ref'!B:B,"unassigned",0,1)</f>
        <v>Travel</v>
      </c>
      <c r="E51" t="str">
        <f>_xlfn.XLOOKUP(B51,'Payee Ref'!A:A,'Payee Ref'!C:C,"unassigned",0,1)</f>
        <v>Luxury</v>
      </c>
      <c r="F51" t="s">
        <v>2209</v>
      </c>
    </row>
    <row r="52" spans="1:6" x14ac:dyDescent="0.2">
      <c r="A52" s="27">
        <v>45866</v>
      </c>
      <c r="B52" s="28" t="s">
        <v>1236</v>
      </c>
      <c r="C52" s="28">
        <v>7.98</v>
      </c>
      <c r="D52" t="str">
        <f>_xlfn.XLOOKUP(B52,'Payee Ref'!A:A,'Payee Ref'!B:B,"unassigned",0,1)</f>
        <v>Travel</v>
      </c>
      <c r="E52" t="str">
        <f>_xlfn.XLOOKUP(B52,'Payee Ref'!A:A,'Payee Ref'!C:C,"unassigned",0,1)</f>
        <v>Luxury</v>
      </c>
      <c r="F52" t="s">
        <v>2209</v>
      </c>
    </row>
    <row r="53" spans="1:6" x14ac:dyDescent="0.2">
      <c r="A53" s="27">
        <v>45868</v>
      </c>
      <c r="B53" s="28" t="s">
        <v>1231</v>
      </c>
      <c r="C53" s="28">
        <v>8</v>
      </c>
      <c r="D53" t="str">
        <f>_xlfn.XLOOKUP(B53,'Payee Ref'!A:A,'Payee Ref'!B:B,"unassigned",0,1)</f>
        <v>Travel</v>
      </c>
      <c r="E53" t="str">
        <f>_xlfn.XLOOKUP(B53,'Payee Ref'!A:A,'Payee Ref'!C:C,"unassigned",0,1)</f>
        <v>Luxury</v>
      </c>
      <c r="F53" t="s">
        <v>2209</v>
      </c>
    </row>
    <row r="54" spans="1:6" x14ac:dyDescent="0.2">
      <c r="A54" s="27">
        <v>45867</v>
      </c>
      <c r="B54" s="28" t="s">
        <v>1232</v>
      </c>
      <c r="C54" s="28">
        <v>9.6</v>
      </c>
      <c r="D54" t="str">
        <f>_xlfn.XLOOKUP(B54,'Payee Ref'!A:A,'Payee Ref'!B:B,"unassigned",0,1)</f>
        <v>Travel</v>
      </c>
      <c r="E54" t="str">
        <f>_xlfn.XLOOKUP(B54,'Payee Ref'!A:A,'Payee Ref'!C:C,"unassigned",0,1)</f>
        <v>Luxury</v>
      </c>
      <c r="F54" t="s">
        <v>2209</v>
      </c>
    </row>
    <row r="55" spans="1:6" x14ac:dyDescent="0.2">
      <c r="A55" s="27">
        <v>45741</v>
      </c>
      <c r="B55" s="28" t="s">
        <v>84</v>
      </c>
      <c r="C55" s="28">
        <v>9.99</v>
      </c>
      <c r="D55" t="str">
        <f>_xlfn.XLOOKUP(B55,'Payee Ref'!A:A,'Payee Ref'!B:B,"unassigned",0,1)</f>
        <v>Travel</v>
      </c>
      <c r="E55" t="str">
        <f>_xlfn.XLOOKUP(B55,'Payee Ref'!A:A,'Payee Ref'!C:C,"unassigned",0,1)</f>
        <v>Luxury</v>
      </c>
      <c r="F55" t="s">
        <v>2209</v>
      </c>
    </row>
    <row r="56" spans="1:6" x14ac:dyDescent="0.2">
      <c r="A56" s="27">
        <v>45713</v>
      </c>
      <c r="B56" s="28" t="s">
        <v>84</v>
      </c>
      <c r="C56" s="28">
        <v>9.99</v>
      </c>
      <c r="D56" t="str">
        <f>_xlfn.XLOOKUP(B56,'Payee Ref'!A:A,'Payee Ref'!B:B,"unassigned",0,1)</f>
        <v>Travel</v>
      </c>
      <c r="E56" t="str">
        <f>_xlfn.XLOOKUP(B56,'Payee Ref'!A:A,'Payee Ref'!C:C,"unassigned",0,1)</f>
        <v>Luxury</v>
      </c>
      <c r="F56" t="s">
        <v>2209</v>
      </c>
    </row>
    <row r="57" spans="1:6" x14ac:dyDescent="0.2">
      <c r="A57" s="27">
        <v>45681</v>
      </c>
      <c r="B57" s="28" t="s">
        <v>84</v>
      </c>
      <c r="C57" s="28">
        <v>9.99</v>
      </c>
      <c r="D57" t="str">
        <f>_xlfn.XLOOKUP(B57,'Payee Ref'!A:A,'Payee Ref'!B:B,"unassigned",0,1)</f>
        <v>Travel</v>
      </c>
      <c r="E57" t="str">
        <f>_xlfn.XLOOKUP(B57,'Payee Ref'!A:A,'Payee Ref'!C:C,"unassigned",0,1)</f>
        <v>Luxury</v>
      </c>
      <c r="F57" t="s">
        <v>2209</v>
      </c>
    </row>
    <row r="58" spans="1:6" x14ac:dyDescent="0.2">
      <c r="A58" s="27">
        <v>45866</v>
      </c>
      <c r="B58" s="28" t="s">
        <v>1238</v>
      </c>
      <c r="C58" s="28">
        <v>10.24</v>
      </c>
      <c r="D58" t="str">
        <f>_xlfn.XLOOKUP(B58,'Payee Ref'!A:A,'Payee Ref'!B:B,"unassigned",0,1)</f>
        <v>Travel</v>
      </c>
      <c r="E58" t="str">
        <f>_xlfn.XLOOKUP(B58,'Payee Ref'!A:A,'Payee Ref'!C:C,"unassigned",0,1)</f>
        <v>Luxury</v>
      </c>
      <c r="F58" t="s">
        <v>2209</v>
      </c>
    </row>
    <row r="59" spans="1:6" x14ac:dyDescent="0.2">
      <c r="A59" s="27">
        <v>45749</v>
      </c>
      <c r="B59" s="28" t="s">
        <v>943</v>
      </c>
      <c r="C59" s="28">
        <v>11.53</v>
      </c>
      <c r="D59" t="str">
        <f>_xlfn.XLOOKUP(B59,'Payee Ref'!A:A,'Payee Ref'!B:B,"unassigned",0,1)</f>
        <v>Travel</v>
      </c>
      <c r="E59" t="str">
        <f>_xlfn.XLOOKUP(B59,'Payee Ref'!A:A,'Payee Ref'!C:C,"unassigned",0,1)</f>
        <v>Luxury</v>
      </c>
      <c r="F59" t="s">
        <v>2209</v>
      </c>
    </row>
    <row r="60" spans="1:6" x14ac:dyDescent="0.2">
      <c r="A60" s="27">
        <v>45918</v>
      </c>
      <c r="B60" s="28" t="s">
        <v>67</v>
      </c>
      <c r="C60" s="28">
        <v>11.53</v>
      </c>
      <c r="D60" t="str">
        <f>_xlfn.XLOOKUP(B60,'Payee Ref'!A:A,'Payee Ref'!B:B,"unassigned",0,1)</f>
        <v>Travel</v>
      </c>
      <c r="E60" t="str">
        <f>_xlfn.XLOOKUP(B60,'Payee Ref'!A:A,'Payee Ref'!C:C,"unassigned",0,1)</f>
        <v>Luxury</v>
      </c>
      <c r="F60" t="s">
        <v>2209</v>
      </c>
    </row>
    <row r="61" spans="1:6" x14ac:dyDescent="0.2">
      <c r="A61" s="27">
        <v>45948</v>
      </c>
      <c r="B61" s="28" t="s">
        <v>67</v>
      </c>
      <c r="C61" s="28">
        <v>13.46</v>
      </c>
      <c r="D61" t="str">
        <f>_xlfn.XLOOKUP(B61,'Payee Ref'!A:A,'Payee Ref'!B:B,"unassigned",0,1)</f>
        <v>Travel</v>
      </c>
      <c r="E61" t="str">
        <f>_xlfn.XLOOKUP(B61,'Payee Ref'!A:A,'Payee Ref'!C:C,"unassigned",0,1)</f>
        <v>Luxury</v>
      </c>
      <c r="F61" t="s">
        <v>2209</v>
      </c>
    </row>
    <row r="62" spans="1:6" x14ac:dyDescent="0.2">
      <c r="A62" s="27">
        <v>45866</v>
      </c>
      <c r="B62" s="28" t="s">
        <v>1235</v>
      </c>
      <c r="C62" s="28">
        <v>14.07</v>
      </c>
      <c r="D62" t="str">
        <f>_xlfn.XLOOKUP(B62,'Payee Ref'!A:A,'Payee Ref'!B:B,"unassigned",0,1)</f>
        <v>Travel</v>
      </c>
      <c r="E62" t="str">
        <f>_xlfn.XLOOKUP(B62,'Payee Ref'!A:A,'Payee Ref'!C:C,"unassigned",0,1)</f>
        <v>Luxury</v>
      </c>
      <c r="F62" t="s">
        <v>2209</v>
      </c>
    </row>
    <row r="63" spans="1:6" x14ac:dyDescent="0.2">
      <c r="A63" s="27">
        <v>45870</v>
      </c>
      <c r="B63" s="28" t="s">
        <v>229</v>
      </c>
      <c r="C63" s="28">
        <v>14.34</v>
      </c>
      <c r="D63" t="str">
        <f>_xlfn.XLOOKUP(B63,'Payee Ref'!A:A,'Payee Ref'!B:B,"unassigned",0,1)</f>
        <v>Travel</v>
      </c>
      <c r="E63" t="str">
        <f>_xlfn.XLOOKUP(B63,'Payee Ref'!A:A,'Payee Ref'!C:C,"unassigned",0,1)</f>
        <v>Luxury</v>
      </c>
      <c r="F63" t="s">
        <v>2209</v>
      </c>
    </row>
    <row r="64" spans="1:6" x14ac:dyDescent="0.2">
      <c r="A64" s="27">
        <v>45861</v>
      </c>
      <c r="B64" s="28" t="s">
        <v>1244</v>
      </c>
      <c r="C64" s="28">
        <v>15.52</v>
      </c>
      <c r="D64" t="str">
        <f>_xlfn.XLOOKUP(B64,'Payee Ref'!A:A,'Payee Ref'!B:B,"unassigned",0,1)</f>
        <v>Travel</v>
      </c>
      <c r="E64" t="str">
        <f>_xlfn.XLOOKUP(B64,'Payee Ref'!A:A,'Payee Ref'!C:C,"unassigned",0,1)</f>
        <v>Luxury</v>
      </c>
      <c r="F64" t="s">
        <v>2209</v>
      </c>
    </row>
    <row r="65" spans="1:6" x14ac:dyDescent="0.2">
      <c r="A65" s="27">
        <v>45867</v>
      </c>
      <c r="B65" s="28" t="s">
        <v>1232</v>
      </c>
      <c r="C65" s="28">
        <v>16.22</v>
      </c>
      <c r="D65" t="str">
        <f>_xlfn.XLOOKUP(B65,'Payee Ref'!A:A,'Payee Ref'!B:B,"unassigned",0,1)</f>
        <v>Travel</v>
      </c>
      <c r="E65" t="str">
        <f>_xlfn.XLOOKUP(B65,'Payee Ref'!A:A,'Payee Ref'!C:C,"unassigned",0,1)</f>
        <v>Luxury</v>
      </c>
      <c r="F65" t="s">
        <v>2209</v>
      </c>
    </row>
    <row r="66" spans="1:6" x14ac:dyDescent="0.2">
      <c r="A66" s="27">
        <v>45861</v>
      </c>
      <c r="B66" s="28" t="s">
        <v>1243</v>
      </c>
      <c r="C66" s="28">
        <v>16.77</v>
      </c>
      <c r="D66" t="str">
        <f>_xlfn.XLOOKUP(B66,'Payee Ref'!A:A,'Payee Ref'!B:B,"unassigned",0,1)</f>
        <v>Travel</v>
      </c>
      <c r="E66" t="str">
        <f>_xlfn.XLOOKUP(B66,'Payee Ref'!A:A,'Payee Ref'!C:C,"unassigned",0,1)</f>
        <v>Luxury</v>
      </c>
      <c r="F66" t="s">
        <v>2209</v>
      </c>
    </row>
    <row r="67" spans="1:6" x14ac:dyDescent="0.2">
      <c r="A67" s="27">
        <v>45861</v>
      </c>
      <c r="B67" s="28" t="s">
        <v>1248</v>
      </c>
      <c r="C67" s="28">
        <v>18.11</v>
      </c>
      <c r="D67" t="str">
        <f>_xlfn.XLOOKUP(B67,'Payee Ref'!A:A,'Payee Ref'!B:B,"unassigned",0,1)</f>
        <v>Travel</v>
      </c>
      <c r="E67" t="str">
        <f>_xlfn.XLOOKUP(B67,'Payee Ref'!A:A,'Payee Ref'!C:C,"unassigned",0,1)</f>
        <v>Luxury</v>
      </c>
      <c r="F67" t="s">
        <v>2209</v>
      </c>
    </row>
    <row r="68" spans="1:6" x14ac:dyDescent="0.2">
      <c r="A68" s="27">
        <v>45863</v>
      </c>
      <c r="B68" s="28" t="s">
        <v>1239</v>
      </c>
      <c r="C68" s="28">
        <v>18.899999999999999</v>
      </c>
      <c r="D68" t="str">
        <f>_xlfn.XLOOKUP(B68,'Payee Ref'!A:A,'Payee Ref'!B:B,"unassigned",0,1)</f>
        <v>Travel</v>
      </c>
      <c r="E68" t="str">
        <f>_xlfn.XLOOKUP(B68,'Payee Ref'!A:A,'Payee Ref'!C:C,"unassigned",0,1)</f>
        <v>Luxury</v>
      </c>
      <c r="F68" t="s">
        <v>2209</v>
      </c>
    </row>
    <row r="69" spans="1:6" x14ac:dyDescent="0.2">
      <c r="A69" s="27">
        <v>45867</v>
      </c>
      <c r="B69" s="28" t="s">
        <v>1233</v>
      </c>
      <c r="C69" s="28">
        <v>19.510000000000002</v>
      </c>
      <c r="D69" t="str">
        <f>_xlfn.XLOOKUP(B69,'Payee Ref'!A:A,'Payee Ref'!B:B,"unassigned",0,1)</f>
        <v>Travel</v>
      </c>
      <c r="E69" t="str">
        <f>_xlfn.XLOOKUP(B69,'Payee Ref'!A:A,'Payee Ref'!C:C,"unassigned",0,1)</f>
        <v>Luxury</v>
      </c>
      <c r="F69" t="s">
        <v>2209</v>
      </c>
    </row>
    <row r="70" spans="1:6" x14ac:dyDescent="0.2">
      <c r="A70" s="27">
        <v>45979</v>
      </c>
      <c r="B70" s="28" t="s">
        <v>67</v>
      </c>
      <c r="C70" s="28">
        <v>20.149999999999999</v>
      </c>
      <c r="D70" t="str">
        <f>_xlfn.XLOOKUP(B70,'Payee Ref'!A:A,'Payee Ref'!B:B,"unassigned",0,1)</f>
        <v>Travel</v>
      </c>
      <c r="E70" t="str">
        <f>_xlfn.XLOOKUP(B70,'Payee Ref'!A:A,'Payee Ref'!C:C,"unassigned",0,1)</f>
        <v>Luxury</v>
      </c>
      <c r="F70" t="s">
        <v>2209</v>
      </c>
    </row>
    <row r="71" spans="1:6" x14ac:dyDescent="0.2">
      <c r="A71" s="27">
        <v>45863</v>
      </c>
      <c r="B71" s="28" t="s">
        <v>1242</v>
      </c>
      <c r="C71" s="28">
        <v>21.6</v>
      </c>
      <c r="D71" t="str">
        <f>_xlfn.XLOOKUP(B71,'Payee Ref'!A:A,'Payee Ref'!B:B,"unassigned",0,1)</f>
        <v>Travel</v>
      </c>
      <c r="E71" t="str">
        <f>_xlfn.XLOOKUP(B71,'Payee Ref'!A:A,'Payee Ref'!C:C,"unassigned",0,1)</f>
        <v>Luxury</v>
      </c>
      <c r="F71" t="s">
        <v>2209</v>
      </c>
    </row>
    <row r="72" spans="1:6" x14ac:dyDescent="0.2">
      <c r="A72" s="27">
        <v>45723</v>
      </c>
      <c r="B72" s="28" t="s">
        <v>84</v>
      </c>
      <c r="C72" s="28">
        <v>22.06</v>
      </c>
      <c r="D72" t="str">
        <f>_xlfn.XLOOKUP(B72,'Payee Ref'!A:A,'Payee Ref'!B:B,"unassigned",0,1)</f>
        <v>Travel</v>
      </c>
      <c r="E72" t="str">
        <f>_xlfn.XLOOKUP(B72,'Payee Ref'!A:A,'Payee Ref'!C:C,"unassigned",0,1)</f>
        <v>Luxury</v>
      </c>
      <c r="F72" t="s">
        <v>2209</v>
      </c>
    </row>
    <row r="73" spans="1:6" x14ac:dyDescent="0.2">
      <c r="A73" s="27">
        <v>45695</v>
      </c>
      <c r="B73" s="28" t="s">
        <v>84</v>
      </c>
      <c r="C73" s="28">
        <v>22.06</v>
      </c>
      <c r="D73" t="str">
        <f>_xlfn.XLOOKUP(B73,'Payee Ref'!A:A,'Payee Ref'!B:B,"unassigned",0,1)</f>
        <v>Travel</v>
      </c>
      <c r="E73" t="str">
        <f>_xlfn.XLOOKUP(B73,'Payee Ref'!A:A,'Payee Ref'!C:C,"unassigned",0,1)</f>
        <v>Luxury</v>
      </c>
      <c r="F73" t="s">
        <v>2209</v>
      </c>
    </row>
    <row r="74" spans="1:6" x14ac:dyDescent="0.2">
      <c r="A74" s="27">
        <v>45666</v>
      </c>
      <c r="B74" s="28" t="s">
        <v>84</v>
      </c>
      <c r="C74" s="28">
        <v>22.06</v>
      </c>
      <c r="D74" t="str">
        <f>_xlfn.XLOOKUP(B74,'Payee Ref'!A:A,'Payee Ref'!B:B,"unassigned",0,1)</f>
        <v>Travel</v>
      </c>
      <c r="E74" t="str">
        <f>_xlfn.XLOOKUP(B74,'Payee Ref'!A:A,'Payee Ref'!C:C,"unassigned",0,1)</f>
        <v>Luxury</v>
      </c>
      <c r="F74" t="s">
        <v>2209</v>
      </c>
    </row>
    <row r="75" spans="1:6" x14ac:dyDescent="0.2">
      <c r="A75" s="27">
        <v>45863</v>
      </c>
      <c r="B75" s="28" t="s">
        <v>1240</v>
      </c>
      <c r="C75" s="28">
        <v>22.97</v>
      </c>
      <c r="D75" t="str">
        <f>_xlfn.XLOOKUP(B75,'Payee Ref'!A:A,'Payee Ref'!B:B,"unassigned",0,1)</f>
        <v>Travel</v>
      </c>
      <c r="E75" t="str">
        <f>_xlfn.XLOOKUP(B75,'Payee Ref'!A:A,'Payee Ref'!C:C,"unassigned",0,1)</f>
        <v>Luxury</v>
      </c>
      <c r="F75" t="s">
        <v>2209</v>
      </c>
    </row>
    <row r="76" spans="1:6" x14ac:dyDescent="0.2">
      <c r="A76" s="27">
        <v>45861</v>
      </c>
      <c r="B76" s="28" t="s">
        <v>1247</v>
      </c>
      <c r="C76" s="28">
        <v>25.92</v>
      </c>
      <c r="D76" t="str">
        <f>_xlfn.XLOOKUP(B76,'Payee Ref'!A:A,'Payee Ref'!B:B,"unassigned",0,1)</f>
        <v>Travel</v>
      </c>
      <c r="E76" t="str">
        <f>_xlfn.XLOOKUP(B76,'Payee Ref'!A:A,'Payee Ref'!C:C,"unassigned",0,1)</f>
        <v>Luxury</v>
      </c>
      <c r="F76" t="s">
        <v>2209</v>
      </c>
    </row>
    <row r="77" spans="1:6" x14ac:dyDescent="0.2">
      <c r="A77" s="27">
        <v>45796</v>
      </c>
      <c r="B77" s="28" t="s">
        <v>1250</v>
      </c>
      <c r="C77" s="28">
        <v>27.1</v>
      </c>
      <c r="D77" t="str">
        <f>_xlfn.XLOOKUP(B77,'Payee Ref'!A:A,'Payee Ref'!B:B,"unassigned",0,1)</f>
        <v>Travel</v>
      </c>
      <c r="E77" t="str">
        <f>_xlfn.XLOOKUP(B77,'Payee Ref'!A:A,'Payee Ref'!C:C,"unassigned",0,1)</f>
        <v>Luxury</v>
      </c>
      <c r="F77" t="s">
        <v>2209</v>
      </c>
    </row>
    <row r="78" spans="1:6" x14ac:dyDescent="0.2">
      <c r="A78" s="27">
        <v>45765</v>
      </c>
      <c r="B78" s="28" t="s">
        <v>1250</v>
      </c>
      <c r="C78" s="28">
        <v>27.1</v>
      </c>
      <c r="D78" t="str">
        <f>_xlfn.XLOOKUP(B78,'Payee Ref'!A:A,'Payee Ref'!B:B,"unassigned",0,1)</f>
        <v>Travel</v>
      </c>
      <c r="E78" t="str">
        <f>_xlfn.XLOOKUP(B78,'Payee Ref'!A:A,'Payee Ref'!C:C,"unassigned",0,1)</f>
        <v>Luxury</v>
      </c>
      <c r="F78" t="s">
        <v>2209</v>
      </c>
    </row>
    <row r="79" spans="1:6" x14ac:dyDescent="0.2">
      <c r="A79" s="27">
        <v>45755</v>
      </c>
      <c r="B79" s="28" t="s">
        <v>84</v>
      </c>
      <c r="C79" s="28">
        <v>27.19</v>
      </c>
      <c r="D79" t="str">
        <f>_xlfn.XLOOKUP(B79,'Payee Ref'!A:A,'Payee Ref'!B:B,"unassigned",0,1)</f>
        <v>Travel</v>
      </c>
      <c r="E79" t="str">
        <f>_xlfn.XLOOKUP(B79,'Payee Ref'!A:A,'Payee Ref'!C:C,"unassigned",0,1)</f>
        <v>Luxury</v>
      </c>
      <c r="F79" t="s">
        <v>2209</v>
      </c>
    </row>
    <row r="80" spans="1:6" x14ac:dyDescent="0.2">
      <c r="A80" s="27">
        <v>45735</v>
      </c>
      <c r="B80" s="28" t="s">
        <v>1250</v>
      </c>
      <c r="C80" s="28">
        <v>28.35</v>
      </c>
      <c r="D80" t="str">
        <f>_xlfn.XLOOKUP(B80,'Payee Ref'!A:A,'Payee Ref'!B:B,"unassigned",0,1)</f>
        <v>Travel</v>
      </c>
      <c r="E80" t="str">
        <f>_xlfn.XLOOKUP(B80,'Payee Ref'!A:A,'Payee Ref'!C:C,"unassigned",0,1)</f>
        <v>Luxury</v>
      </c>
      <c r="F80" t="s">
        <v>2209</v>
      </c>
    </row>
    <row r="81" spans="1:6" x14ac:dyDescent="0.2">
      <c r="A81" s="27">
        <v>45861</v>
      </c>
      <c r="B81" s="28" t="s">
        <v>1247</v>
      </c>
      <c r="C81" s="28">
        <v>29.18</v>
      </c>
      <c r="D81" t="str">
        <f>_xlfn.XLOOKUP(B81,'Payee Ref'!A:A,'Payee Ref'!B:B,"unassigned",0,1)</f>
        <v>Travel</v>
      </c>
      <c r="E81" t="str">
        <f>_xlfn.XLOOKUP(B81,'Payee Ref'!A:A,'Payee Ref'!C:C,"unassigned",0,1)</f>
        <v>Luxury</v>
      </c>
      <c r="F81" t="s">
        <v>2209</v>
      </c>
    </row>
    <row r="82" spans="1:6" x14ac:dyDescent="0.2">
      <c r="A82" s="27">
        <v>45861</v>
      </c>
      <c r="B82" s="28" t="s">
        <v>1246</v>
      </c>
      <c r="C82" s="28">
        <v>32.31</v>
      </c>
      <c r="D82" t="str">
        <f>_xlfn.XLOOKUP(B82,'Payee Ref'!A:A,'Payee Ref'!B:B,"unassigned",0,1)</f>
        <v>Travel</v>
      </c>
      <c r="E82" t="str">
        <f>_xlfn.XLOOKUP(B82,'Payee Ref'!A:A,'Payee Ref'!C:C,"unassigned",0,1)</f>
        <v>Luxury</v>
      </c>
      <c r="F82" t="s">
        <v>2209</v>
      </c>
    </row>
    <row r="83" spans="1:6" x14ac:dyDescent="0.2">
      <c r="A83" s="27">
        <v>45826</v>
      </c>
      <c r="B83" s="28" t="s">
        <v>1250</v>
      </c>
      <c r="C83" s="28">
        <v>32.909999999999997</v>
      </c>
      <c r="D83" t="str">
        <f>_xlfn.XLOOKUP(B83,'Payee Ref'!A:A,'Payee Ref'!B:B,"unassigned",0,1)</f>
        <v>Travel</v>
      </c>
      <c r="E83" t="str">
        <f>_xlfn.XLOOKUP(B83,'Payee Ref'!A:A,'Payee Ref'!C:C,"unassigned",0,1)</f>
        <v>Luxury</v>
      </c>
      <c r="F83" t="s">
        <v>2209</v>
      </c>
    </row>
    <row r="84" spans="1:6" x14ac:dyDescent="0.2">
      <c r="A84" s="27">
        <v>45869</v>
      </c>
      <c r="B84" s="28" t="s">
        <v>1228</v>
      </c>
      <c r="C84" s="28">
        <v>34.97</v>
      </c>
      <c r="D84" t="str">
        <f>_xlfn.XLOOKUP(B84,'Payee Ref'!A:A,'Payee Ref'!B:B,"unassigned",0,1)</f>
        <v>Travel</v>
      </c>
      <c r="E84" t="str">
        <f>_xlfn.XLOOKUP(B84,'Payee Ref'!A:A,'Payee Ref'!C:C,"unassigned",0,1)</f>
        <v>Luxury</v>
      </c>
      <c r="F84" t="s">
        <v>2209</v>
      </c>
    </row>
    <row r="85" spans="1:6" x14ac:dyDescent="0.2">
      <c r="A85" s="27">
        <v>45835</v>
      </c>
      <c r="B85" s="28" t="s">
        <v>1251</v>
      </c>
      <c r="C85" s="28">
        <v>35</v>
      </c>
      <c r="D85">
        <f>_xlfn.XLOOKUP(B85,'Payee Ref'!A:A,'Payee Ref'!B:B,"unassigned",0,1)</f>
        <v>0</v>
      </c>
      <c r="E85">
        <f>_xlfn.XLOOKUP(B85,'Payee Ref'!A:A,'Payee Ref'!C:C,"unassigned",0,1)</f>
        <v>0</v>
      </c>
      <c r="F85" t="s">
        <v>2209</v>
      </c>
    </row>
    <row r="86" spans="1:6" x14ac:dyDescent="0.2">
      <c r="A86" s="27">
        <v>45857</v>
      </c>
      <c r="B86" s="28" t="s">
        <v>1250</v>
      </c>
      <c r="C86" s="28">
        <v>36.01</v>
      </c>
      <c r="D86" t="str">
        <f>_xlfn.XLOOKUP(B86,'Payee Ref'!A:A,'Payee Ref'!B:B,"unassigned",0,1)</f>
        <v>Travel</v>
      </c>
      <c r="E86" t="str">
        <f>_xlfn.XLOOKUP(B86,'Payee Ref'!A:A,'Payee Ref'!C:C,"unassigned",0,1)</f>
        <v>Luxury</v>
      </c>
      <c r="F86" t="s">
        <v>2209</v>
      </c>
    </row>
    <row r="87" spans="1:6" x14ac:dyDescent="0.2">
      <c r="A87" s="27">
        <v>45703</v>
      </c>
      <c r="B87" s="28" t="s">
        <v>1250</v>
      </c>
      <c r="C87" s="28">
        <v>37.869999999999997</v>
      </c>
      <c r="D87" t="str">
        <f>_xlfn.XLOOKUP(B87,'Payee Ref'!A:A,'Payee Ref'!B:B,"unassigned",0,1)</f>
        <v>Travel</v>
      </c>
      <c r="E87" t="str">
        <f>_xlfn.XLOOKUP(B87,'Payee Ref'!A:A,'Payee Ref'!C:C,"unassigned",0,1)</f>
        <v>Luxury</v>
      </c>
      <c r="F87" t="s">
        <v>2209</v>
      </c>
    </row>
    <row r="88" spans="1:6" x14ac:dyDescent="0.2">
      <c r="A88" s="27">
        <v>45675</v>
      </c>
      <c r="B88" s="28" t="s">
        <v>1250</v>
      </c>
      <c r="C88" s="28">
        <v>37.869999999999997</v>
      </c>
      <c r="D88" t="str">
        <f>_xlfn.XLOOKUP(B88,'Payee Ref'!A:A,'Payee Ref'!B:B,"unassigned",0,1)</f>
        <v>Travel</v>
      </c>
      <c r="E88" t="str">
        <f>_xlfn.XLOOKUP(B88,'Payee Ref'!A:A,'Payee Ref'!C:C,"unassigned",0,1)</f>
        <v>Luxury</v>
      </c>
      <c r="F88" t="s">
        <v>2209</v>
      </c>
    </row>
    <row r="89" spans="1:6" x14ac:dyDescent="0.2">
      <c r="A89" s="27">
        <v>45703</v>
      </c>
      <c r="B89" s="28" t="s">
        <v>67</v>
      </c>
      <c r="C89" s="28">
        <v>64.739999999999995</v>
      </c>
      <c r="D89" t="str">
        <f>_xlfn.XLOOKUP(B89,'Payee Ref'!A:A,'Payee Ref'!B:B,"unassigned",0,1)</f>
        <v>Travel</v>
      </c>
      <c r="E89" t="str">
        <f>_xlfn.XLOOKUP(B89,'Payee Ref'!A:A,'Payee Ref'!C:C,"unassigned",0,1)</f>
        <v>Luxury</v>
      </c>
      <c r="F89" t="s">
        <v>2209</v>
      </c>
    </row>
    <row r="90" spans="1:6" x14ac:dyDescent="0.2">
      <c r="A90" s="27">
        <v>45868</v>
      </c>
      <c r="B90" s="28" t="s">
        <v>1230</v>
      </c>
      <c r="C90" s="28">
        <v>73.19</v>
      </c>
      <c r="D90" t="str">
        <f>_xlfn.XLOOKUP(B90,'Payee Ref'!A:A,'Payee Ref'!B:B,"unassigned",0,1)</f>
        <v>Travel</v>
      </c>
      <c r="E90" t="str">
        <f>_xlfn.XLOOKUP(B90,'Payee Ref'!A:A,'Payee Ref'!C:C,"unassigned",0,1)</f>
        <v>Luxury</v>
      </c>
      <c r="F90" t="s">
        <v>2209</v>
      </c>
    </row>
    <row r="91" spans="1:6" x14ac:dyDescent="0.2">
      <c r="A91" s="27">
        <v>45869</v>
      </c>
      <c r="B91" s="28" t="s">
        <v>1229</v>
      </c>
      <c r="C91" s="28">
        <v>79.98</v>
      </c>
      <c r="D91" t="str">
        <f>_xlfn.XLOOKUP(B91,'Payee Ref'!A:A,'Payee Ref'!B:B,"unassigned",0,1)</f>
        <v>Travel</v>
      </c>
      <c r="E91" t="str">
        <f>_xlfn.XLOOKUP(B91,'Payee Ref'!A:A,'Payee Ref'!C:C,"unassigned",0,1)</f>
        <v>Luxury</v>
      </c>
      <c r="F91" t="s">
        <v>2209</v>
      </c>
    </row>
    <row r="92" spans="1:6" x14ac:dyDescent="0.2">
      <c r="A92" s="27">
        <v>45828</v>
      </c>
      <c r="B92" s="28" t="s">
        <v>1253</v>
      </c>
      <c r="C92" s="28">
        <v>104.55</v>
      </c>
      <c r="D92" t="str">
        <f>_xlfn.XLOOKUP(B92,'Payee Ref'!A:A,'Payee Ref'!B:B,"unassigned",0,1)</f>
        <v>Travel</v>
      </c>
      <c r="E92" t="str">
        <f>_xlfn.XLOOKUP(B92,'Payee Ref'!A:A,'Payee Ref'!C:C,"unassigned",0,1)</f>
        <v>Luxury</v>
      </c>
      <c r="F92" t="s">
        <v>2209</v>
      </c>
    </row>
    <row r="93" spans="1:6" x14ac:dyDescent="0.2">
      <c r="A93" s="27">
        <v>45888</v>
      </c>
      <c r="B93" s="28" t="s">
        <v>67</v>
      </c>
      <c r="C93" s="28">
        <v>122.88</v>
      </c>
      <c r="D93" t="str">
        <f>_xlfn.XLOOKUP(B93,'Payee Ref'!A:A,'Payee Ref'!B:B,"unassigned",0,1)</f>
        <v>Travel</v>
      </c>
      <c r="E93" t="str">
        <f>_xlfn.XLOOKUP(B93,'Payee Ref'!A:A,'Payee Ref'!C:C,"unassigned",0,1)</f>
        <v>Luxury</v>
      </c>
      <c r="F93" t="s">
        <v>2209</v>
      </c>
    </row>
    <row r="94" spans="1:6" x14ac:dyDescent="0.2">
      <c r="A94" s="27">
        <v>45675</v>
      </c>
      <c r="B94" s="28" t="s">
        <v>67</v>
      </c>
      <c r="C94" s="28">
        <v>148.68</v>
      </c>
      <c r="D94" t="str">
        <f>_xlfn.XLOOKUP(B94,'Payee Ref'!A:A,'Payee Ref'!B:B,"unassigned",0,1)</f>
        <v>Travel</v>
      </c>
      <c r="E94" t="str">
        <f>_xlfn.XLOOKUP(B94,'Payee Ref'!A:A,'Payee Ref'!C:C,"unassigned",0,1)</f>
        <v>Luxury</v>
      </c>
      <c r="F94" t="s">
        <v>2209</v>
      </c>
    </row>
    <row r="95" spans="1:6" x14ac:dyDescent="0.2">
      <c r="A95" s="27">
        <v>45860</v>
      </c>
      <c r="B95" s="28" t="s">
        <v>1249</v>
      </c>
      <c r="C95" s="28">
        <v>156.07</v>
      </c>
      <c r="D95" t="str">
        <f>_xlfn.XLOOKUP(B95,'Payee Ref'!A:A,'Payee Ref'!B:B,"unassigned",0,1)</f>
        <v>Travel</v>
      </c>
      <c r="E95" t="str">
        <f>_xlfn.XLOOKUP(B95,'Payee Ref'!A:A,'Payee Ref'!C:C,"unassigned",0,1)</f>
        <v>Luxury</v>
      </c>
      <c r="F95" t="s">
        <v>2209</v>
      </c>
    </row>
    <row r="96" spans="1:6" x14ac:dyDescent="0.2">
      <c r="A96" s="27">
        <v>45709</v>
      </c>
      <c r="B96" s="28" t="s">
        <v>1257</v>
      </c>
      <c r="C96" s="28">
        <v>203</v>
      </c>
      <c r="D96">
        <f>_xlfn.XLOOKUP(B96,'Payee Ref'!A:A,'Payee Ref'!B:B,"unassigned",0,1)</f>
        <v>0</v>
      </c>
      <c r="E96">
        <f>_xlfn.XLOOKUP(B96,'Payee Ref'!A:A,'Payee Ref'!C:C,"unassigned",0,1)</f>
        <v>0</v>
      </c>
      <c r="F96" t="s">
        <v>2209</v>
      </c>
    </row>
    <row r="97" spans="1:6" x14ac:dyDescent="0.2">
      <c r="A97" s="27">
        <v>45826</v>
      </c>
      <c r="B97" s="28" t="s">
        <v>67</v>
      </c>
      <c r="C97" s="28">
        <v>210.31</v>
      </c>
      <c r="D97" t="str">
        <f>_xlfn.XLOOKUP(B97,'Payee Ref'!A:A,'Payee Ref'!B:B,"unassigned",0,1)</f>
        <v>Travel</v>
      </c>
      <c r="E97" t="str">
        <f>_xlfn.XLOOKUP(B97,'Payee Ref'!A:A,'Payee Ref'!C:C,"unassigned",0,1)</f>
        <v>Luxury</v>
      </c>
      <c r="F97" t="s">
        <v>2209</v>
      </c>
    </row>
    <row r="98" spans="1:6" x14ac:dyDescent="0.2">
      <c r="A98" s="27">
        <v>45735</v>
      </c>
      <c r="B98" s="28" t="s">
        <v>67</v>
      </c>
      <c r="C98" s="28">
        <v>231.85</v>
      </c>
      <c r="D98" t="str">
        <f>_xlfn.XLOOKUP(B98,'Payee Ref'!A:A,'Payee Ref'!B:B,"unassigned",0,1)</f>
        <v>Travel</v>
      </c>
      <c r="E98" t="str">
        <f>_xlfn.XLOOKUP(B98,'Payee Ref'!A:A,'Payee Ref'!C:C,"unassigned",0,1)</f>
        <v>Luxury</v>
      </c>
      <c r="F98" t="s">
        <v>2209</v>
      </c>
    </row>
    <row r="99" spans="1:6" x14ac:dyDescent="0.2">
      <c r="A99" s="27">
        <v>45789</v>
      </c>
      <c r="B99" s="28" t="s">
        <v>1255</v>
      </c>
      <c r="C99" s="28">
        <v>253</v>
      </c>
      <c r="D99" t="str">
        <f>_xlfn.XLOOKUP(B99,'Payee Ref'!A:A,'Payee Ref'!B:B,"unassigned",0,1)</f>
        <v>Travel</v>
      </c>
      <c r="E99" t="str">
        <f>_xlfn.XLOOKUP(B99,'Payee Ref'!A:A,'Payee Ref'!C:C,"unassigned",0,1)</f>
        <v>Luxury</v>
      </c>
      <c r="F99" t="s">
        <v>2209</v>
      </c>
    </row>
    <row r="100" spans="1:6" x14ac:dyDescent="0.2">
      <c r="A100" s="27">
        <v>45796</v>
      </c>
      <c r="B100" s="28" t="s">
        <v>67</v>
      </c>
      <c r="C100" s="28">
        <v>273.81</v>
      </c>
      <c r="D100" t="str">
        <f>_xlfn.XLOOKUP(B100,'Payee Ref'!A:A,'Payee Ref'!B:B,"unassigned",0,1)</f>
        <v>Travel</v>
      </c>
      <c r="E100" t="str">
        <f>_xlfn.XLOOKUP(B100,'Payee Ref'!A:A,'Payee Ref'!C:C,"unassigned",0,1)</f>
        <v>Luxury</v>
      </c>
      <c r="F100" t="s">
        <v>2209</v>
      </c>
    </row>
    <row r="101" spans="1:6" x14ac:dyDescent="0.2">
      <c r="A101" s="27">
        <v>45857</v>
      </c>
      <c r="B101" s="28" t="s">
        <v>67</v>
      </c>
      <c r="C101" s="28">
        <v>278.05</v>
      </c>
      <c r="D101" t="str">
        <f>_xlfn.XLOOKUP(B101,'Payee Ref'!A:A,'Payee Ref'!B:B,"unassigned",0,1)</f>
        <v>Travel</v>
      </c>
      <c r="E101" t="str">
        <f>_xlfn.XLOOKUP(B101,'Payee Ref'!A:A,'Payee Ref'!C:C,"unassigned",0,1)</f>
        <v>Luxury</v>
      </c>
      <c r="F101" t="s">
        <v>2209</v>
      </c>
    </row>
    <row r="102" spans="1:6" x14ac:dyDescent="0.2">
      <c r="A102" s="27">
        <v>45687</v>
      </c>
      <c r="B102" s="28" t="s">
        <v>84</v>
      </c>
      <c r="C102" s="28">
        <v>290</v>
      </c>
      <c r="D102" t="str">
        <f>_xlfn.XLOOKUP(B102,'Payee Ref'!A:A,'Payee Ref'!B:B,"unassigned",0,1)</f>
        <v>Travel</v>
      </c>
      <c r="E102" t="str">
        <f>_xlfn.XLOOKUP(B102,'Payee Ref'!A:A,'Payee Ref'!C:C,"unassigned",0,1)</f>
        <v>Luxury</v>
      </c>
      <c r="F102" t="s">
        <v>2209</v>
      </c>
    </row>
    <row r="103" spans="1:6" x14ac:dyDescent="0.2">
      <c r="A103" s="27">
        <v>45716</v>
      </c>
      <c r="B103" s="28" t="s">
        <v>84</v>
      </c>
      <c r="C103" s="28">
        <v>292</v>
      </c>
      <c r="D103" t="str">
        <f>_xlfn.XLOOKUP(B103,'Payee Ref'!A:A,'Payee Ref'!B:B,"unassigned",0,1)</f>
        <v>Travel</v>
      </c>
      <c r="E103" t="str">
        <f>_xlfn.XLOOKUP(B103,'Payee Ref'!A:A,'Payee Ref'!C:C,"unassigned",0,1)</f>
        <v>Luxury</v>
      </c>
      <c r="F103" t="s">
        <v>2209</v>
      </c>
    </row>
    <row r="104" spans="1:6" x14ac:dyDescent="0.2">
      <c r="A104" s="27">
        <v>45801</v>
      </c>
      <c r="B104" s="28" t="s">
        <v>1254</v>
      </c>
      <c r="C104" s="28">
        <v>303.86</v>
      </c>
      <c r="D104" t="str">
        <f>_xlfn.XLOOKUP(B104,'Payee Ref'!A:A,'Payee Ref'!B:B,"unassigned",0,1)</f>
        <v>Travel</v>
      </c>
      <c r="E104" t="str">
        <f>_xlfn.XLOOKUP(B104,'Payee Ref'!A:A,'Payee Ref'!C:C,"unassigned",0,1)</f>
        <v>Luxury</v>
      </c>
      <c r="F104" t="s">
        <v>2209</v>
      </c>
    </row>
    <row r="105" spans="1:6" x14ac:dyDescent="0.2">
      <c r="A105" s="27">
        <v>45775</v>
      </c>
      <c r="B105" s="28" t="s">
        <v>1256</v>
      </c>
      <c r="C105" s="28">
        <v>316.57</v>
      </c>
      <c r="D105" t="str">
        <f>_xlfn.XLOOKUP(B105,'Payee Ref'!A:A,'Payee Ref'!B:B,"unassigned",0,1)</f>
        <v>Travel</v>
      </c>
      <c r="E105" t="str">
        <f>_xlfn.XLOOKUP(B105,'Payee Ref'!A:A,'Payee Ref'!C:C,"unassigned",0,1)</f>
        <v>Luxury</v>
      </c>
      <c r="F105" t="s">
        <v>2209</v>
      </c>
    </row>
    <row r="106" spans="1:6" x14ac:dyDescent="0.2">
      <c r="A106" s="27">
        <v>45765</v>
      </c>
      <c r="B106" s="28" t="s">
        <v>67</v>
      </c>
      <c r="C106" s="28">
        <v>329.4</v>
      </c>
      <c r="D106" t="str">
        <f>_xlfn.XLOOKUP(B106,'Payee Ref'!A:A,'Payee Ref'!B:B,"unassigned",0,1)</f>
        <v>Travel</v>
      </c>
      <c r="E106" t="str">
        <f>_xlfn.XLOOKUP(B106,'Payee Ref'!A:A,'Payee Ref'!C:C,"unassigned",0,1)</f>
        <v>Luxury</v>
      </c>
      <c r="F106" t="s">
        <v>2209</v>
      </c>
    </row>
    <row r="107" spans="1:6" x14ac:dyDescent="0.2">
      <c r="A107" s="27">
        <v>45717</v>
      </c>
      <c r="B107" s="28" t="s">
        <v>84</v>
      </c>
      <c r="C107" s="28">
        <v>396.88</v>
      </c>
      <c r="D107" t="str">
        <f>_xlfn.XLOOKUP(B107,'Payee Ref'!A:A,'Payee Ref'!B:B,"unassigned",0,1)</f>
        <v>Travel</v>
      </c>
      <c r="E107" t="str">
        <f>_xlfn.XLOOKUP(B107,'Payee Ref'!A:A,'Payee Ref'!C:C,"unassigned",0,1)</f>
        <v>Luxury</v>
      </c>
      <c r="F107" t="s">
        <v>2209</v>
      </c>
    </row>
    <row r="108" spans="1:6" x14ac:dyDescent="0.2">
      <c r="A108" s="27">
        <v>45688</v>
      </c>
      <c r="B108" s="28" t="s">
        <v>84</v>
      </c>
      <c r="C108" s="28">
        <v>447.88</v>
      </c>
      <c r="D108" t="str">
        <f>_xlfn.XLOOKUP(B108,'Payee Ref'!A:A,'Payee Ref'!B:B,"unassigned",0,1)</f>
        <v>Travel</v>
      </c>
      <c r="E108" t="str">
        <f>_xlfn.XLOOKUP(B108,'Payee Ref'!A:A,'Payee Ref'!C:C,"unassigned",0,1)</f>
        <v>Luxury</v>
      </c>
      <c r="F108" t="s">
        <v>2209</v>
      </c>
    </row>
    <row r="109" spans="1:6" x14ac:dyDescent="0.2">
      <c r="A109" s="27">
        <v>45745</v>
      </c>
      <c r="B109" s="28" t="s">
        <v>84</v>
      </c>
      <c r="C109" s="28">
        <v>474.95</v>
      </c>
      <c r="D109" t="str">
        <f>_xlfn.XLOOKUP(B109,'Payee Ref'!A:A,'Payee Ref'!B:B,"unassigned",0,1)</f>
        <v>Travel</v>
      </c>
      <c r="E109" t="str">
        <f>_xlfn.XLOOKUP(B109,'Payee Ref'!A:A,'Payee Ref'!C:C,"unassigned",0,1)</f>
        <v>Luxury</v>
      </c>
      <c r="F109" t="s">
        <v>2209</v>
      </c>
    </row>
    <row r="110" spans="1:6" x14ac:dyDescent="0.2">
      <c r="A110" s="27">
        <v>45715</v>
      </c>
      <c r="B110" s="28" t="s">
        <v>84</v>
      </c>
      <c r="C110" s="28">
        <v>22456.46</v>
      </c>
      <c r="D110" t="str">
        <f>_xlfn.XLOOKUP(B110,'Payee Ref'!A:A,'Payee Ref'!B:B,"unassigned",0,1)</f>
        <v>Travel</v>
      </c>
      <c r="E110" t="str">
        <f>_xlfn.XLOOKUP(B110,'Payee Ref'!A:A,'Payee Ref'!C:C,"unassigned",0,1)</f>
        <v>Luxury</v>
      </c>
      <c r="F110" t="s">
        <v>2209</v>
      </c>
    </row>
    <row r="111" spans="1:6" x14ac:dyDescent="0.2">
      <c r="A111" s="27"/>
      <c r="B111" s="28"/>
      <c r="C111" s="28">
        <f>SUM(C2:C110)</f>
        <v>13634.889999999992</v>
      </c>
      <c r="E111">
        <f>SUM(E2:E110)</f>
        <v>0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84A43-E288-6444-933F-9D92A01C6E8C}">
  <dimension ref="A1:F756"/>
  <sheetViews>
    <sheetView workbookViewId="0">
      <selection activeCell="A2" sqref="A2:F756"/>
    </sheetView>
  </sheetViews>
  <sheetFormatPr baseColWidth="10" defaultRowHeight="16" x14ac:dyDescent="0.2"/>
  <cols>
    <col min="2" max="2" width="41.5" customWidth="1"/>
    <col min="4" max="4" width="25" customWidth="1"/>
  </cols>
  <sheetData>
    <row r="1" spans="1:6" x14ac:dyDescent="0.2">
      <c r="A1" s="26" t="s">
        <v>1258</v>
      </c>
      <c r="B1" s="39" t="s">
        <v>0</v>
      </c>
      <c r="C1" s="26" t="s">
        <v>1226</v>
      </c>
      <c r="D1" s="26" t="s">
        <v>1511</v>
      </c>
      <c r="E1" s="26" t="s">
        <v>2204</v>
      </c>
      <c r="F1" s="26" t="s">
        <v>2206</v>
      </c>
    </row>
    <row r="2" spans="1:6" x14ac:dyDescent="0.2">
      <c r="A2" s="63">
        <v>45984</v>
      </c>
      <c r="B2" t="s">
        <v>861</v>
      </c>
      <c r="C2">
        <v>22.07</v>
      </c>
      <c r="D2" s="28" t="str">
        <f>_xlfn.XLOOKUP(B2,'Payee Ref'!A:A,'Payee Ref'!B:B,"unassigned",0,1)</f>
        <v>Travel</v>
      </c>
      <c r="E2" s="28" t="str">
        <f>_xlfn.XLOOKUP(B2,'Payee Ref'!A:A,'Payee Ref'!C:C,"unassigned",0,1)</f>
        <v>Luxury</v>
      </c>
      <c r="F2" s="28" t="s">
        <v>2208</v>
      </c>
    </row>
    <row r="3" spans="1:6" x14ac:dyDescent="0.2">
      <c r="A3" s="63">
        <v>45984</v>
      </c>
      <c r="B3" t="s">
        <v>2411</v>
      </c>
      <c r="C3">
        <v>96.53</v>
      </c>
      <c r="D3" s="28" t="str">
        <f>_xlfn.XLOOKUP(B3,'Payee Ref'!A:A,'Payee Ref'!B:B,"unassigned",0,1)</f>
        <v>Dining</v>
      </c>
      <c r="E3" s="28" t="str">
        <f>_xlfn.XLOOKUP(B3,'Payee Ref'!A:A,'Payee Ref'!C:C,"unassigned",0,1)</f>
        <v>Luxury</v>
      </c>
      <c r="F3" s="28" t="s">
        <v>2208</v>
      </c>
    </row>
    <row r="4" spans="1:6" x14ac:dyDescent="0.2">
      <c r="A4" s="63">
        <v>45983</v>
      </c>
      <c r="B4" t="s">
        <v>946</v>
      </c>
      <c r="C4">
        <v>-5520.71</v>
      </c>
      <c r="D4" s="28" t="str">
        <f>_xlfn.XLOOKUP(B4,'Payee Ref'!A:A,'Payee Ref'!B:B,"unassigned",0,1)</f>
        <v>Transfer</v>
      </c>
      <c r="E4" s="28" t="str">
        <f>_xlfn.XLOOKUP(B4,'Payee Ref'!A:A,'Payee Ref'!C:C,"unassigned",0,1)</f>
        <v>Basic</v>
      </c>
      <c r="F4" s="28" t="s">
        <v>2208</v>
      </c>
    </row>
    <row r="5" spans="1:6" x14ac:dyDescent="0.2">
      <c r="A5" s="63">
        <v>45980</v>
      </c>
      <c r="B5" t="s">
        <v>2390</v>
      </c>
      <c r="C5">
        <v>61.81</v>
      </c>
      <c r="D5" s="28" t="str">
        <f>_xlfn.XLOOKUP(B5,'Payee Ref'!A:A,'Payee Ref'!B:B,"unassigned",0,1)</f>
        <v>Auto</v>
      </c>
      <c r="E5" s="28" t="str">
        <f>_xlfn.XLOOKUP(B5,'Payee Ref'!A:A,'Payee Ref'!C:C,"unassigned",0,1)</f>
        <v>Basic</v>
      </c>
      <c r="F5" s="28" t="s">
        <v>2208</v>
      </c>
    </row>
    <row r="6" spans="1:6" x14ac:dyDescent="0.2">
      <c r="A6" s="63">
        <v>45980</v>
      </c>
      <c r="B6" t="s">
        <v>2447</v>
      </c>
      <c r="C6">
        <v>983.46</v>
      </c>
      <c r="D6" s="28" t="str">
        <f>_xlfn.XLOOKUP(B6,'Payee Ref'!A:A,'Payee Ref'!B:B,"unassigned",0,1)</f>
        <v>Travel</v>
      </c>
      <c r="E6" s="28" t="str">
        <f>_xlfn.XLOOKUP(B6,'Payee Ref'!A:A,'Payee Ref'!C:C,"unassigned",0,1)</f>
        <v>Luxury</v>
      </c>
      <c r="F6" s="28" t="s">
        <v>2208</v>
      </c>
    </row>
    <row r="7" spans="1:6" x14ac:dyDescent="0.2">
      <c r="A7" s="63">
        <v>45980</v>
      </c>
      <c r="B7" t="s">
        <v>2269</v>
      </c>
      <c r="C7">
        <v>9</v>
      </c>
      <c r="D7" s="28" t="str">
        <f>_xlfn.XLOOKUP(B7,'Payee Ref'!A:A,'Payee Ref'!B:B,"unassigned",0,1)</f>
        <v>Dining</v>
      </c>
      <c r="E7" s="28" t="str">
        <f>_xlfn.XLOOKUP(B7,'Payee Ref'!A:A,'Payee Ref'!C:C,"unassigned",0,1)</f>
        <v>Luxury</v>
      </c>
      <c r="F7" s="28" t="s">
        <v>2208</v>
      </c>
    </row>
    <row r="8" spans="1:6" x14ac:dyDescent="0.2">
      <c r="A8" s="63">
        <v>45979</v>
      </c>
      <c r="B8" t="s">
        <v>859</v>
      </c>
      <c r="C8">
        <v>97.74</v>
      </c>
      <c r="D8" s="28" t="str">
        <f>_xlfn.XLOOKUP(B8,'Payee Ref'!A:A,'Payee Ref'!B:B,"unassigned",0,1)</f>
        <v>Travel</v>
      </c>
      <c r="E8" s="28" t="str">
        <f>_xlfn.XLOOKUP(B8,'Payee Ref'!A:A,'Payee Ref'!C:C,"unassigned",0,1)</f>
        <v>Luxury</v>
      </c>
      <c r="F8" s="28" t="s">
        <v>2208</v>
      </c>
    </row>
    <row r="9" spans="1:6" x14ac:dyDescent="0.2">
      <c r="A9" s="63">
        <v>45979</v>
      </c>
      <c r="B9" t="s">
        <v>2227</v>
      </c>
      <c r="C9">
        <v>2.79</v>
      </c>
      <c r="D9" s="28" t="str">
        <f>_xlfn.XLOOKUP(B9,'Payee Ref'!A:A,'Payee Ref'!B:B,"unassigned",0,1)</f>
        <v>Dining</v>
      </c>
      <c r="E9" s="28" t="str">
        <f>_xlfn.XLOOKUP(B9,'Payee Ref'!A:A,'Payee Ref'!C:C,"unassigned",0,1)</f>
        <v>Luxury</v>
      </c>
      <c r="F9" s="28" t="s">
        <v>2208</v>
      </c>
    </row>
    <row r="10" spans="1:6" x14ac:dyDescent="0.2">
      <c r="A10" s="63">
        <v>45979</v>
      </c>
      <c r="B10" t="s">
        <v>2269</v>
      </c>
      <c r="C10">
        <v>9</v>
      </c>
      <c r="D10" s="28" t="str">
        <f>_xlfn.XLOOKUP(B10,'Payee Ref'!A:A,'Payee Ref'!B:B,"unassigned",0,1)</f>
        <v>Dining</v>
      </c>
      <c r="E10" s="28" t="str">
        <f>_xlfn.XLOOKUP(B10,'Payee Ref'!A:A,'Payee Ref'!C:C,"unassigned",0,1)</f>
        <v>Luxury</v>
      </c>
      <c r="F10" s="28" t="s">
        <v>2208</v>
      </c>
    </row>
    <row r="11" spans="1:6" x14ac:dyDescent="0.2">
      <c r="A11" s="63">
        <v>45978</v>
      </c>
      <c r="B11" t="s">
        <v>2390</v>
      </c>
      <c r="C11">
        <v>68.92</v>
      </c>
      <c r="D11" s="28" t="str">
        <f>_xlfn.XLOOKUP(B11,'Payee Ref'!A:A,'Payee Ref'!B:B,"unassigned",0,1)</f>
        <v>Auto</v>
      </c>
      <c r="E11" s="28" t="str">
        <f>_xlfn.XLOOKUP(B11,'Payee Ref'!A:A,'Payee Ref'!C:C,"unassigned",0,1)</f>
        <v>Basic</v>
      </c>
      <c r="F11" s="28" t="s">
        <v>2208</v>
      </c>
    </row>
    <row r="12" spans="1:6" x14ac:dyDescent="0.2">
      <c r="A12" s="63">
        <v>45978</v>
      </c>
      <c r="B12" t="s">
        <v>2344</v>
      </c>
      <c r="C12">
        <v>28.29</v>
      </c>
      <c r="D12" s="28" t="str">
        <f>_xlfn.XLOOKUP(B12,'Payee Ref'!A:A,'Payee Ref'!B:B,"unassigned",0,1)</f>
        <v>Dining</v>
      </c>
      <c r="E12" s="28" t="str">
        <f>_xlfn.XLOOKUP(B12,'Payee Ref'!A:A,'Payee Ref'!C:C,"unassigned",0,1)</f>
        <v>Luxury</v>
      </c>
      <c r="F12" s="28" t="s">
        <v>2208</v>
      </c>
    </row>
    <row r="13" spans="1:6" x14ac:dyDescent="0.2">
      <c r="A13" s="63">
        <v>45978</v>
      </c>
      <c r="B13" t="s">
        <v>2357</v>
      </c>
      <c r="C13">
        <v>34.5</v>
      </c>
      <c r="D13" s="28" t="str">
        <f>_xlfn.XLOOKUP(B13,'Payee Ref'!A:A,'Payee Ref'!B:B,"unassigned",0,1)</f>
        <v>Enrichment</v>
      </c>
      <c r="E13" s="28" t="str">
        <f>_xlfn.XLOOKUP(B13,'Payee Ref'!A:A,'Payee Ref'!C:C,"unassigned",0,1)</f>
        <v>Luxury</v>
      </c>
      <c r="F13" s="28" t="s">
        <v>2208</v>
      </c>
    </row>
    <row r="14" spans="1:6" x14ac:dyDescent="0.2">
      <c r="A14" s="63">
        <v>45977</v>
      </c>
      <c r="B14" t="s">
        <v>2313</v>
      </c>
      <c r="C14">
        <v>17.05</v>
      </c>
      <c r="D14" s="28" t="str">
        <f>_xlfn.XLOOKUP(B14,'Payee Ref'!A:A,'Payee Ref'!B:B,"unassigned",0,1)</f>
        <v>Travel</v>
      </c>
      <c r="E14" s="28" t="str">
        <f>_xlfn.XLOOKUP(B14,'Payee Ref'!A:A,'Payee Ref'!C:C,"unassigned",0,1)</f>
        <v>Luxury</v>
      </c>
      <c r="F14" s="28" t="s">
        <v>2208</v>
      </c>
    </row>
    <row r="15" spans="1:6" x14ac:dyDescent="0.2">
      <c r="A15" s="63">
        <v>45976</v>
      </c>
      <c r="B15" t="s">
        <v>1196</v>
      </c>
      <c r="C15">
        <v>33.049999999999997</v>
      </c>
      <c r="D15" s="28" t="str">
        <f>_xlfn.XLOOKUP(B15,'Payee Ref'!A:A,'Payee Ref'!B:B,"unassigned",0,1)</f>
        <v>Travel</v>
      </c>
      <c r="E15" s="28" t="str">
        <f>_xlfn.XLOOKUP(B15,'Payee Ref'!A:A,'Payee Ref'!C:C,"unassigned",0,1)</f>
        <v>Luxury</v>
      </c>
      <c r="F15" s="28" t="s">
        <v>2208</v>
      </c>
    </row>
    <row r="16" spans="1:6" x14ac:dyDescent="0.2">
      <c r="A16" s="63">
        <v>45975</v>
      </c>
      <c r="B16" t="s">
        <v>675</v>
      </c>
      <c r="C16">
        <v>11.87</v>
      </c>
      <c r="D16" s="28" t="str">
        <f>_xlfn.XLOOKUP(B16,'Payee Ref'!A:A,'Payee Ref'!B:B,"unassigned",0,1)</f>
        <v>Home &amp; Garden</v>
      </c>
      <c r="E16" s="28" t="str">
        <f>_xlfn.XLOOKUP(B16,'Payee Ref'!A:A,'Payee Ref'!C:C,"unassigned",0,1)</f>
        <v>Basic</v>
      </c>
      <c r="F16" s="28" t="s">
        <v>2208</v>
      </c>
    </row>
    <row r="17" spans="1:6" x14ac:dyDescent="0.2">
      <c r="A17" s="63">
        <v>45972</v>
      </c>
      <c r="B17" t="s">
        <v>511</v>
      </c>
      <c r="C17">
        <v>125</v>
      </c>
      <c r="D17" s="28" t="str">
        <f>_xlfn.XLOOKUP(B17,'Payee Ref'!A:A,'Payee Ref'!B:B,"unassigned",0,1)</f>
        <v>Gifts</v>
      </c>
      <c r="E17" s="28" t="str">
        <f>_xlfn.XLOOKUP(B17,'Payee Ref'!A:A,'Payee Ref'!C:C,"unassigned",0,1)</f>
        <v>Luxury</v>
      </c>
      <c r="F17" s="28" t="s">
        <v>2208</v>
      </c>
    </row>
    <row r="18" spans="1:6" x14ac:dyDescent="0.2">
      <c r="A18" s="63">
        <v>45971</v>
      </c>
      <c r="B18" t="s">
        <v>926</v>
      </c>
      <c r="C18">
        <v>11.23</v>
      </c>
      <c r="D18" s="28" t="str">
        <f>_xlfn.XLOOKUP(B18,'Payee Ref'!A:A,'Payee Ref'!B:B,"unassigned",0,1)</f>
        <v>Subscriptions / Digital</v>
      </c>
      <c r="E18" s="28" t="str">
        <f>_xlfn.XLOOKUP(B18,'Payee Ref'!A:A,'Payee Ref'!C:C,"unassigned",0,1)</f>
        <v>Luxury</v>
      </c>
      <c r="F18" s="28" t="s">
        <v>2208</v>
      </c>
    </row>
    <row r="19" spans="1:6" x14ac:dyDescent="0.2">
      <c r="A19" s="63">
        <v>45970</v>
      </c>
      <c r="B19" t="s">
        <v>879</v>
      </c>
      <c r="C19">
        <v>220.7</v>
      </c>
      <c r="D19" s="28" t="str">
        <f>_xlfn.XLOOKUP(B19,'Payee Ref'!A:A,'Payee Ref'!B:B,"unassigned",0,1)</f>
        <v>Professional</v>
      </c>
      <c r="E19" s="28" t="str">
        <f>_xlfn.XLOOKUP(B19,'Payee Ref'!A:A,'Payee Ref'!C:C,"unassigned",0,1)</f>
        <v>Luxury</v>
      </c>
      <c r="F19" s="28" t="s">
        <v>2208</v>
      </c>
    </row>
    <row r="20" spans="1:6" x14ac:dyDescent="0.2">
      <c r="A20" s="63">
        <v>45970</v>
      </c>
      <c r="B20" t="s">
        <v>557</v>
      </c>
      <c r="C20">
        <v>26.14</v>
      </c>
      <c r="D20" s="28" t="str">
        <f>_xlfn.XLOOKUP(B20,'Payee Ref'!A:A,'Payee Ref'!B:B,"unassigned",0,1)</f>
        <v>Groceries</v>
      </c>
      <c r="E20" s="28" t="str">
        <f>_xlfn.XLOOKUP(B20,'Payee Ref'!A:A,'Payee Ref'!C:C,"unassigned",0,1)</f>
        <v>Basic</v>
      </c>
      <c r="F20" s="28" t="s">
        <v>2208</v>
      </c>
    </row>
    <row r="21" spans="1:6" x14ac:dyDescent="0.2">
      <c r="A21" s="63">
        <v>45970</v>
      </c>
      <c r="B21" t="s">
        <v>801</v>
      </c>
      <c r="C21">
        <v>125</v>
      </c>
      <c r="D21" s="28" t="str">
        <f>_xlfn.XLOOKUP(B21,'Payee Ref'!A:A,'Payee Ref'!B:B,"unassigned",0,1)</f>
        <v>Membership</v>
      </c>
      <c r="E21" s="28" t="str">
        <f>_xlfn.XLOOKUP(B21,'Payee Ref'!A:A,'Payee Ref'!C:C,"unassigned",0,1)</f>
        <v>Luxury</v>
      </c>
      <c r="F21" s="28" t="s">
        <v>2208</v>
      </c>
    </row>
    <row r="22" spans="1:6" x14ac:dyDescent="0.2">
      <c r="A22" s="63">
        <v>45970</v>
      </c>
      <c r="B22" t="s">
        <v>431</v>
      </c>
      <c r="C22">
        <v>64.16</v>
      </c>
      <c r="D22" s="28" t="str">
        <f>_xlfn.XLOOKUP(B22,'Payee Ref'!A:A,'Payee Ref'!B:B,"unassigned",0,1)</f>
        <v>Dining</v>
      </c>
      <c r="E22" s="28" t="str">
        <f>_xlfn.XLOOKUP(B22,'Payee Ref'!A:A,'Payee Ref'!C:C,"unassigned",0,1)</f>
        <v>Luxury</v>
      </c>
      <c r="F22" s="28" t="s">
        <v>2208</v>
      </c>
    </row>
    <row r="23" spans="1:6" x14ac:dyDescent="0.2">
      <c r="A23" s="63">
        <v>45969</v>
      </c>
      <c r="B23" t="s">
        <v>233</v>
      </c>
      <c r="C23">
        <v>6.53</v>
      </c>
      <c r="D23" s="28" t="str">
        <f>_xlfn.XLOOKUP(B23,'Payee Ref'!A:A,'Payee Ref'!B:B,"unassigned",0,1)</f>
        <v>Dining</v>
      </c>
      <c r="E23" s="28" t="str">
        <f>_xlfn.XLOOKUP(B23,'Payee Ref'!A:A,'Payee Ref'!C:C,"unassigned",0,1)</f>
        <v>Luxury</v>
      </c>
      <c r="F23" s="28" t="s">
        <v>2208</v>
      </c>
    </row>
    <row r="24" spans="1:6" x14ac:dyDescent="0.2">
      <c r="A24" s="63">
        <v>45969</v>
      </c>
      <c r="B24" t="s">
        <v>565</v>
      </c>
      <c r="C24">
        <v>7.61</v>
      </c>
      <c r="D24" s="28" t="str">
        <f>_xlfn.XLOOKUP(B24,'Payee Ref'!A:A,'Payee Ref'!B:B,"unassigned",0,1)</f>
        <v>Groceries</v>
      </c>
      <c r="E24" s="28" t="str">
        <f>_xlfn.XLOOKUP(B24,'Payee Ref'!A:A,'Payee Ref'!C:C,"unassigned",0,1)</f>
        <v>Basic</v>
      </c>
      <c r="F24" s="28" t="s">
        <v>2208</v>
      </c>
    </row>
    <row r="25" spans="1:6" x14ac:dyDescent="0.2">
      <c r="A25" s="63">
        <v>45967</v>
      </c>
      <c r="B25" t="s">
        <v>672</v>
      </c>
      <c r="C25">
        <v>5.86</v>
      </c>
      <c r="D25" s="28" t="str">
        <f>_xlfn.XLOOKUP(B25,'Payee Ref'!A:A,'Payee Ref'!B:B,"unassigned",0,1)</f>
        <v>Home &amp; Garden</v>
      </c>
      <c r="E25" s="28" t="str">
        <f>_xlfn.XLOOKUP(B25,'Payee Ref'!A:A,'Payee Ref'!C:C,"unassigned",0,1)</f>
        <v>Basic</v>
      </c>
      <c r="F25" s="28" t="s">
        <v>2208</v>
      </c>
    </row>
    <row r="26" spans="1:6" x14ac:dyDescent="0.2">
      <c r="A26" s="63">
        <v>45966</v>
      </c>
      <c r="B26" t="s">
        <v>875</v>
      </c>
      <c r="C26">
        <v>66.2</v>
      </c>
      <c r="D26" s="28" t="str">
        <f>_xlfn.XLOOKUP(B26,'Payee Ref'!A:A,'Payee Ref'!B:B,"unassigned",0,1)</f>
        <v>Professional</v>
      </c>
      <c r="E26" s="28" t="str">
        <f>_xlfn.XLOOKUP(B26,'Payee Ref'!A:A,'Payee Ref'!C:C,"unassigned",0,1)</f>
        <v>Luxury</v>
      </c>
      <c r="F26" s="28" t="s">
        <v>2208</v>
      </c>
    </row>
    <row r="27" spans="1:6" x14ac:dyDescent="0.2">
      <c r="A27" s="63">
        <v>45965</v>
      </c>
      <c r="B27" t="s">
        <v>1192</v>
      </c>
      <c r="C27">
        <v>12.41</v>
      </c>
      <c r="D27" s="28" t="str">
        <f>_xlfn.XLOOKUP(B27,'Payee Ref'!A:A,'Payee Ref'!B:B,"unassigned",0,1)</f>
        <v>Travel</v>
      </c>
      <c r="E27" s="28" t="str">
        <f>_xlfn.XLOOKUP(B27,'Payee Ref'!A:A,'Payee Ref'!C:C,"unassigned",0,1)</f>
        <v>Luxury</v>
      </c>
      <c r="F27" s="28" t="s">
        <v>2208</v>
      </c>
    </row>
    <row r="28" spans="1:6" x14ac:dyDescent="0.2">
      <c r="A28" s="63">
        <v>45965</v>
      </c>
      <c r="B28" t="s">
        <v>1192</v>
      </c>
      <c r="C28">
        <v>22.07</v>
      </c>
      <c r="D28" s="28" t="str">
        <f>_xlfn.XLOOKUP(B28,'Payee Ref'!A:A,'Payee Ref'!B:B,"unassigned",0,1)</f>
        <v>Travel</v>
      </c>
      <c r="E28" s="28" t="str">
        <f>_xlfn.XLOOKUP(B28,'Payee Ref'!A:A,'Payee Ref'!C:C,"unassigned",0,1)</f>
        <v>Luxury</v>
      </c>
      <c r="F28" s="28" t="s">
        <v>2208</v>
      </c>
    </row>
    <row r="29" spans="1:6" x14ac:dyDescent="0.2">
      <c r="A29" s="63">
        <v>45963</v>
      </c>
      <c r="B29" t="s">
        <v>931</v>
      </c>
      <c r="C29">
        <v>3.3</v>
      </c>
      <c r="D29" s="28" t="str">
        <f>_xlfn.XLOOKUP(B29,'Payee Ref'!A:A,'Payee Ref'!B:B,"unassigned",0,1)</f>
        <v>Subscriptions / Digital</v>
      </c>
      <c r="E29" s="28" t="str">
        <f>_xlfn.XLOOKUP(B29,'Payee Ref'!A:A,'Payee Ref'!C:C,"unassigned",0,1)</f>
        <v>Basic</v>
      </c>
      <c r="F29" s="28" t="s">
        <v>2208</v>
      </c>
    </row>
    <row r="30" spans="1:6" x14ac:dyDescent="0.2">
      <c r="A30" s="63">
        <v>45963</v>
      </c>
      <c r="B30" t="s">
        <v>55</v>
      </c>
      <c r="C30">
        <v>7.35</v>
      </c>
      <c r="D30" s="28" t="str">
        <f>_xlfn.XLOOKUP(B30,'Payee Ref'!A:A,'Payee Ref'!B:B,"unassigned",0,1)</f>
        <v>Auto</v>
      </c>
      <c r="E30" s="28" t="str">
        <f>_xlfn.XLOOKUP(B30,'Payee Ref'!A:A,'Payee Ref'!C:C,"unassigned",0,1)</f>
        <v>basic</v>
      </c>
      <c r="F30" s="28" t="s">
        <v>2208</v>
      </c>
    </row>
    <row r="31" spans="1:6" x14ac:dyDescent="0.2">
      <c r="A31" s="63">
        <v>45962</v>
      </c>
      <c r="B31" t="s">
        <v>859</v>
      </c>
      <c r="C31">
        <v>110.35</v>
      </c>
      <c r="D31" s="28" t="str">
        <f>_xlfn.XLOOKUP(B31,'Payee Ref'!A:A,'Payee Ref'!B:B,"unassigned",0,1)</f>
        <v>Travel</v>
      </c>
      <c r="E31" s="28" t="str">
        <f>_xlfn.XLOOKUP(B31,'Payee Ref'!A:A,'Payee Ref'!C:C,"unassigned",0,1)</f>
        <v>Luxury</v>
      </c>
      <c r="F31" s="28" t="s">
        <v>2208</v>
      </c>
    </row>
    <row r="32" spans="1:6" x14ac:dyDescent="0.2">
      <c r="A32" s="63">
        <v>45962</v>
      </c>
      <c r="B32" t="s">
        <v>55</v>
      </c>
      <c r="C32">
        <v>14.41</v>
      </c>
      <c r="D32" s="28" t="str">
        <f>_xlfn.XLOOKUP(B32,'Payee Ref'!A:A,'Payee Ref'!B:B,"unassigned",0,1)</f>
        <v>Auto</v>
      </c>
      <c r="E32" s="28" t="str">
        <f>_xlfn.XLOOKUP(B32,'Payee Ref'!A:A,'Payee Ref'!C:C,"unassigned",0,1)</f>
        <v>basic</v>
      </c>
      <c r="F32" s="28" t="s">
        <v>2208</v>
      </c>
    </row>
    <row r="33" spans="1:6" x14ac:dyDescent="0.2">
      <c r="A33" s="63">
        <v>45962</v>
      </c>
      <c r="B33" t="s">
        <v>55</v>
      </c>
      <c r="C33">
        <v>17.25</v>
      </c>
      <c r="D33" s="28" t="str">
        <f>_xlfn.XLOOKUP(B33,'Payee Ref'!A:A,'Payee Ref'!B:B,"unassigned",0,1)</f>
        <v>Auto</v>
      </c>
      <c r="E33" s="28" t="str">
        <f>_xlfn.XLOOKUP(B33,'Payee Ref'!A:A,'Payee Ref'!C:C,"unassigned",0,1)</f>
        <v>basic</v>
      </c>
      <c r="F33" s="28" t="s">
        <v>2208</v>
      </c>
    </row>
    <row r="34" spans="1:6" x14ac:dyDescent="0.2">
      <c r="A34" s="63">
        <v>45959</v>
      </c>
      <c r="B34" t="s">
        <v>423</v>
      </c>
      <c r="C34">
        <v>16.95</v>
      </c>
      <c r="D34" s="28" t="str">
        <f>_xlfn.XLOOKUP(B34,'Payee Ref'!A:A,'Payee Ref'!B:B,"unassigned",0,1)</f>
        <v>Dining</v>
      </c>
      <c r="E34" s="28" t="str">
        <f>_xlfn.XLOOKUP(B34,'Payee Ref'!A:A,'Payee Ref'!C:C,"unassigned",0,1)</f>
        <v>Luxury</v>
      </c>
      <c r="F34" s="28" t="s">
        <v>2208</v>
      </c>
    </row>
    <row r="35" spans="1:6" x14ac:dyDescent="0.2">
      <c r="A35" s="63">
        <v>45956</v>
      </c>
      <c r="B35" t="s">
        <v>420</v>
      </c>
      <c r="C35">
        <v>24</v>
      </c>
      <c r="D35" s="28" t="str">
        <f>_xlfn.XLOOKUP(B35,'Payee Ref'!A:A,'Payee Ref'!B:B,"unassigned",0,1)</f>
        <v>Dining</v>
      </c>
      <c r="E35" s="28" t="str">
        <f>_xlfn.XLOOKUP(B35,'Payee Ref'!A:A,'Payee Ref'!C:C,"unassigned",0,1)</f>
        <v>Luxury</v>
      </c>
      <c r="F35" s="28" t="s">
        <v>2208</v>
      </c>
    </row>
    <row r="36" spans="1:6" x14ac:dyDescent="0.2">
      <c r="A36" s="63">
        <v>45955</v>
      </c>
      <c r="B36" t="s">
        <v>1193</v>
      </c>
      <c r="C36">
        <v>8.42</v>
      </c>
      <c r="D36" s="28" t="str">
        <f>_xlfn.XLOOKUP(B36,'Payee Ref'!A:A,'Payee Ref'!B:B,"unassigned",0,1)</f>
        <v>Travel</v>
      </c>
      <c r="E36" s="28" t="str">
        <f>_xlfn.XLOOKUP(B36,'Payee Ref'!A:A,'Payee Ref'!C:C,"unassigned",0,1)</f>
        <v>Luxury</v>
      </c>
      <c r="F36" s="28" t="s">
        <v>2208</v>
      </c>
    </row>
    <row r="37" spans="1:6" x14ac:dyDescent="0.2">
      <c r="A37" s="63">
        <v>45955</v>
      </c>
      <c r="B37" t="s">
        <v>557</v>
      </c>
      <c r="C37">
        <v>13.99</v>
      </c>
      <c r="D37" s="28" t="str">
        <f>_xlfn.XLOOKUP(B37,'Payee Ref'!A:A,'Payee Ref'!B:B,"unassigned",0,1)</f>
        <v>Groceries</v>
      </c>
      <c r="E37" s="28" t="str">
        <f>_xlfn.XLOOKUP(B37,'Payee Ref'!A:A,'Payee Ref'!C:C,"unassigned",0,1)</f>
        <v>Basic</v>
      </c>
      <c r="F37" s="28" t="s">
        <v>2208</v>
      </c>
    </row>
    <row r="38" spans="1:6" x14ac:dyDescent="0.2">
      <c r="A38" s="63">
        <v>45955</v>
      </c>
      <c r="B38" t="s">
        <v>422</v>
      </c>
      <c r="C38">
        <v>49.17</v>
      </c>
      <c r="D38" s="28" t="str">
        <f>_xlfn.XLOOKUP(B38,'Payee Ref'!A:A,'Payee Ref'!B:B,"unassigned",0,1)</f>
        <v>Dining</v>
      </c>
      <c r="E38" s="28" t="str">
        <f>_xlfn.XLOOKUP(B38,'Payee Ref'!A:A,'Payee Ref'!C:C,"unassigned",0,1)</f>
        <v>Luxury</v>
      </c>
      <c r="F38" s="28" t="s">
        <v>2208</v>
      </c>
    </row>
    <row r="39" spans="1:6" x14ac:dyDescent="0.2">
      <c r="A39" s="63">
        <v>45955</v>
      </c>
      <c r="B39" t="s">
        <v>431</v>
      </c>
      <c r="C39">
        <v>33.74</v>
      </c>
      <c r="D39" s="28" t="str">
        <f>_xlfn.XLOOKUP(B39,'Payee Ref'!A:A,'Payee Ref'!B:B,"unassigned",0,1)</f>
        <v>Dining</v>
      </c>
      <c r="E39" s="28" t="str">
        <f>_xlfn.XLOOKUP(B39,'Payee Ref'!A:A,'Payee Ref'!C:C,"unassigned",0,1)</f>
        <v>Luxury</v>
      </c>
      <c r="F39" s="28" t="s">
        <v>2208</v>
      </c>
    </row>
    <row r="40" spans="1:6" x14ac:dyDescent="0.2">
      <c r="A40" s="63">
        <v>45954</v>
      </c>
      <c r="B40" t="s">
        <v>860</v>
      </c>
      <c r="C40">
        <v>21.35</v>
      </c>
      <c r="D40" s="28" t="str">
        <f>_xlfn.XLOOKUP(B40,'Payee Ref'!A:A,'Payee Ref'!B:B,"unassigned",0,1)</f>
        <v>Travel</v>
      </c>
      <c r="E40" s="28" t="str">
        <f>_xlfn.XLOOKUP(B40,'Payee Ref'!A:A,'Payee Ref'!C:C,"unassigned",0,1)</f>
        <v>Luxury</v>
      </c>
      <c r="F40" s="28" t="s">
        <v>2208</v>
      </c>
    </row>
    <row r="41" spans="1:6" x14ac:dyDescent="0.2">
      <c r="A41" s="63">
        <v>45954</v>
      </c>
      <c r="B41" t="s">
        <v>477</v>
      </c>
      <c r="C41">
        <v>10</v>
      </c>
      <c r="D41" s="28" t="str">
        <f>_xlfn.XLOOKUP(B41,'Payee Ref'!A:A,'Payee Ref'!B:B,"unassigned",0,1)</f>
        <v>Enrichment</v>
      </c>
      <c r="E41" s="28" t="str">
        <f>_xlfn.XLOOKUP(B41,'Payee Ref'!A:A,'Payee Ref'!C:C,"unassigned",0,1)</f>
        <v>Luxury</v>
      </c>
      <c r="F41" s="28" t="s">
        <v>2208</v>
      </c>
    </row>
    <row r="42" spans="1:6" x14ac:dyDescent="0.2">
      <c r="A42" s="63">
        <v>45953</v>
      </c>
      <c r="B42" t="s">
        <v>861</v>
      </c>
      <c r="C42">
        <v>22.07</v>
      </c>
      <c r="D42" s="28" t="str">
        <f>_xlfn.XLOOKUP(B42,'Payee Ref'!A:A,'Payee Ref'!B:B,"unassigned",0,1)</f>
        <v>Travel</v>
      </c>
      <c r="E42" s="28" t="str">
        <f>_xlfn.XLOOKUP(B42,'Payee Ref'!A:A,'Payee Ref'!C:C,"unassigned",0,1)</f>
        <v>Luxury</v>
      </c>
      <c r="F42" s="28" t="s">
        <v>2208</v>
      </c>
    </row>
    <row r="43" spans="1:6" x14ac:dyDescent="0.2">
      <c r="A43" s="63">
        <v>45953</v>
      </c>
      <c r="B43" t="s">
        <v>511</v>
      </c>
      <c r="C43">
        <v>125</v>
      </c>
      <c r="D43" s="28" t="str">
        <f>_xlfn.XLOOKUP(B43,'Payee Ref'!A:A,'Payee Ref'!B:B,"unassigned",0,1)</f>
        <v>Gifts</v>
      </c>
      <c r="E43" s="28" t="str">
        <f>_xlfn.XLOOKUP(B43,'Payee Ref'!A:A,'Payee Ref'!C:C,"unassigned",0,1)</f>
        <v>Luxury</v>
      </c>
      <c r="F43" s="28" t="s">
        <v>2208</v>
      </c>
    </row>
    <row r="44" spans="1:6" x14ac:dyDescent="0.2">
      <c r="A44" s="63">
        <v>45953</v>
      </c>
      <c r="B44" t="s">
        <v>494</v>
      </c>
      <c r="C44">
        <v>6.37</v>
      </c>
      <c r="D44" s="28" t="str">
        <f>_xlfn.XLOOKUP(B44,'Payee Ref'!A:A,'Payee Ref'!B:B,"unassigned",0,1)</f>
        <v>Enrichment</v>
      </c>
      <c r="E44" s="28" t="str">
        <f>_xlfn.XLOOKUP(B44,'Payee Ref'!A:A,'Payee Ref'!C:C,"unassigned",0,1)</f>
        <v>Basic</v>
      </c>
      <c r="F44" s="28" t="s">
        <v>2208</v>
      </c>
    </row>
    <row r="45" spans="1:6" x14ac:dyDescent="0.2">
      <c r="A45" s="63">
        <v>45952</v>
      </c>
      <c r="B45" t="s">
        <v>946</v>
      </c>
      <c r="C45">
        <v>-5822.76</v>
      </c>
      <c r="D45" s="28" t="str">
        <f>_xlfn.XLOOKUP(B45,'Payee Ref'!A:A,'Payee Ref'!B:B,"unassigned",0,1)</f>
        <v>Transfer</v>
      </c>
      <c r="E45" s="28" t="str">
        <f>_xlfn.XLOOKUP(B45,'Payee Ref'!A:A,'Payee Ref'!C:C,"unassigned",0,1)</f>
        <v>Basic</v>
      </c>
      <c r="F45" s="28" t="s">
        <v>2208</v>
      </c>
    </row>
    <row r="46" spans="1:6" x14ac:dyDescent="0.2">
      <c r="A46" s="63">
        <v>45952</v>
      </c>
      <c r="B46" t="s">
        <v>333</v>
      </c>
      <c r="C46">
        <v>16.5</v>
      </c>
      <c r="D46" s="28" t="str">
        <f>_xlfn.XLOOKUP(B46,'Payee Ref'!A:A,'Payee Ref'!B:B,"unassigned",0,1)</f>
        <v>Dining</v>
      </c>
      <c r="E46" s="28" t="str">
        <f>_xlfn.XLOOKUP(B46,'Payee Ref'!A:A,'Payee Ref'!C:C,"unassigned",0,1)</f>
        <v>Luxury</v>
      </c>
      <c r="F46" s="28" t="s">
        <v>2208</v>
      </c>
    </row>
    <row r="47" spans="1:6" x14ac:dyDescent="0.2">
      <c r="A47" s="63">
        <v>45951</v>
      </c>
      <c r="B47" t="s">
        <v>962</v>
      </c>
      <c r="C47">
        <v>1374.13</v>
      </c>
      <c r="D47" s="28" t="str">
        <f>_xlfn.XLOOKUP(B47,'Payee Ref'!A:A,'Payee Ref'!B:B,"unassigned",0,1)</f>
        <v>Travel</v>
      </c>
      <c r="E47" s="28" t="str">
        <f>_xlfn.XLOOKUP(B47,'Payee Ref'!A:A,'Payee Ref'!C:C,"unassigned",0,1)</f>
        <v>Luxury</v>
      </c>
      <c r="F47" s="28" t="s">
        <v>2208</v>
      </c>
    </row>
    <row r="48" spans="1:6" x14ac:dyDescent="0.2">
      <c r="A48" s="63">
        <v>45951</v>
      </c>
      <c r="B48" t="s">
        <v>962</v>
      </c>
      <c r="C48">
        <v>1374.13</v>
      </c>
      <c r="D48" s="28" t="str">
        <f>_xlfn.XLOOKUP(B48,'Payee Ref'!A:A,'Payee Ref'!B:B,"unassigned",0,1)</f>
        <v>Travel</v>
      </c>
      <c r="E48" s="28" t="str">
        <f>_xlfn.XLOOKUP(B48,'Payee Ref'!A:A,'Payee Ref'!C:C,"unassigned",0,1)</f>
        <v>Luxury</v>
      </c>
      <c r="F48" s="28" t="s">
        <v>2208</v>
      </c>
    </row>
    <row r="49" spans="1:6" x14ac:dyDescent="0.2">
      <c r="A49" s="63">
        <v>45951</v>
      </c>
      <c r="B49" t="s">
        <v>1111</v>
      </c>
      <c r="C49">
        <v>168.5</v>
      </c>
      <c r="D49" s="28" t="str">
        <f>_xlfn.XLOOKUP(B49,'Payee Ref'!A:A,'Payee Ref'!B:B,"unassigned",0,1)</f>
        <v>Travel</v>
      </c>
      <c r="E49" s="28" t="str">
        <f>_xlfn.XLOOKUP(B49,'Payee Ref'!A:A,'Payee Ref'!C:C,"unassigned",0,1)</f>
        <v>Luxury</v>
      </c>
      <c r="F49" s="28" t="s">
        <v>2208</v>
      </c>
    </row>
    <row r="50" spans="1:6" x14ac:dyDescent="0.2">
      <c r="A50" s="63">
        <v>45951</v>
      </c>
      <c r="B50" t="s">
        <v>1111</v>
      </c>
      <c r="C50">
        <v>168.5</v>
      </c>
      <c r="D50" s="28" t="str">
        <f>_xlfn.XLOOKUP(B50,'Payee Ref'!A:A,'Payee Ref'!B:B,"unassigned",0,1)</f>
        <v>Travel</v>
      </c>
      <c r="E50" s="28" t="str">
        <f>_xlfn.XLOOKUP(B50,'Payee Ref'!A:A,'Payee Ref'!C:C,"unassigned",0,1)</f>
        <v>Luxury</v>
      </c>
      <c r="F50" s="28" t="s">
        <v>2208</v>
      </c>
    </row>
    <row r="51" spans="1:6" x14ac:dyDescent="0.2">
      <c r="A51" s="63">
        <v>45951</v>
      </c>
      <c r="B51" t="s">
        <v>494</v>
      </c>
      <c r="C51">
        <v>4.88</v>
      </c>
      <c r="D51" s="28" t="str">
        <f>_xlfn.XLOOKUP(B51,'Payee Ref'!A:A,'Payee Ref'!B:B,"unassigned",0,1)</f>
        <v>Enrichment</v>
      </c>
      <c r="E51" s="28" t="str">
        <f>_xlfn.XLOOKUP(B51,'Payee Ref'!A:A,'Payee Ref'!C:C,"unassigned",0,1)</f>
        <v>Basic</v>
      </c>
      <c r="F51" s="28" t="s">
        <v>2208</v>
      </c>
    </row>
    <row r="52" spans="1:6" x14ac:dyDescent="0.2">
      <c r="A52" s="63">
        <v>45950</v>
      </c>
      <c r="B52" t="s">
        <v>942</v>
      </c>
      <c r="C52">
        <v>-2682.18</v>
      </c>
      <c r="D52" s="28" t="str">
        <f>_xlfn.XLOOKUP(B52,'Payee Ref'!A:A,'Payee Ref'!B:B,"unassigned",0,1)</f>
        <v>Travel</v>
      </c>
      <c r="E52" s="28" t="str">
        <f>_xlfn.XLOOKUP(B52,'Payee Ref'!A:A,'Payee Ref'!C:C,"unassigned",0,1)</f>
        <v>Luxury</v>
      </c>
      <c r="F52" s="28" t="s">
        <v>2208</v>
      </c>
    </row>
    <row r="53" spans="1:6" x14ac:dyDescent="0.2">
      <c r="A53" s="63">
        <v>45950</v>
      </c>
      <c r="B53" t="s">
        <v>887</v>
      </c>
      <c r="C53">
        <v>15</v>
      </c>
      <c r="D53" s="28" t="str">
        <f>_xlfn.XLOOKUP(B53,'Payee Ref'!A:A,'Payee Ref'!B:B,"unassigned",0,1)</f>
        <v>Professional</v>
      </c>
      <c r="E53" s="28" t="str">
        <f>_xlfn.XLOOKUP(B53,'Payee Ref'!A:A,'Payee Ref'!C:C,"unassigned",0,1)</f>
        <v>Luxury</v>
      </c>
      <c r="F53" s="28" t="s">
        <v>2208</v>
      </c>
    </row>
    <row r="54" spans="1:6" x14ac:dyDescent="0.2">
      <c r="A54" s="63">
        <v>45950</v>
      </c>
      <c r="B54" t="s">
        <v>409</v>
      </c>
      <c r="C54">
        <v>100.06</v>
      </c>
      <c r="D54" s="28" t="str">
        <f>_xlfn.XLOOKUP(B54,'Payee Ref'!A:A,'Payee Ref'!B:B,"unassigned",0,1)</f>
        <v>Dining</v>
      </c>
      <c r="E54" s="28" t="str">
        <f>_xlfn.XLOOKUP(B54,'Payee Ref'!A:A,'Payee Ref'!C:C,"unassigned",0,1)</f>
        <v>Luxury</v>
      </c>
      <c r="F54" s="28" t="s">
        <v>2208</v>
      </c>
    </row>
    <row r="55" spans="1:6" x14ac:dyDescent="0.2">
      <c r="A55" s="63">
        <v>45948</v>
      </c>
      <c r="B55" t="s">
        <v>735</v>
      </c>
      <c r="C55">
        <v>13.24</v>
      </c>
      <c r="D55" s="28" t="str">
        <f>_xlfn.XLOOKUP(B55,'Payee Ref'!A:A,'Payee Ref'!B:B,"unassigned",0,1)</f>
        <v>Home &amp; Garden</v>
      </c>
      <c r="E55" s="28" t="str">
        <f>_xlfn.XLOOKUP(B55,'Payee Ref'!A:A,'Payee Ref'!C:C,"unassigned",0,1)</f>
        <v>Luxury</v>
      </c>
      <c r="F55" s="28" t="s">
        <v>2208</v>
      </c>
    </row>
    <row r="56" spans="1:6" x14ac:dyDescent="0.2">
      <c r="A56" s="63">
        <v>45947</v>
      </c>
      <c r="B56" t="s">
        <v>886</v>
      </c>
      <c r="C56">
        <v>15</v>
      </c>
      <c r="D56" s="28" t="str">
        <f>_xlfn.XLOOKUP(B56,'Payee Ref'!A:A,'Payee Ref'!B:B,"unassigned",0,1)</f>
        <v>Professional</v>
      </c>
      <c r="E56" s="28" t="str">
        <f>_xlfn.XLOOKUP(B56,'Payee Ref'!A:A,'Payee Ref'!C:C,"unassigned",0,1)</f>
        <v>Luxury</v>
      </c>
      <c r="F56" s="28" t="s">
        <v>2208</v>
      </c>
    </row>
    <row r="57" spans="1:6" x14ac:dyDescent="0.2">
      <c r="A57" s="63">
        <v>45945</v>
      </c>
      <c r="B57" t="s">
        <v>1022</v>
      </c>
      <c r="C57">
        <v>209</v>
      </c>
      <c r="D57" s="28" t="str">
        <f>_xlfn.XLOOKUP(B57,'Payee Ref'!A:A,'Payee Ref'!B:B,"unassigned",0,1)</f>
        <v>Travel</v>
      </c>
      <c r="E57" s="28" t="str">
        <f>_xlfn.XLOOKUP(B57,'Payee Ref'!A:A,'Payee Ref'!C:C,"unassigned",0,1)</f>
        <v>Luxury</v>
      </c>
      <c r="F57" s="28" t="s">
        <v>2208</v>
      </c>
    </row>
    <row r="58" spans="1:6" x14ac:dyDescent="0.2">
      <c r="A58" s="63">
        <v>45945</v>
      </c>
      <c r="B58" t="s">
        <v>1196</v>
      </c>
      <c r="C58">
        <v>33.049999999999997</v>
      </c>
      <c r="D58" s="28" t="str">
        <f>_xlfn.XLOOKUP(B58,'Payee Ref'!A:A,'Payee Ref'!B:B,"unassigned",0,1)</f>
        <v>Travel</v>
      </c>
      <c r="E58" s="28" t="str">
        <f>_xlfn.XLOOKUP(B58,'Payee Ref'!A:A,'Payee Ref'!C:C,"unassigned",0,1)</f>
        <v>Luxury</v>
      </c>
      <c r="F58" s="28" t="s">
        <v>2208</v>
      </c>
    </row>
    <row r="59" spans="1:6" x14ac:dyDescent="0.2">
      <c r="A59" s="63">
        <v>45944</v>
      </c>
      <c r="B59" t="s">
        <v>678</v>
      </c>
      <c r="C59">
        <v>12.01</v>
      </c>
      <c r="D59" s="28" t="str">
        <f>_xlfn.XLOOKUP(B59,'Payee Ref'!A:A,'Payee Ref'!B:B,"unassigned",0,1)</f>
        <v>Home &amp; Garden</v>
      </c>
      <c r="E59" s="28" t="str">
        <f>_xlfn.XLOOKUP(B59,'Payee Ref'!A:A,'Payee Ref'!C:C,"unassigned",0,1)</f>
        <v>Basic</v>
      </c>
      <c r="F59" s="28" t="s">
        <v>2208</v>
      </c>
    </row>
    <row r="60" spans="1:6" x14ac:dyDescent="0.2">
      <c r="A60" s="63">
        <v>45942</v>
      </c>
      <c r="B60" t="s">
        <v>428</v>
      </c>
      <c r="C60">
        <v>39.76</v>
      </c>
      <c r="D60" s="28" t="str">
        <f>_xlfn.XLOOKUP(B60,'Payee Ref'!A:A,'Payee Ref'!B:B,"unassigned",0,1)</f>
        <v>Dining</v>
      </c>
      <c r="E60" s="28" t="str">
        <f>_xlfn.XLOOKUP(B60,'Payee Ref'!A:A,'Payee Ref'!C:C,"unassigned",0,1)</f>
        <v>Luxury</v>
      </c>
      <c r="F60" s="28" t="s">
        <v>2208</v>
      </c>
    </row>
    <row r="61" spans="1:6" x14ac:dyDescent="0.2">
      <c r="A61" s="63">
        <v>45941</v>
      </c>
      <c r="B61" t="s">
        <v>855</v>
      </c>
      <c r="C61">
        <v>46.68</v>
      </c>
      <c r="D61" s="28" t="str">
        <f>_xlfn.XLOOKUP(B61,'Payee Ref'!A:A,'Payee Ref'!B:B,"unassigned",0,1)</f>
        <v>Pharmacy</v>
      </c>
      <c r="E61" s="28" t="str">
        <f>_xlfn.XLOOKUP(B61,'Payee Ref'!A:A,'Payee Ref'!C:C,"unassigned",0,1)</f>
        <v>Basic</v>
      </c>
      <c r="F61" s="28" t="s">
        <v>2208</v>
      </c>
    </row>
    <row r="62" spans="1:6" x14ac:dyDescent="0.2">
      <c r="A62" s="63">
        <v>45940</v>
      </c>
      <c r="B62" t="s">
        <v>30</v>
      </c>
      <c r="C62">
        <v>67.569999999999993</v>
      </c>
      <c r="D62" s="28" t="str">
        <f>_xlfn.XLOOKUP(B62,'Payee Ref'!A:A,'Payee Ref'!B:B,"unassigned",0,1)</f>
        <v>Travel</v>
      </c>
      <c r="E62" s="28" t="str">
        <f>_xlfn.XLOOKUP(B62,'Payee Ref'!A:A,'Payee Ref'!C:C,"unassigned",0,1)</f>
        <v>Luxury</v>
      </c>
      <c r="F62" s="28" t="s">
        <v>2208</v>
      </c>
    </row>
    <row r="63" spans="1:6" x14ac:dyDescent="0.2">
      <c r="A63" s="63">
        <v>45939</v>
      </c>
      <c r="B63" t="s">
        <v>879</v>
      </c>
      <c r="C63">
        <v>220.7</v>
      </c>
      <c r="D63" s="28" t="str">
        <f>_xlfn.XLOOKUP(B63,'Payee Ref'!A:A,'Payee Ref'!B:B,"unassigned",0,1)</f>
        <v>Professional</v>
      </c>
      <c r="E63" s="28" t="str">
        <f>_xlfn.XLOOKUP(B63,'Payee Ref'!A:A,'Payee Ref'!C:C,"unassigned",0,1)</f>
        <v>Luxury</v>
      </c>
      <c r="F63" s="28" t="s">
        <v>2208</v>
      </c>
    </row>
    <row r="64" spans="1:6" x14ac:dyDescent="0.2">
      <c r="A64" s="63">
        <v>45939</v>
      </c>
      <c r="B64" t="s">
        <v>801</v>
      </c>
      <c r="C64">
        <v>125</v>
      </c>
      <c r="D64" s="28" t="str">
        <f>_xlfn.XLOOKUP(B64,'Payee Ref'!A:A,'Payee Ref'!B:B,"unassigned",0,1)</f>
        <v>Membership</v>
      </c>
      <c r="E64" s="28" t="str">
        <f>_xlfn.XLOOKUP(B64,'Payee Ref'!A:A,'Payee Ref'!C:C,"unassigned",0,1)</f>
        <v>Luxury</v>
      </c>
      <c r="F64" s="28" t="s">
        <v>2208</v>
      </c>
    </row>
    <row r="65" spans="1:6" x14ac:dyDescent="0.2">
      <c r="A65" s="63">
        <v>45939</v>
      </c>
      <c r="B65" t="s">
        <v>493</v>
      </c>
      <c r="C65">
        <v>19.309999999999999</v>
      </c>
      <c r="D65" s="28" t="str">
        <f>_xlfn.XLOOKUP(B65,'Payee Ref'!A:A,'Payee Ref'!B:B,"unassigned",0,1)</f>
        <v>Enrichment</v>
      </c>
      <c r="E65" s="28" t="str">
        <f>_xlfn.XLOOKUP(B65,'Payee Ref'!A:A,'Payee Ref'!C:C,"unassigned",0,1)</f>
        <v>Basic</v>
      </c>
      <c r="F65" s="28" t="s">
        <v>2208</v>
      </c>
    </row>
    <row r="66" spans="1:6" x14ac:dyDescent="0.2">
      <c r="A66" s="63">
        <v>45938</v>
      </c>
      <c r="B66" t="s">
        <v>43</v>
      </c>
      <c r="C66">
        <v>5.25</v>
      </c>
      <c r="D66" s="28" t="str">
        <f>_xlfn.XLOOKUP(B66,'Payee Ref'!A:A,'Payee Ref'!B:B,"unassigned",0,1)</f>
        <v>Auto</v>
      </c>
      <c r="E66" s="28" t="str">
        <f>_xlfn.XLOOKUP(B66,'Payee Ref'!A:A,'Payee Ref'!C:C,"unassigned",0,1)</f>
        <v>Basic</v>
      </c>
      <c r="F66" s="28" t="s">
        <v>2208</v>
      </c>
    </row>
    <row r="67" spans="1:6" x14ac:dyDescent="0.2">
      <c r="A67" s="63">
        <v>45937</v>
      </c>
      <c r="B67" t="s">
        <v>495</v>
      </c>
      <c r="C67">
        <v>4.88</v>
      </c>
      <c r="D67" s="28" t="str">
        <f>_xlfn.XLOOKUP(B67,'Payee Ref'!A:A,'Payee Ref'!B:B,"unassigned",0,1)</f>
        <v>Enrichment</v>
      </c>
      <c r="E67" s="28" t="str">
        <f>_xlfn.XLOOKUP(B67,'Payee Ref'!A:A,'Payee Ref'!C:C,"unassigned",0,1)</f>
        <v>Basic</v>
      </c>
      <c r="F67" s="28" t="s">
        <v>2208</v>
      </c>
    </row>
    <row r="68" spans="1:6" x14ac:dyDescent="0.2">
      <c r="A68" s="63">
        <v>45936</v>
      </c>
      <c r="B68" t="s">
        <v>681</v>
      </c>
      <c r="C68">
        <v>6.05</v>
      </c>
      <c r="D68" s="28" t="str">
        <f>_xlfn.XLOOKUP(B68,'Payee Ref'!A:A,'Payee Ref'!B:B,"unassigned",0,1)</f>
        <v>Home &amp; Garden</v>
      </c>
      <c r="E68" s="28" t="str">
        <f>_xlfn.XLOOKUP(B68,'Payee Ref'!A:A,'Payee Ref'!C:C,"unassigned",0,1)</f>
        <v>Basic</v>
      </c>
      <c r="F68" s="28" t="s">
        <v>2208</v>
      </c>
    </row>
    <row r="69" spans="1:6" x14ac:dyDescent="0.2">
      <c r="A69" s="63">
        <v>45936</v>
      </c>
      <c r="B69" t="s">
        <v>946</v>
      </c>
      <c r="C69">
        <v>-34081</v>
      </c>
      <c r="D69" s="28" t="str">
        <f>_xlfn.XLOOKUP(B69,'Payee Ref'!A:A,'Payee Ref'!B:B,"unassigned",0,1)</f>
        <v>Transfer</v>
      </c>
      <c r="E69" s="28" t="str">
        <f>_xlfn.XLOOKUP(B69,'Payee Ref'!A:A,'Payee Ref'!C:C,"unassigned",0,1)</f>
        <v>Basic</v>
      </c>
      <c r="F69" s="28" t="s">
        <v>2208</v>
      </c>
    </row>
    <row r="70" spans="1:6" x14ac:dyDescent="0.2">
      <c r="A70" s="63">
        <v>45936</v>
      </c>
      <c r="B70" t="s">
        <v>132</v>
      </c>
      <c r="C70">
        <v>29.84</v>
      </c>
      <c r="D70" s="28" t="str">
        <f>_xlfn.XLOOKUP(B70,'Payee Ref'!A:A,'Payee Ref'!B:B,"unassigned",0,1)</f>
        <v>Clothing</v>
      </c>
      <c r="E70" s="28" t="str">
        <f>_xlfn.XLOOKUP(B70,'Payee Ref'!A:A,'Payee Ref'!C:C,"unassigned",0,1)</f>
        <v>Luxury</v>
      </c>
      <c r="F70" s="28" t="s">
        <v>2208</v>
      </c>
    </row>
    <row r="71" spans="1:6" x14ac:dyDescent="0.2">
      <c r="A71" s="63">
        <v>45935</v>
      </c>
      <c r="B71" t="s">
        <v>873</v>
      </c>
      <c r="C71">
        <v>66.2</v>
      </c>
      <c r="D71" s="28" t="str">
        <f>_xlfn.XLOOKUP(B71,'Payee Ref'!A:A,'Payee Ref'!B:B,"unassigned",0,1)</f>
        <v>Professional</v>
      </c>
      <c r="E71" s="28" t="str">
        <f>_xlfn.XLOOKUP(B71,'Payee Ref'!A:A,'Payee Ref'!C:C,"unassigned",0,1)</f>
        <v>Luxury</v>
      </c>
      <c r="F71" s="28" t="s">
        <v>2208</v>
      </c>
    </row>
    <row r="72" spans="1:6" x14ac:dyDescent="0.2">
      <c r="A72" s="63">
        <v>45932</v>
      </c>
      <c r="B72" t="s">
        <v>99</v>
      </c>
      <c r="C72">
        <v>234.89</v>
      </c>
      <c r="D72" s="28" t="str">
        <f>_xlfn.XLOOKUP(B72,'Payee Ref'!A:A,'Payee Ref'!B:B,"unassigned",0,1)</f>
        <v>Clothing</v>
      </c>
      <c r="E72" s="28" t="str">
        <f>_xlfn.XLOOKUP(B72,'Payee Ref'!A:A,'Payee Ref'!C:C,"unassigned",0,1)</f>
        <v>Luxury</v>
      </c>
      <c r="F72" s="28" t="s">
        <v>2208</v>
      </c>
    </row>
    <row r="73" spans="1:6" x14ac:dyDescent="0.2">
      <c r="A73" s="63">
        <v>45932</v>
      </c>
      <c r="B73" t="s">
        <v>931</v>
      </c>
      <c r="C73">
        <v>3.3</v>
      </c>
      <c r="D73" s="28" t="str">
        <f>_xlfn.XLOOKUP(B73,'Payee Ref'!A:A,'Payee Ref'!B:B,"unassigned",0,1)</f>
        <v>Subscriptions / Digital</v>
      </c>
      <c r="E73" s="28" t="str">
        <f>_xlfn.XLOOKUP(B73,'Payee Ref'!A:A,'Payee Ref'!C:C,"unassigned",0,1)</f>
        <v>Basic</v>
      </c>
      <c r="F73" s="28" t="s">
        <v>2208</v>
      </c>
    </row>
    <row r="74" spans="1:6" x14ac:dyDescent="0.2">
      <c r="A74" s="63">
        <v>45931</v>
      </c>
      <c r="B74" t="s">
        <v>859</v>
      </c>
      <c r="C74">
        <v>110.35</v>
      </c>
      <c r="D74" s="28" t="str">
        <f>_xlfn.XLOOKUP(B74,'Payee Ref'!A:A,'Payee Ref'!B:B,"unassigned",0,1)</f>
        <v>Travel</v>
      </c>
      <c r="E74" s="28" t="str">
        <f>_xlfn.XLOOKUP(B74,'Payee Ref'!A:A,'Payee Ref'!C:C,"unassigned",0,1)</f>
        <v>Luxury</v>
      </c>
      <c r="F74" s="28" t="s">
        <v>2208</v>
      </c>
    </row>
    <row r="75" spans="1:6" x14ac:dyDescent="0.2">
      <c r="A75" s="63">
        <v>45930</v>
      </c>
      <c r="B75" t="s">
        <v>495</v>
      </c>
      <c r="C75">
        <v>13.09</v>
      </c>
      <c r="D75" s="28" t="str">
        <f>_xlfn.XLOOKUP(B75,'Payee Ref'!A:A,'Payee Ref'!B:B,"unassigned",0,1)</f>
        <v>Enrichment</v>
      </c>
      <c r="E75" s="28" t="str">
        <f>_xlfn.XLOOKUP(B75,'Payee Ref'!A:A,'Payee Ref'!C:C,"unassigned",0,1)</f>
        <v>Basic</v>
      </c>
      <c r="F75" s="28" t="s">
        <v>2208</v>
      </c>
    </row>
    <row r="76" spans="1:6" x14ac:dyDescent="0.2">
      <c r="A76" s="63">
        <v>45929</v>
      </c>
      <c r="B76" t="s">
        <v>1198</v>
      </c>
      <c r="C76">
        <v>104</v>
      </c>
      <c r="D76" s="28" t="str">
        <f>_xlfn.XLOOKUP(B76,'Payee Ref'!A:A,'Payee Ref'!B:B,"unassigned",0,1)</f>
        <v>Travel</v>
      </c>
      <c r="E76" s="28" t="str">
        <f>_xlfn.XLOOKUP(B76,'Payee Ref'!A:A,'Payee Ref'!C:C,"unassigned",0,1)</f>
        <v>Luxury</v>
      </c>
      <c r="F76" s="28" t="s">
        <v>2208</v>
      </c>
    </row>
    <row r="77" spans="1:6" x14ac:dyDescent="0.2">
      <c r="A77" s="63">
        <v>45928</v>
      </c>
      <c r="B77" t="s">
        <v>136</v>
      </c>
      <c r="C77">
        <v>90</v>
      </c>
      <c r="D77" s="28" t="str">
        <f>_xlfn.XLOOKUP(B77,'Payee Ref'!A:A,'Payee Ref'!B:B,"unassigned",0,1)</f>
        <v>Clothing</v>
      </c>
      <c r="E77" s="28" t="str">
        <f>_xlfn.XLOOKUP(B77,'Payee Ref'!A:A,'Payee Ref'!C:C,"unassigned",0,1)</f>
        <v>Luxury</v>
      </c>
      <c r="F77" s="28" t="s">
        <v>2208</v>
      </c>
    </row>
    <row r="78" spans="1:6" x14ac:dyDescent="0.2">
      <c r="A78" s="63">
        <v>45928</v>
      </c>
      <c r="B78" t="s">
        <v>557</v>
      </c>
      <c r="C78">
        <v>45.08</v>
      </c>
      <c r="D78" s="28" t="str">
        <f>_xlfn.XLOOKUP(B78,'Payee Ref'!A:A,'Payee Ref'!B:B,"unassigned",0,1)</f>
        <v>Groceries</v>
      </c>
      <c r="E78" s="28" t="str">
        <f>_xlfn.XLOOKUP(B78,'Payee Ref'!A:A,'Payee Ref'!C:C,"unassigned",0,1)</f>
        <v>Basic</v>
      </c>
      <c r="F78" s="28" t="s">
        <v>2208</v>
      </c>
    </row>
    <row r="79" spans="1:6" x14ac:dyDescent="0.2">
      <c r="A79" s="63">
        <v>45928</v>
      </c>
      <c r="B79" t="s">
        <v>428</v>
      </c>
      <c r="C79">
        <v>61.18</v>
      </c>
      <c r="D79" s="28" t="str">
        <f>_xlfn.XLOOKUP(B79,'Payee Ref'!A:A,'Payee Ref'!B:B,"unassigned",0,1)</f>
        <v>Dining</v>
      </c>
      <c r="E79" s="28" t="str">
        <f>_xlfn.XLOOKUP(B79,'Payee Ref'!A:A,'Payee Ref'!C:C,"unassigned",0,1)</f>
        <v>Luxury</v>
      </c>
      <c r="F79" s="28" t="s">
        <v>2208</v>
      </c>
    </row>
    <row r="80" spans="1:6" x14ac:dyDescent="0.2">
      <c r="A80" s="63">
        <v>45928</v>
      </c>
      <c r="B80" t="s">
        <v>496</v>
      </c>
      <c r="C80">
        <v>38.619999999999997</v>
      </c>
      <c r="D80" s="28" t="str">
        <f>_xlfn.XLOOKUP(B80,'Payee Ref'!A:A,'Payee Ref'!B:B,"unassigned",0,1)</f>
        <v>Enrichment</v>
      </c>
      <c r="E80" s="28" t="str">
        <f>_xlfn.XLOOKUP(B80,'Payee Ref'!A:A,'Payee Ref'!C:C,"unassigned",0,1)</f>
        <v>Basic</v>
      </c>
      <c r="F80" s="28" t="s">
        <v>2208</v>
      </c>
    </row>
    <row r="81" spans="1:6" x14ac:dyDescent="0.2">
      <c r="A81" s="63">
        <v>45927</v>
      </c>
      <c r="B81" t="s">
        <v>26</v>
      </c>
      <c r="C81">
        <v>74.25</v>
      </c>
      <c r="D81" s="28" t="str">
        <f>_xlfn.XLOOKUP(B81,'Payee Ref'!A:A,'Payee Ref'!B:B,"unassigned",0,1)</f>
        <v>Travel</v>
      </c>
      <c r="E81" s="28" t="str">
        <f>_xlfn.XLOOKUP(B81,'Payee Ref'!A:A,'Payee Ref'!C:C,"unassigned",0,1)</f>
        <v>Luxury</v>
      </c>
      <c r="F81" s="28" t="s">
        <v>2208</v>
      </c>
    </row>
    <row r="82" spans="1:6" x14ac:dyDescent="0.2">
      <c r="A82" s="63">
        <v>45927</v>
      </c>
      <c r="B82" t="s">
        <v>860</v>
      </c>
      <c r="C82">
        <v>105.35</v>
      </c>
      <c r="D82" s="28" t="str">
        <f>_xlfn.XLOOKUP(B82,'Payee Ref'!A:A,'Payee Ref'!B:B,"unassigned",0,1)</f>
        <v>Travel</v>
      </c>
      <c r="E82" s="28" t="str">
        <f>_xlfn.XLOOKUP(B82,'Payee Ref'!A:A,'Payee Ref'!C:C,"unassigned",0,1)</f>
        <v>Luxury</v>
      </c>
      <c r="F82" s="28" t="s">
        <v>2208</v>
      </c>
    </row>
    <row r="83" spans="1:6" x14ac:dyDescent="0.2">
      <c r="A83" s="63">
        <v>45927</v>
      </c>
      <c r="B83" t="s">
        <v>259</v>
      </c>
      <c r="C83">
        <v>22</v>
      </c>
      <c r="D83" s="28" t="str">
        <f>_xlfn.XLOOKUP(B83,'Payee Ref'!A:A,'Payee Ref'!B:B,"unassigned",0,1)</f>
        <v>Dining</v>
      </c>
      <c r="E83" s="28" t="str">
        <f>_xlfn.XLOOKUP(B83,'Payee Ref'!A:A,'Payee Ref'!C:C,"unassigned",0,1)</f>
        <v>Luxury</v>
      </c>
      <c r="F83" s="28" t="s">
        <v>2208</v>
      </c>
    </row>
    <row r="84" spans="1:6" x14ac:dyDescent="0.2">
      <c r="A84" s="63">
        <v>45927</v>
      </c>
      <c r="B84" t="s">
        <v>880</v>
      </c>
      <c r="C84">
        <v>110.35</v>
      </c>
      <c r="D84" s="28" t="str">
        <f>_xlfn.XLOOKUP(B84,'Payee Ref'!A:A,'Payee Ref'!B:B,"unassigned",0,1)</f>
        <v>Professional</v>
      </c>
      <c r="E84" s="28" t="str">
        <f>_xlfn.XLOOKUP(B84,'Payee Ref'!A:A,'Payee Ref'!C:C,"unassigned",0,1)</f>
        <v>Luxury</v>
      </c>
      <c r="F84" s="28" t="s">
        <v>2208</v>
      </c>
    </row>
    <row r="85" spans="1:6" x14ac:dyDescent="0.2">
      <c r="A85" s="63">
        <v>45927</v>
      </c>
      <c r="B85" t="s">
        <v>475</v>
      </c>
      <c r="C85">
        <v>58.9</v>
      </c>
      <c r="D85" s="28" t="str">
        <f>_xlfn.XLOOKUP(B85,'Payee Ref'!A:A,'Payee Ref'!B:B,"unassigned",0,1)</f>
        <v>Enrichment</v>
      </c>
      <c r="E85" s="28" t="str">
        <f>_xlfn.XLOOKUP(B85,'Payee Ref'!A:A,'Payee Ref'!C:C,"unassigned",0,1)</f>
        <v>Luxury</v>
      </c>
      <c r="F85" s="28" t="s">
        <v>2208</v>
      </c>
    </row>
    <row r="86" spans="1:6" x14ac:dyDescent="0.2">
      <c r="A86" s="63">
        <v>45925</v>
      </c>
      <c r="B86" t="s">
        <v>946</v>
      </c>
      <c r="C86">
        <v>-6147.94</v>
      </c>
      <c r="D86" s="28" t="str">
        <f>_xlfn.XLOOKUP(B86,'Payee Ref'!A:A,'Payee Ref'!B:B,"unassigned",0,1)</f>
        <v>Transfer</v>
      </c>
      <c r="E86" s="28" t="str">
        <f>_xlfn.XLOOKUP(B86,'Payee Ref'!A:A,'Payee Ref'!C:C,"unassigned",0,1)</f>
        <v>Basic</v>
      </c>
      <c r="F86" s="28" t="s">
        <v>2208</v>
      </c>
    </row>
    <row r="87" spans="1:6" x14ac:dyDescent="0.2">
      <c r="A87" s="63">
        <v>45923</v>
      </c>
      <c r="B87" t="s">
        <v>979</v>
      </c>
      <c r="C87">
        <v>79.849999999999994</v>
      </c>
      <c r="D87" s="28" t="str">
        <f>_xlfn.XLOOKUP(B87,'Payee Ref'!A:A,'Payee Ref'!B:B,"unassigned",0,1)</f>
        <v>Travel</v>
      </c>
      <c r="E87" s="28" t="str">
        <f>_xlfn.XLOOKUP(B87,'Payee Ref'!A:A,'Payee Ref'!C:C,"unassigned",0,1)</f>
        <v>Luxury</v>
      </c>
      <c r="F87" s="28" t="s">
        <v>2208</v>
      </c>
    </row>
    <row r="88" spans="1:6" x14ac:dyDescent="0.2">
      <c r="A88" s="63">
        <v>45923</v>
      </c>
      <c r="B88" t="s">
        <v>861</v>
      </c>
      <c r="C88">
        <v>22.07</v>
      </c>
      <c r="D88" s="28" t="str">
        <f>_xlfn.XLOOKUP(B88,'Payee Ref'!A:A,'Payee Ref'!B:B,"unassigned",0,1)</f>
        <v>Travel</v>
      </c>
      <c r="E88" s="28" t="str">
        <f>_xlfn.XLOOKUP(B88,'Payee Ref'!A:A,'Payee Ref'!C:C,"unassigned",0,1)</f>
        <v>Luxury</v>
      </c>
      <c r="F88" s="28" t="s">
        <v>2208</v>
      </c>
    </row>
    <row r="89" spans="1:6" x14ac:dyDescent="0.2">
      <c r="A89" s="63">
        <v>45922</v>
      </c>
      <c r="B89" t="s">
        <v>74</v>
      </c>
      <c r="C89">
        <v>40</v>
      </c>
      <c r="D89" s="28" t="str">
        <f>_xlfn.XLOOKUP(B89,'Payee Ref'!A:A,'Payee Ref'!B:B,"unassigned",0,1)</f>
        <v>Bank Fees</v>
      </c>
      <c r="E89" s="28" t="str">
        <f>_xlfn.XLOOKUP(B89,'Payee Ref'!A:A,'Payee Ref'!C:C,"unassigned",0,1)</f>
        <v>Luxury</v>
      </c>
      <c r="F89" s="28" t="s">
        <v>2208</v>
      </c>
    </row>
    <row r="90" spans="1:6" x14ac:dyDescent="0.2">
      <c r="A90" s="63">
        <v>45921</v>
      </c>
      <c r="B90" t="s">
        <v>164</v>
      </c>
      <c r="C90">
        <v>59.84</v>
      </c>
      <c r="D90" s="28" t="str">
        <f>_xlfn.XLOOKUP(B90,'Payee Ref'!A:A,'Payee Ref'!B:B,"unassigned",0,1)</f>
        <v>Dining</v>
      </c>
      <c r="E90" s="28" t="str">
        <f>_xlfn.XLOOKUP(B90,'Payee Ref'!A:A,'Payee Ref'!C:C,"unassigned",0,1)</f>
        <v>Luxury</v>
      </c>
      <c r="F90" s="28" t="s">
        <v>2208</v>
      </c>
    </row>
    <row r="91" spans="1:6" x14ac:dyDescent="0.2">
      <c r="A91" s="63">
        <v>45921</v>
      </c>
      <c r="B91" t="s">
        <v>974</v>
      </c>
      <c r="C91">
        <v>29.81</v>
      </c>
      <c r="D91" s="28" t="str">
        <f>_xlfn.XLOOKUP(B91,'Payee Ref'!A:A,'Payee Ref'!B:B,"unassigned",0,1)</f>
        <v>Travel</v>
      </c>
      <c r="E91" s="28" t="str">
        <f>_xlfn.XLOOKUP(B91,'Payee Ref'!A:A,'Payee Ref'!C:C,"unassigned",0,1)</f>
        <v>Luxury</v>
      </c>
      <c r="F91" s="28" t="s">
        <v>2208</v>
      </c>
    </row>
    <row r="92" spans="1:6" x14ac:dyDescent="0.2">
      <c r="A92" s="63">
        <v>45921</v>
      </c>
      <c r="B92" t="s">
        <v>350</v>
      </c>
      <c r="C92">
        <v>14.94</v>
      </c>
      <c r="D92" s="28" t="str">
        <f>_xlfn.XLOOKUP(B92,'Payee Ref'!A:A,'Payee Ref'!B:B,"unassigned",0,1)</f>
        <v>Dining</v>
      </c>
      <c r="E92" s="28" t="str">
        <f>_xlfn.XLOOKUP(B92,'Payee Ref'!A:A,'Payee Ref'!C:C,"unassigned",0,1)</f>
        <v>Luxury</v>
      </c>
      <c r="F92" s="28" t="s">
        <v>2208</v>
      </c>
    </row>
    <row r="93" spans="1:6" x14ac:dyDescent="0.2">
      <c r="A93" s="63">
        <v>45921</v>
      </c>
      <c r="B93" t="s">
        <v>885</v>
      </c>
      <c r="C93">
        <v>15</v>
      </c>
      <c r="D93" s="28" t="str">
        <f>_xlfn.XLOOKUP(B93,'Payee Ref'!A:A,'Payee Ref'!B:B,"unassigned",0,1)</f>
        <v>Professional</v>
      </c>
      <c r="E93" s="28" t="str">
        <f>_xlfn.XLOOKUP(B93,'Payee Ref'!A:A,'Payee Ref'!C:C,"unassigned",0,1)</f>
        <v>Luxury</v>
      </c>
      <c r="F93" s="28" t="s">
        <v>2208</v>
      </c>
    </row>
    <row r="94" spans="1:6" x14ac:dyDescent="0.2">
      <c r="A94" s="63">
        <v>45920</v>
      </c>
      <c r="B94" t="s">
        <v>977</v>
      </c>
      <c r="C94">
        <v>263.94</v>
      </c>
      <c r="D94" s="28" t="str">
        <f>_xlfn.XLOOKUP(B94,'Payee Ref'!A:A,'Payee Ref'!B:B,"unassigned",0,1)</f>
        <v>Travel</v>
      </c>
      <c r="E94" s="28" t="str">
        <f>_xlfn.XLOOKUP(B94,'Payee Ref'!A:A,'Payee Ref'!C:C,"unassigned",0,1)</f>
        <v>Luxury</v>
      </c>
      <c r="F94" s="28" t="s">
        <v>2208</v>
      </c>
    </row>
    <row r="95" spans="1:6" x14ac:dyDescent="0.2">
      <c r="A95" s="63">
        <v>45920</v>
      </c>
      <c r="B95" t="s">
        <v>981</v>
      </c>
      <c r="C95">
        <v>6.77</v>
      </c>
      <c r="D95" s="28" t="str">
        <f>_xlfn.XLOOKUP(B95,'Payee Ref'!A:A,'Payee Ref'!B:B,"unassigned",0,1)</f>
        <v>Travel</v>
      </c>
      <c r="E95" s="28" t="str">
        <f>_xlfn.XLOOKUP(B95,'Payee Ref'!A:A,'Payee Ref'!C:C,"unassigned",0,1)</f>
        <v>Luxury</v>
      </c>
      <c r="F95" s="28" t="s">
        <v>2208</v>
      </c>
    </row>
    <row r="96" spans="1:6" x14ac:dyDescent="0.2">
      <c r="A96" s="63">
        <v>45920</v>
      </c>
      <c r="B96" t="s">
        <v>984</v>
      </c>
      <c r="C96">
        <v>4.6399999999999997</v>
      </c>
      <c r="D96" s="28" t="str">
        <f>_xlfn.XLOOKUP(B96,'Payee Ref'!A:A,'Payee Ref'!B:B,"unassigned",0,1)</f>
        <v>Travel</v>
      </c>
      <c r="E96" s="28" t="str">
        <f>_xlfn.XLOOKUP(B96,'Payee Ref'!A:A,'Payee Ref'!C:C,"unassigned",0,1)</f>
        <v>Luxury</v>
      </c>
      <c r="F96" s="28" t="s">
        <v>2208</v>
      </c>
    </row>
    <row r="97" spans="1:6" x14ac:dyDescent="0.2">
      <c r="A97" s="63">
        <v>45920</v>
      </c>
      <c r="B97" t="s">
        <v>984</v>
      </c>
      <c r="C97">
        <v>43.65</v>
      </c>
      <c r="D97" s="28" t="str">
        <f>_xlfn.XLOOKUP(B97,'Payee Ref'!A:A,'Payee Ref'!B:B,"unassigned",0,1)</f>
        <v>Travel</v>
      </c>
      <c r="E97" s="28" t="str">
        <f>_xlfn.XLOOKUP(B97,'Payee Ref'!A:A,'Payee Ref'!C:C,"unassigned",0,1)</f>
        <v>Luxury</v>
      </c>
      <c r="F97" s="28" t="s">
        <v>2208</v>
      </c>
    </row>
    <row r="98" spans="1:6" x14ac:dyDescent="0.2">
      <c r="A98" s="63">
        <v>45920</v>
      </c>
      <c r="B98" t="s">
        <v>988</v>
      </c>
      <c r="C98">
        <v>56.48</v>
      </c>
      <c r="D98" s="28" t="str">
        <f>_xlfn.XLOOKUP(B98,'Payee Ref'!A:A,'Payee Ref'!B:B,"unassigned",0,1)</f>
        <v>Travel</v>
      </c>
      <c r="E98" s="28" t="str">
        <f>_xlfn.XLOOKUP(B98,'Payee Ref'!A:A,'Payee Ref'!C:C,"unassigned",0,1)</f>
        <v>Luxury</v>
      </c>
      <c r="F98" s="28" t="s">
        <v>2208</v>
      </c>
    </row>
    <row r="99" spans="1:6" x14ac:dyDescent="0.2">
      <c r="A99" s="63">
        <v>45920</v>
      </c>
      <c r="B99" t="s">
        <v>1050</v>
      </c>
      <c r="C99">
        <v>337.28</v>
      </c>
      <c r="D99" s="28" t="str">
        <f>_xlfn.XLOOKUP(B99,'Payee Ref'!A:A,'Payee Ref'!B:B,"unassigned",0,1)</f>
        <v>Travel</v>
      </c>
      <c r="E99" s="28" t="str">
        <f>_xlfn.XLOOKUP(B99,'Payee Ref'!A:A,'Payee Ref'!C:C,"unassigned",0,1)</f>
        <v>Luxury</v>
      </c>
      <c r="F99" s="28" t="s">
        <v>2208</v>
      </c>
    </row>
    <row r="100" spans="1:6" x14ac:dyDescent="0.2">
      <c r="A100" s="63">
        <v>45920</v>
      </c>
      <c r="B100" t="s">
        <v>1063</v>
      </c>
      <c r="C100">
        <v>44.14</v>
      </c>
      <c r="D100" s="28" t="str">
        <f>_xlfn.XLOOKUP(B100,'Payee Ref'!A:A,'Payee Ref'!B:B,"unassigned",0,1)</f>
        <v>Travel</v>
      </c>
      <c r="E100" s="28" t="str">
        <f>_xlfn.XLOOKUP(B100,'Payee Ref'!A:A,'Payee Ref'!C:C,"unassigned",0,1)</f>
        <v>Luxury</v>
      </c>
      <c r="F100" s="28" t="s">
        <v>2208</v>
      </c>
    </row>
    <row r="101" spans="1:6" x14ac:dyDescent="0.2">
      <c r="A101" s="63">
        <v>45920</v>
      </c>
      <c r="B101" t="s">
        <v>1063</v>
      </c>
      <c r="C101">
        <v>65.13</v>
      </c>
      <c r="D101" s="28" t="str">
        <f>_xlfn.XLOOKUP(B101,'Payee Ref'!A:A,'Payee Ref'!B:B,"unassigned",0,1)</f>
        <v>Travel</v>
      </c>
      <c r="E101" s="28" t="str">
        <f>_xlfn.XLOOKUP(B101,'Payee Ref'!A:A,'Payee Ref'!C:C,"unassigned",0,1)</f>
        <v>Luxury</v>
      </c>
      <c r="F101" s="28" t="s">
        <v>2208</v>
      </c>
    </row>
    <row r="102" spans="1:6" x14ac:dyDescent="0.2">
      <c r="A102" s="63">
        <v>45920</v>
      </c>
      <c r="B102" t="s">
        <v>884</v>
      </c>
      <c r="C102">
        <v>15</v>
      </c>
      <c r="D102" s="28" t="str">
        <f>_xlfn.XLOOKUP(B102,'Payee Ref'!A:A,'Payee Ref'!B:B,"unassigned",0,1)</f>
        <v>Professional</v>
      </c>
      <c r="E102" s="28" t="str">
        <f>_xlfn.XLOOKUP(B102,'Payee Ref'!A:A,'Payee Ref'!C:C,"unassigned",0,1)</f>
        <v>Luxury</v>
      </c>
      <c r="F102" s="28" t="s">
        <v>2208</v>
      </c>
    </row>
    <row r="103" spans="1:6" x14ac:dyDescent="0.2">
      <c r="A103" s="63">
        <v>45919</v>
      </c>
      <c r="B103" t="s">
        <v>1102</v>
      </c>
      <c r="C103">
        <v>103.66</v>
      </c>
      <c r="D103" s="28" t="str">
        <f>_xlfn.XLOOKUP(B103,'Payee Ref'!A:A,'Payee Ref'!B:B,"unassigned",0,1)</f>
        <v>Travel</v>
      </c>
      <c r="E103" s="28" t="str">
        <f>_xlfn.XLOOKUP(B103,'Payee Ref'!A:A,'Payee Ref'!C:C,"unassigned",0,1)</f>
        <v>Luxury</v>
      </c>
      <c r="F103" s="28" t="s">
        <v>2208</v>
      </c>
    </row>
    <row r="104" spans="1:6" x14ac:dyDescent="0.2">
      <c r="A104" s="63">
        <v>45918</v>
      </c>
      <c r="B104" t="s">
        <v>995</v>
      </c>
      <c r="C104">
        <v>7.45</v>
      </c>
      <c r="D104" s="28" t="str">
        <f>_xlfn.XLOOKUP(B104,'Payee Ref'!A:A,'Payee Ref'!B:B,"unassigned",0,1)</f>
        <v>Travel</v>
      </c>
      <c r="E104" s="28" t="str">
        <f>_xlfn.XLOOKUP(B104,'Payee Ref'!A:A,'Payee Ref'!C:C,"unassigned",0,1)</f>
        <v>Luxury</v>
      </c>
      <c r="F104" s="28" t="s">
        <v>2208</v>
      </c>
    </row>
    <row r="105" spans="1:6" x14ac:dyDescent="0.2">
      <c r="A105" s="63">
        <v>45918</v>
      </c>
      <c r="B105" t="s">
        <v>971</v>
      </c>
      <c r="C105">
        <v>32.340000000000003</v>
      </c>
      <c r="D105" s="28" t="str">
        <f>_xlfn.XLOOKUP(B105,'Payee Ref'!A:A,'Payee Ref'!B:B,"unassigned",0,1)</f>
        <v>Travel</v>
      </c>
      <c r="E105" s="28" t="str">
        <f>_xlfn.XLOOKUP(B105,'Payee Ref'!A:A,'Payee Ref'!C:C,"unassigned",0,1)</f>
        <v>Luxury</v>
      </c>
      <c r="F105" s="28" t="s">
        <v>2208</v>
      </c>
    </row>
    <row r="106" spans="1:6" x14ac:dyDescent="0.2">
      <c r="A106" s="63">
        <v>45918</v>
      </c>
      <c r="B106" t="s">
        <v>972</v>
      </c>
      <c r="C106">
        <v>70</v>
      </c>
      <c r="D106" s="28" t="str">
        <f>_xlfn.XLOOKUP(B106,'Payee Ref'!A:A,'Payee Ref'!B:B,"unassigned",0,1)</f>
        <v>Travel</v>
      </c>
      <c r="E106" s="28" t="str">
        <f>_xlfn.XLOOKUP(B106,'Payee Ref'!A:A,'Payee Ref'!C:C,"unassigned",0,1)</f>
        <v>Luxury</v>
      </c>
      <c r="F106" s="28" t="s">
        <v>2208</v>
      </c>
    </row>
    <row r="107" spans="1:6" x14ac:dyDescent="0.2">
      <c r="A107" s="63">
        <v>45918</v>
      </c>
      <c r="B107" t="s">
        <v>980</v>
      </c>
      <c r="C107">
        <v>8</v>
      </c>
      <c r="D107" s="28" t="str">
        <f>_xlfn.XLOOKUP(B107,'Payee Ref'!A:A,'Payee Ref'!B:B,"unassigned",0,1)</f>
        <v>Travel</v>
      </c>
      <c r="E107" s="28" t="str">
        <f>_xlfn.XLOOKUP(B107,'Payee Ref'!A:A,'Payee Ref'!C:C,"unassigned",0,1)</f>
        <v>Luxury</v>
      </c>
      <c r="F107" s="28" t="s">
        <v>2208</v>
      </c>
    </row>
    <row r="108" spans="1:6" x14ac:dyDescent="0.2">
      <c r="A108" s="63">
        <v>45918</v>
      </c>
      <c r="B108" t="s">
        <v>980</v>
      </c>
      <c r="C108">
        <v>8</v>
      </c>
      <c r="D108" s="28" t="str">
        <f>_xlfn.XLOOKUP(B108,'Payee Ref'!A:A,'Payee Ref'!B:B,"unassigned",0,1)</f>
        <v>Travel</v>
      </c>
      <c r="E108" s="28" t="str">
        <f>_xlfn.XLOOKUP(B108,'Payee Ref'!A:A,'Payee Ref'!C:C,"unassigned",0,1)</f>
        <v>Luxury</v>
      </c>
      <c r="F108" s="28" t="s">
        <v>2208</v>
      </c>
    </row>
    <row r="109" spans="1:6" x14ac:dyDescent="0.2">
      <c r="A109" s="63">
        <v>45918</v>
      </c>
      <c r="B109" t="s">
        <v>982</v>
      </c>
      <c r="C109">
        <v>43.23</v>
      </c>
      <c r="D109" s="28" t="str">
        <f>_xlfn.XLOOKUP(B109,'Payee Ref'!A:A,'Payee Ref'!B:B,"unassigned",0,1)</f>
        <v>Travel</v>
      </c>
      <c r="E109" s="28" t="str">
        <f>_xlfn.XLOOKUP(B109,'Payee Ref'!A:A,'Payee Ref'!C:C,"unassigned",0,1)</f>
        <v>Luxury</v>
      </c>
      <c r="F109" s="28" t="s">
        <v>2208</v>
      </c>
    </row>
    <row r="110" spans="1:6" x14ac:dyDescent="0.2">
      <c r="A110" s="63">
        <v>45918</v>
      </c>
      <c r="B110" t="s">
        <v>1017</v>
      </c>
      <c r="C110">
        <v>43.21</v>
      </c>
      <c r="D110" s="28" t="str">
        <f>_xlfn.XLOOKUP(B110,'Payee Ref'!A:A,'Payee Ref'!B:B,"unassigned",0,1)</f>
        <v>Travel</v>
      </c>
      <c r="E110" s="28" t="str">
        <f>_xlfn.XLOOKUP(B110,'Payee Ref'!A:A,'Payee Ref'!C:C,"unassigned",0,1)</f>
        <v>Luxury</v>
      </c>
      <c r="F110" s="28" t="s">
        <v>2208</v>
      </c>
    </row>
    <row r="111" spans="1:6" x14ac:dyDescent="0.2">
      <c r="A111" s="63">
        <v>45918</v>
      </c>
      <c r="B111" t="s">
        <v>1064</v>
      </c>
      <c r="C111">
        <v>229.87</v>
      </c>
      <c r="D111" s="28" t="str">
        <f>_xlfn.XLOOKUP(B111,'Payee Ref'!A:A,'Payee Ref'!B:B,"unassigned",0,1)</f>
        <v>Travel</v>
      </c>
      <c r="E111" s="28" t="str">
        <f>_xlfn.XLOOKUP(B111,'Payee Ref'!A:A,'Payee Ref'!C:C,"unassigned",0,1)</f>
        <v>Luxury</v>
      </c>
      <c r="F111" s="28" t="s">
        <v>2208</v>
      </c>
    </row>
    <row r="112" spans="1:6" x14ac:dyDescent="0.2">
      <c r="A112" s="63">
        <v>45918</v>
      </c>
      <c r="B112" t="s">
        <v>1086</v>
      </c>
      <c r="C112">
        <v>80</v>
      </c>
      <c r="D112" s="28" t="str">
        <f>_xlfn.XLOOKUP(B112,'Payee Ref'!A:A,'Payee Ref'!B:B,"unassigned",0,1)</f>
        <v>Travel</v>
      </c>
      <c r="E112" s="28" t="str">
        <f>_xlfn.XLOOKUP(B112,'Payee Ref'!A:A,'Payee Ref'!C:C,"unassigned",0,1)</f>
        <v>Luxury</v>
      </c>
      <c r="F112" s="28" t="s">
        <v>2208</v>
      </c>
    </row>
    <row r="113" spans="1:6" x14ac:dyDescent="0.2">
      <c r="A113" s="63">
        <v>45918</v>
      </c>
      <c r="B113" t="s">
        <v>918</v>
      </c>
      <c r="C113">
        <v>19</v>
      </c>
      <c r="D113" s="28" t="str">
        <f>_xlfn.XLOOKUP(B113,'Payee Ref'!A:A,'Payee Ref'!B:B,"unassigned",0,1)</f>
        <v>Subscriptions / Digital</v>
      </c>
      <c r="E113" s="28" t="str">
        <f>_xlfn.XLOOKUP(B113,'Payee Ref'!A:A,'Payee Ref'!C:C,"unassigned",0,1)</f>
        <v>Luxury</v>
      </c>
      <c r="F113" s="28" t="s">
        <v>2208</v>
      </c>
    </row>
    <row r="114" spans="1:6" x14ac:dyDescent="0.2">
      <c r="A114" s="63">
        <v>45918</v>
      </c>
      <c r="B114" t="s">
        <v>882</v>
      </c>
      <c r="C114">
        <v>12</v>
      </c>
      <c r="D114" s="28" t="str">
        <f>_xlfn.XLOOKUP(B114,'Payee Ref'!A:A,'Payee Ref'!B:B,"unassigned",0,1)</f>
        <v>Professional</v>
      </c>
      <c r="E114" s="28" t="str">
        <f>_xlfn.XLOOKUP(B114,'Payee Ref'!A:A,'Payee Ref'!C:C,"unassigned",0,1)</f>
        <v>Luxury</v>
      </c>
      <c r="F114" s="28" t="s">
        <v>2208</v>
      </c>
    </row>
    <row r="115" spans="1:6" x14ac:dyDescent="0.2">
      <c r="A115" s="63">
        <v>45918</v>
      </c>
      <c r="B115" t="s">
        <v>883</v>
      </c>
      <c r="C115">
        <v>15</v>
      </c>
      <c r="D115" s="28" t="str">
        <f>_xlfn.XLOOKUP(B115,'Payee Ref'!A:A,'Payee Ref'!B:B,"unassigned",0,1)</f>
        <v>Professional</v>
      </c>
      <c r="E115" s="28" t="str">
        <f>_xlfn.XLOOKUP(B115,'Payee Ref'!A:A,'Payee Ref'!C:C,"unassigned",0,1)</f>
        <v>Luxury</v>
      </c>
      <c r="F115" s="28" t="s">
        <v>2208</v>
      </c>
    </row>
    <row r="116" spans="1:6" x14ac:dyDescent="0.2">
      <c r="A116" s="63">
        <v>45917</v>
      </c>
      <c r="B116" t="s">
        <v>968</v>
      </c>
      <c r="C116">
        <v>19.850000000000001</v>
      </c>
      <c r="D116" s="28" t="str">
        <f>_xlfn.XLOOKUP(B116,'Payee Ref'!A:A,'Payee Ref'!B:B,"unassigned",0,1)</f>
        <v>Travel</v>
      </c>
      <c r="E116" s="28" t="str">
        <f>_xlfn.XLOOKUP(B116,'Payee Ref'!A:A,'Payee Ref'!C:C,"unassigned",0,1)</f>
        <v>Luxury</v>
      </c>
      <c r="F116" s="28" t="s">
        <v>2208</v>
      </c>
    </row>
    <row r="117" spans="1:6" x14ac:dyDescent="0.2">
      <c r="A117" s="63">
        <v>45917</v>
      </c>
      <c r="B117" t="s">
        <v>968</v>
      </c>
      <c r="C117">
        <v>65.52</v>
      </c>
      <c r="D117" s="28" t="str">
        <f>_xlfn.XLOOKUP(B117,'Payee Ref'!A:A,'Payee Ref'!B:B,"unassigned",0,1)</f>
        <v>Travel</v>
      </c>
      <c r="E117" s="28" t="str">
        <f>_xlfn.XLOOKUP(B117,'Payee Ref'!A:A,'Payee Ref'!C:C,"unassigned",0,1)</f>
        <v>Luxury</v>
      </c>
      <c r="F117" s="28" t="s">
        <v>2208</v>
      </c>
    </row>
    <row r="118" spans="1:6" x14ac:dyDescent="0.2">
      <c r="A118" s="63">
        <v>45917</v>
      </c>
      <c r="B118" t="s">
        <v>990</v>
      </c>
      <c r="C118">
        <v>33.479999999999997</v>
      </c>
      <c r="D118" s="28" t="str">
        <f>_xlfn.XLOOKUP(B118,'Payee Ref'!A:A,'Payee Ref'!B:B,"unassigned",0,1)</f>
        <v>Travel</v>
      </c>
      <c r="E118" s="28" t="str">
        <f>_xlfn.XLOOKUP(B118,'Payee Ref'!A:A,'Payee Ref'!C:C,"unassigned",0,1)</f>
        <v>Luxury</v>
      </c>
      <c r="F118" s="28" t="s">
        <v>2208</v>
      </c>
    </row>
    <row r="119" spans="1:6" x14ac:dyDescent="0.2">
      <c r="A119" s="63">
        <v>45917</v>
      </c>
      <c r="B119" t="s">
        <v>1040</v>
      </c>
      <c r="C119">
        <v>273.75</v>
      </c>
      <c r="D119" s="28" t="str">
        <f>_xlfn.XLOOKUP(B119,'Payee Ref'!A:A,'Payee Ref'!B:B,"unassigned",0,1)</f>
        <v>Travel</v>
      </c>
      <c r="E119" s="28" t="str">
        <f>_xlfn.XLOOKUP(B119,'Payee Ref'!A:A,'Payee Ref'!C:C,"unassigned",0,1)</f>
        <v>Luxury</v>
      </c>
      <c r="F119" s="28" t="s">
        <v>2208</v>
      </c>
    </row>
    <row r="120" spans="1:6" x14ac:dyDescent="0.2">
      <c r="A120" s="63">
        <v>45917</v>
      </c>
      <c r="B120" t="s">
        <v>1045</v>
      </c>
      <c r="C120">
        <v>68.87</v>
      </c>
      <c r="D120" s="28" t="str">
        <f>_xlfn.XLOOKUP(B120,'Payee Ref'!A:A,'Payee Ref'!B:B,"unassigned",0,1)</f>
        <v>Travel</v>
      </c>
      <c r="E120" s="28" t="str">
        <f>_xlfn.XLOOKUP(B120,'Payee Ref'!A:A,'Payee Ref'!C:C,"unassigned",0,1)</f>
        <v>Luxury</v>
      </c>
      <c r="F120" s="28" t="s">
        <v>2208</v>
      </c>
    </row>
    <row r="121" spans="1:6" x14ac:dyDescent="0.2">
      <c r="A121" s="63">
        <v>45917</v>
      </c>
      <c r="B121" t="s">
        <v>1047</v>
      </c>
      <c r="C121">
        <v>163.66</v>
      </c>
      <c r="D121" s="28" t="str">
        <f>_xlfn.XLOOKUP(B121,'Payee Ref'!A:A,'Payee Ref'!B:B,"unassigned",0,1)</f>
        <v>Travel</v>
      </c>
      <c r="E121" s="28" t="str">
        <f>_xlfn.XLOOKUP(B121,'Payee Ref'!A:A,'Payee Ref'!C:C,"unassigned",0,1)</f>
        <v>Luxury</v>
      </c>
      <c r="F121" s="28" t="s">
        <v>2208</v>
      </c>
    </row>
    <row r="122" spans="1:6" x14ac:dyDescent="0.2">
      <c r="A122" s="63">
        <v>45917</v>
      </c>
      <c r="B122" t="s">
        <v>483</v>
      </c>
      <c r="C122">
        <v>396</v>
      </c>
      <c r="D122" s="28" t="str">
        <f>_xlfn.XLOOKUP(B122,'Payee Ref'!A:A,'Payee Ref'!B:B,"unassigned",0,1)</f>
        <v>Enrichment</v>
      </c>
      <c r="E122" s="28" t="str">
        <f>_xlfn.XLOOKUP(B122,'Payee Ref'!A:A,'Payee Ref'!C:C,"unassigned",0,1)</f>
        <v>Luxury</v>
      </c>
      <c r="F122" s="28" t="s">
        <v>2208</v>
      </c>
    </row>
    <row r="123" spans="1:6" x14ac:dyDescent="0.2">
      <c r="A123" s="63">
        <v>45917</v>
      </c>
      <c r="B123" t="s">
        <v>428</v>
      </c>
      <c r="C123">
        <v>38.590000000000003</v>
      </c>
      <c r="D123" s="28" t="str">
        <f>_xlfn.XLOOKUP(B123,'Payee Ref'!A:A,'Payee Ref'!B:B,"unassigned",0,1)</f>
        <v>Dining</v>
      </c>
      <c r="E123" s="28" t="str">
        <f>_xlfn.XLOOKUP(B123,'Payee Ref'!A:A,'Payee Ref'!C:C,"unassigned",0,1)</f>
        <v>Luxury</v>
      </c>
      <c r="F123" s="28" t="s">
        <v>2208</v>
      </c>
    </row>
    <row r="124" spans="1:6" x14ac:dyDescent="0.2">
      <c r="A124" s="63">
        <v>45916</v>
      </c>
      <c r="B124" t="s">
        <v>993</v>
      </c>
      <c r="C124">
        <v>74.72</v>
      </c>
      <c r="D124" s="28" t="str">
        <f>_xlfn.XLOOKUP(B124,'Payee Ref'!A:A,'Payee Ref'!B:B,"unassigned",0,1)</f>
        <v>Travel</v>
      </c>
      <c r="E124" s="28" t="str">
        <f>_xlfn.XLOOKUP(B124,'Payee Ref'!A:A,'Payee Ref'!C:C,"unassigned",0,1)</f>
        <v>Luxury</v>
      </c>
      <c r="F124" s="28" t="s">
        <v>2208</v>
      </c>
    </row>
    <row r="125" spans="1:6" x14ac:dyDescent="0.2">
      <c r="A125" s="63">
        <v>45916</v>
      </c>
      <c r="B125" t="s">
        <v>973</v>
      </c>
      <c r="C125">
        <v>3.68</v>
      </c>
      <c r="D125" s="28" t="str">
        <f>_xlfn.XLOOKUP(B125,'Payee Ref'!A:A,'Payee Ref'!B:B,"unassigned",0,1)</f>
        <v>Travel</v>
      </c>
      <c r="E125" s="28" t="str">
        <f>_xlfn.XLOOKUP(B125,'Payee Ref'!A:A,'Payee Ref'!C:C,"unassigned",0,1)</f>
        <v>Luxury</v>
      </c>
      <c r="F125" s="28" t="s">
        <v>2208</v>
      </c>
    </row>
    <row r="126" spans="1:6" x14ac:dyDescent="0.2">
      <c r="A126" s="63">
        <v>45916</v>
      </c>
      <c r="B126" t="s">
        <v>973</v>
      </c>
      <c r="C126">
        <v>67.010000000000005</v>
      </c>
      <c r="D126" s="28" t="str">
        <f>_xlfn.XLOOKUP(B126,'Payee Ref'!A:A,'Payee Ref'!B:B,"unassigned",0,1)</f>
        <v>Travel</v>
      </c>
      <c r="E126" s="28" t="str">
        <f>_xlfn.XLOOKUP(B126,'Payee Ref'!A:A,'Payee Ref'!C:C,"unassigned",0,1)</f>
        <v>Luxury</v>
      </c>
      <c r="F126" s="28" t="s">
        <v>2208</v>
      </c>
    </row>
    <row r="127" spans="1:6" x14ac:dyDescent="0.2">
      <c r="A127" s="63">
        <v>45916</v>
      </c>
      <c r="B127" t="s">
        <v>1186</v>
      </c>
      <c r="C127">
        <v>88.18</v>
      </c>
      <c r="D127" s="28" t="str">
        <f>_xlfn.XLOOKUP(B127,'Payee Ref'!A:A,'Payee Ref'!B:B,"unassigned",0,1)</f>
        <v>Travel</v>
      </c>
      <c r="E127" s="28" t="str">
        <f>_xlfn.XLOOKUP(B127,'Payee Ref'!A:A,'Payee Ref'!C:C,"unassigned",0,1)</f>
        <v>Luxury</v>
      </c>
      <c r="F127" s="28" t="s">
        <v>2208</v>
      </c>
    </row>
    <row r="128" spans="1:6" x14ac:dyDescent="0.2">
      <c r="A128" s="63">
        <v>45916</v>
      </c>
      <c r="B128" t="s">
        <v>1196</v>
      </c>
      <c r="C128">
        <v>1.1000000000000001</v>
      </c>
      <c r="D128" s="28" t="str">
        <f>_xlfn.XLOOKUP(B128,'Payee Ref'!A:A,'Payee Ref'!B:B,"unassigned",0,1)</f>
        <v>Travel</v>
      </c>
      <c r="E128" s="28" t="str">
        <f>_xlfn.XLOOKUP(B128,'Payee Ref'!A:A,'Payee Ref'!C:C,"unassigned",0,1)</f>
        <v>Luxury</v>
      </c>
      <c r="F128" s="28" t="s">
        <v>2208</v>
      </c>
    </row>
    <row r="129" spans="1:6" x14ac:dyDescent="0.2">
      <c r="A129" s="63">
        <v>45916</v>
      </c>
      <c r="B129" t="s">
        <v>1069</v>
      </c>
      <c r="C129">
        <v>22.57</v>
      </c>
      <c r="D129" s="28" t="str">
        <f>_xlfn.XLOOKUP(B129,'Payee Ref'!A:A,'Payee Ref'!B:B,"unassigned",0,1)</f>
        <v>Travel</v>
      </c>
      <c r="E129" s="28" t="str">
        <f>_xlfn.XLOOKUP(B129,'Payee Ref'!A:A,'Payee Ref'!C:C,"unassigned",0,1)</f>
        <v>Luxury</v>
      </c>
      <c r="F129" s="28" t="s">
        <v>2208</v>
      </c>
    </row>
    <row r="130" spans="1:6" x14ac:dyDescent="0.2">
      <c r="A130" s="63">
        <v>45916</v>
      </c>
      <c r="B130" t="s">
        <v>1125</v>
      </c>
      <c r="C130">
        <v>102.64</v>
      </c>
      <c r="D130" s="28" t="str">
        <f>_xlfn.XLOOKUP(B130,'Payee Ref'!A:A,'Payee Ref'!B:B,"unassigned",0,1)</f>
        <v>Travel</v>
      </c>
      <c r="E130" s="28" t="str">
        <f>_xlfn.XLOOKUP(B130,'Payee Ref'!A:A,'Payee Ref'!C:C,"unassigned",0,1)</f>
        <v>Luxury</v>
      </c>
      <c r="F130" s="28" t="s">
        <v>2208</v>
      </c>
    </row>
    <row r="131" spans="1:6" x14ac:dyDescent="0.2">
      <c r="A131" s="63">
        <v>45915</v>
      </c>
      <c r="B131" t="s">
        <v>976</v>
      </c>
      <c r="C131">
        <v>58.42</v>
      </c>
      <c r="D131" s="28" t="str">
        <f>_xlfn.XLOOKUP(B131,'Payee Ref'!A:A,'Payee Ref'!B:B,"unassigned",0,1)</f>
        <v>Travel</v>
      </c>
      <c r="E131" s="28" t="str">
        <f>_xlfn.XLOOKUP(B131,'Payee Ref'!A:A,'Payee Ref'!C:C,"unassigned",0,1)</f>
        <v>Luxury</v>
      </c>
      <c r="F131" s="28" t="s">
        <v>2208</v>
      </c>
    </row>
    <row r="132" spans="1:6" x14ac:dyDescent="0.2">
      <c r="A132" s="63">
        <v>45915</v>
      </c>
      <c r="B132" t="s">
        <v>978</v>
      </c>
      <c r="C132">
        <v>51.49</v>
      </c>
      <c r="D132" s="28" t="str">
        <f>_xlfn.XLOOKUP(B132,'Payee Ref'!A:A,'Payee Ref'!B:B,"unassigned",0,1)</f>
        <v>Travel</v>
      </c>
      <c r="E132" s="28" t="str">
        <f>_xlfn.XLOOKUP(B132,'Payee Ref'!A:A,'Payee Ref'!C:C,"unassigned",0,1)</f>
        <v>Luxury</v>
      </c>
      <c r="F132" s="28" t="s">
        <v>2208</v>
      </c>
    </row>
    <row r="133" spans="1:6" x14ac:dyDescent="0.2">
      <c r="A133" s="63">
        <v>45915</v>
      </c>
      <c r="B133" t="s">
        <v>983</v>
      </c>
      <c r="C133">
        <v>153.46</v>
      </c>
      <c r="D133" s="28" t="str">
        <f>_xlfn.XLOOKUP(B133,'Payee Ref'!A:A,'Payee Ref'!B:B,"unassigned",0,1)</f>
        <v>Travel</v>
      </c>
      <c r="E133" s="28" t="str">
        <f>_xlfn.XLOOKUP(B133,'Payee Ref'!A:A,'Payee Ref'!C:C,"unassigned",0,1)</f>
        <v>Luxury</v>
      </c>
      <c r="F133" s="28" t="s">
        <v>2208</v>
      </c>
    </row>
    <row r="134" spans="1:6" x14ac:dyDescent="0.2">
      <c r="A134" s="63">
        <v>45915</v>
      </c>
      <c r="B134" t="s">
        <v>1002</v>
      </c>
      <c r="C134">
        <v>11.07</v>
      </c>
      <c r="D134" s="28" t="str">
        <f>_xlfn.XLOOKUP(B134,'Payee Ref'!A:A,'Payee Ref'!B:B,"unassigned",0,1)</f>
        <v>Travel</v>
      </c>
      <c r="E134" s="28" t="str">
        <f>_xlfn.XLOOKUP(B134,'Payee Ref'!A:A,'Payee Ref'!C:C,"unassigned",0,1)</f>
        <v>Luxury</v>
      </c>
      <c r="F134" s="28" t="s">
        <v>2208</v>
      </c>
    </row>
    <row r="135" spans="1:6" x14ac:dyDescent="0.2">
      <c r="A135" s="63">
        <v>45915</v>
      </c>
      <c r="B135" t="s">
        <v>1013</v>
      </c>
      <c r="C135">
        <v>24.85</v>
      </c>
      <c r="D135" s="28" t="str">
        <f>_xlfn.XLOOKUP(B135,'Payee Ref'!A:A,'Payee Ref'!B:B,"unassigned",0,1)</f>
        <v>Travel</v>
      </c>
      <c r="E135" s="28" t="str">
        <f>_xlfn.XLOOKUP(B135,'Payee Ref'!A:A,'Payee Ref'!C:C,"unassigned",0,1)</f>
        <v>Luxury</v>
      </c>
      <c r="F135" s="28" t="s">
        <v>2208</v>
      </c>
    </row>
    <row r="136" spans="1:6" x14ac:dyDescent="0.2">
      <c r="A136" s="63">
        <v>45915</v>
      </c>
      <c r="B136" t="s">
        <v>1196</v>
      </c>
      <c r="C136">
        <v>33.4</v>
      </c>
      <c r="D136" s="28" t="str">
        <f>_xlfn.XLOOKUP(B136,'Payee Ref'!A:A,'Payee Ref'!B:B,"unassigned",0,1)</f>
        <v>Travel</v>
      </c>
      <c r="E136" s="28" t="str">
        <f>_xlfn.XLOOKUP(B136,'Payee Ref'!A:A,'Payee Ref'!C:C,"unassigned",0,1)</f>
        <v>Luxury</v>
      </c>
      <c r="F136" s="28" t="s">
        <v>2208</v>
      </c>
    </row>
    <row r="137" spans="1:6" x14ac:dyDescent="0.2">
      <c r="A137" s="63">
        <v>45915</v>
      </c>
      <c r="B137" t="s">
        <v>1033</v>
      </c>
      <c r="C137">
        <v>42.59</v>
      </c>
      <c r="D137" s="28" t="str">
        <f>_xlfn.XLOOKUP(B137,'Payee Ref'!A:A,'Payee Ref'!B:B,"unassigned",0,1)</f>
        <v>Travel</v>
      </c>
      <c r="E137" s="28" t="str">
        <f>_xlfn.XLOOKUP(B137,'Payee Ref'!A:A,'Payee Ref'!C:C,"unassigned",0,1)</f>
        <v>Luxury</v>
      </c>
      <c r="F137" s="28" t="s">
        <v>2208</v>
      </c>
    </row>
    <row r="138" spans="1:6" x14ac:dyDescent="0.2">
      <c r="A138" s="63">
        <v>45915</v>
      </c>
      <c r="B138" t="s">
        <v>1052</v>
      </c>
      <c r="C138">
        <v>278</v>
      </c>
      <c r="D138" s="28" t="str">
        <f>_xlfn.XLOOKUP(B138,'Payee Ref'!A:A,'Payee Ref'!B:B,"unassigned",0,1)</f>
        <v>Travel</v>
      </c>
      <c r="E138" s="28" t="str">
        <f>_xlfn.XLOOKUP(B138,'Payee Ref'!A:A,'Payee Ref'!C:C,"unassigned",0,1)</f>
        <v>Luxury</v>
      </c>
      <c r="F138" s="28" t="s">
        <v>2208</v>
      </c>
    </row>
    <row r="139" spans="1:6" x14ac:dyDescent="0.2">
      <c r="A139" s="63">
        <v>45915</v>
      </c>
      <c r="B139" t="s">
        <v>1065</v>
      </c>
      <c r="C139">
        <v>11.74</v>
      </c>
      <c r="D139" s="28" t="str">
        <f>_xlfn.XLOOKUP(B139,'Payee Ref'!A:A,'Payee Ref'!B:B,"unassigned",0,1)</f>
        <v>Travel</v>
      </c>
      <c r="E139" s="28" t="str">
        <f>_xlfn.XLOOKUP(B139,'Payee Ref'!A:A,'Payee Ref'!C:C,"unassigned",0,1)</f>
        <v>Luxury</v>
      </c>
      <c r="F139" s="28" t="s">
        <v>2208</v>
      </c>
    </row>
    <row r="140" spans="1:6" x14ac:dyDescent="0.2">
      <c r="A140" s="63">
        <v>45915</v>
      </c>
      <c r="B140" t="s">
        <v>1067</v>
      </c>
      <c r="C140">
        <v>8.15</v>
      </c>
      <c r="D140" s="28" t="str">
        <f>_xlfn.XLOOKUP(B140,'Payee Ref'!A:A,'Payee Ref'!B:B,"unassigned",0,1)</f>
        <v>Travel</v>
      </c>
      <c r="E140" s="28" t="str">
        <f>_xlfn.XLOOKUP(B140,'Payee Ref'!A:A,'Payee Ref'!C:C,"unassigned",0,1)</f>
        <v>Luxury</v>
      </c>
      <c r="F140" s="28" t="s">
        <v>2208</v>
      </c>
    </row>
    <row r="141" spans="1:6" x14ac:dyDescent="0.2">
      <c r="A141" s="63">
        <v>45915</v>
      </c>
      <c r="B141" t="s">
        <v>1083</v>
      </c>
      <c r="C141">
        <v>55.3</v>
      </c>
      <c r="D141" s="28" t="str">
        <f>_xlfn.XLOOKUP(B141,'Payee Ref'!A:A,'Payee Ref'!B:B,"unassigned",0,1)</f>
        <v>Travel</v>
      </c>
      <c r="E141" s="28" t="str">
        <f>_xlfn.XLOOKUP(B141,'Payee Ref'!A:A,'Payee Ref'!C:C,"unassigned",0,1)</f>
        <v>Luxury</v>
      </c>
      <c r="F141" s="28" t="s">
        <v>2208</v>
      </c>
    </row>
    <row r="142" spans="1:6" x14ac:dyDescent="0.2">
      <c r="A142" s="63">
        <v>45915</v>
      </c>
      <c r="B142" t="s">
        <v>1090</v>
      </c>
      <c r="C142">
        <v>8.15</v>
      </c>
      <c r="D142" s="28" t="str">
        <f>_xlfn.XLOOKUP(B142,'Payee Ref'!A:A,'Payee Ref'!B:B,"unassigned",0,1)</f>
        <v>Travel</v>
      </c>
      <c r="E142" s="28" t="str">
        <f>_xlfn.XLOOKUP(B142,'Payee Ref'!A:A,'Payee Ref'!C:C,"unassigned",0,1)</f>
        <v>Luxury</v>
      </c>
      <c r="F142" s="28" t="s">
        <v>2208</v>
      </c>
    </row>
    <row r="143" spans="1:6" x14ac:dyDescent="0.2">
      <c r="A143" s="63">
        <v>45915</v>
      </c>
      <c r="B143" t="s">
        <v>1090</v>
      </c>
      <c r="C143">
        <v>16.98</v>
      </c>
      <c r="D143" s="28" t="str">
        <f>_xlfn.XLOOKUP(B143,'Payee Ref'!A:A,'Payee Ref'!B:B,"unassigned",0,1)</f>
        <v>Travel</v>
      </c>
      <c r="E143" s="28" t="str">
        <f>_xlfn.XLOOKUP(B143,'Payee Ref'!A:A,'Payee Ref'!C:C,"unassigned",0,1)</f>
        <v>Luxury</v>
      </c>
      <c r="F143" s="28" t="s">
        <v>2208</v>
      </c>
    </row>
    <row r="144" spans="1:6" x14ac:dyDescent="0.2">
      <c r="A144" s="63">
        <v>45915</v>
      </c>
      <c r="B144" t="s">
        <v>557</v>
      </c>
      <c r="C144">
        <v>3.43</v>
      </c>
      <c r="D144" s="28" t="str">
        <f>_xlfn.XLOOKUP(B144,'Payee Ref'!A:A,'Payee Ref'!B:B,"unassigned",0,1)</f>
        <v>Groceries</v>
      </c>
      <c r="E144" s="28" t="str">
        <f>_xlfn.XLOOKUP(B144,'Payee Ref'!A:A,'Payee Ref'!C:C,"unassigned",0,1)</f>
        <v>Basic</v>
      </c>
      <c r="F144" s="28" t="s">
        <v>2208</v>
      </c>
    </row>
    <row r="145" spans="1:6" x14ac:dyDescent="0.2">
      <c r="A145" s="63">
        <v>45915</v>
      </c>
      <c r="B145" t="s">
        <v>1139</v>
      </c>
      <c r="C145">
        <v>16.38</v>
      </c>
      <c r="D145" s="28" t="str">
        <f>_xlfn.XLOOKUP(B145,'Payee Ref'!A:A,'Payee Ref'!B:B,"unassigned",0,1)</f>
        <v>Travel</v>
      </c>
      <c r="E145" s="28" t="str">
        <f>_xlfn.XLOOKUP(B145,'Payee Ref'!A:A,'Payee Ref'!C:C,"unassigned",0,1)</f>
        <v>Luxury</v>
      </c>
      <c r="F145" s="28" t="s">
        <v>2208</v>
      </c>
    </row>
    <row r="146" spans="1:6" x14ac:dyDescent="0.2">
      <c r="A146" s="63">
        <v>45915</v>
      </c>
      <c r="B146" t="s">
        <v>462</v>
      </c>
      <c r="C146">
        <v>38.04</v>
      </c>
      <c r="D146" s="28" t="str">
        <f>_xlfn.XLOOKUP(B146,'Payee Ref'!A:A,'Payee Ref'!B:B,"unassigned",0,1)</f>
        <v>Dining</v>
      </c>
      <c r="E146" s="28" t="str">
        <f>_xlfn.XLOOKUP(B146,'Payee Ref'!A:A,'Payee Ref'!C:C,"unassigned",0,1)</f>
        <v>Luxury</v>
      </c>
      <c r="F146" s="28" t="s">
        <v>2208</v>
      </c>
    </row>
    <row r="147" spans="1:6" x14ac:dyDescent="0.2">
      <c r="A147" s="63">
        <v>45914</v>
      </c>
      <c r="B147" t="s">
        <v>670</v>
      </c>
      <c r="C147">
        <v>12.21</v>
      </c>
      <c r="D147" s="28" t="str">
        <f>_xlfn.XLOOKUP(B147,'Payee Ref'!A:A,'Payee Ref'!B:B,"unassigned",0,1)</f>
        <v>Home &amp; Garden</v>
      </c>
      <c r="E147" s="28" t="str">
        <f>_xlfn.XLOOKUP(B147,'Payee Ref'!A:A,'Payee Ref'!C:C,"unassigned",0,1)</f>
        <v>Basic</v>
      </c>
      <c r="F147" s="28" t="s">
        <v>2208</v>
      </c>
    </row>
    <row r="148" spans="1:6" x14ac:dyDescent="0.2">
      <c r="A148" s="63">
        <v>45914</v>
      </c>
      <c r="B148" t="s">
        <v>991</v>
      </c>
      <c r="C148">
        <v>8.31</v>
      </c>
      <c r="D148" s="28" t="str">
        <f>_xlfn.XLOOKUP(B148,'Payee Ref'!A:A,'Payee Ref'!B:B,"unassigned",0,1)</f>
        <v>Travel</v>
      </c>
      <c r="E148" s="28" t="str">
        <f>_xlfn.XLOOKUP(B148,'Payee Ref'!A:A,'Payee Ref'!C:C,"unassigned",0,1)</f>
        <v>Luxury</v>
      </c>
      <c r="F148" s="28" t="s">
        <v>2208</v>
      </c>
    </row>
    <row r="149" spans="1:6" x14ac:dyDescent="0.2">
      <c r="A149" s="63">
        <v>45914</v>
      </c>
      <c r="B149" t="s">
        <v>470</v>
      </c>
      <c r="C149">
        <v>111.41</v>
      </c>
      <c r="D149" s="28" t="str">
        <f>_xlfn.XLOOKUP(B149,'Payee Ref'!A:A,'Payee Ref'!B:B,"unassigned",0,1)</f>
        <v>Enrichment</v>
      </c>
      <c r="E149" s="28" t="str">
        <f>_xlfn.XLOOKUP(B149,'Payee Ref'!A:A,'Payee Ref'!C:C,"unassigned",0,1)</f>
        <v>Luxury</v>
      </c>
      <c r="F149" s="28" t="s">
        <v>2208</v>
      </c>
    </row>
    <row r="150" spans="1:6" x14ac:dyDescent="0.2">
      <c r="A150" s="63">
        <v>45914</v>
      </c>
      <c r="B150" t="s">
        <v>904</v>
      </c>
      <c r="C150">
        <v>110.34</v>
      </c>
      <c r="D150" s="28" t="str">
        <f>_xlfn.XLOOKUP(B150,'Payee Ref'!A:A,'Payee Ref'!B:B,"unassigned",0,1)</f>
        <v>Travel</v>
      </c>
      <c r="E150" s="28" t="str">
        <f>_xlfn.XLOOKUP(B150,'Payee Ref'!A:A,'Payee Ref'!C:C,"unassigned",0,1)</f>
        <v>Luxury</v>
      </c>
      <c r="F150" s="28" t="s">
        <v>2208</v>
      </c>
    </row>
    <row r="151" spans="1:6" x14ac:dyDescent="0.2">
      <c r="A151" s="63">
        <v>45914</v>
      </c>
      <c r="B151" t="s">
        <v>1202</v>
      </c>
      <c r="C151">
        <v>38.04</v>
      </c>
      <c r="D151" s="28" t="str">
        <f>_xlfn.XLOOKUP(B151,'Payee Ref'!A:A,'Payee Ref'!B:B,"unassigned",0,1)</f>
        <v/>
      </c>
      <c r="E151" s="28">
        <f>_xlfn.XLOOKUP(B151,'Payee Ref'!A:A,'Payee Ref'!C:C,"unassigned",0,1)</f>
        <v>0</v>
      </c>
      <c r="F151" s="28" t="s">
        <v>2208</v>
      </c>
    </row>
    <row r="152" spans="1:6" x14ac:dyDescent="0.2">
      <c r="A152" s="63">
        <v>45914</v>
      </c>
      <c r="B152" t="s">
        <v>1051</v>
      </c>
      <c r="C152">
        <v>9.51</v>
      </c>
      <c r="D152" s="28" t="str">
        <f>_xlfn.XLOOKUP(B152,'Payee Ref'!A:A,'Payee Ref'!B:B,"unassigned",0,1)</f>
        <v>Travel</v>
      </c>
      <c r="E152" s="28" t="str">
        <f>_xlfn.XLOOKUP(B152,'Payee Ref'!A:A,'Payee Ref'!C:C,"unassigned",0,1)</f>
        <v>Luxury</v>
      </c>
      <c r="F152" s="28" t="s">
        <v>2208</v>
      </c>
    </row>
    <row r="153" spans="1:6" x14ac:dyDescent="0.2">
      <c r="A153" s="63">
        <v>45914</v>
      </c>
      <c r="B153" t="s">
        <v>1095</v>
      </c>
      <c r="C153">
        <v>16.3</v>
      </c>
      <c r="D153" s="28" t="str">
        <f>_xlfn.XLOOKUP(B153,'Payee Ref'!A:A,'Payee Ref'!B:B,"unassigned",0,1)</f>
        <v>Travel</v>
      </c>
      <c r="E153" s="28" t="str">
        <f>_xlfn.XLOOKUP(B153,'Payee Ref'!A:A,'Payee Ref'!C:C,"unassigned",0,1)</f>
        <v>Luxury</v>
      </c>
      <c r="F153" s="28" t="s">
        <v>2208</v>
      </c>
    </row>
    <row r="154" spans="1:6" x14ac:dyDescent="0.2">
      <c r="A154" s="63">
        <v>45914</v>
      </c>
      <c r="B154" t="s">
        <v>1130</v>
      </c>
      <c r="C154">
        <v>20.38</v>
      </c>
      <c r="D154" s="28" t="str">
        <f>_xlfn.XLOOKUP(B154,'Payee Ref'!A:A,'Payee Ref'!B:B,"unassigned",0,1)</f>
        <v>Travel</v>
      </c>
      <c r="E154" s="28" t="str">
        <f>_xlfn.XLOOKUP(B154,'Payee Ref'!A:A,'Payee Ref'!C:C,"unassigned",0,1)</f>
        <v>Luxury</v>
      </c>
      <c r="F154" s="28" t="s">
        <v>2208</v>
      </c>
    </row>
    <row r="155" spans="1:6" x14ac:dyDescent="0.2">
      <c r="A155" s="63">
        <v>45914</v>
      </c>
      <c r="B155" t="s">
        <v>1140</v>
      </c>
      <c r="C155">
        <v>35</v>
      </c>
      <c r="D155" s="28" t="str">
        <f>_xlfn.XLOOKUP(B155,'Payee Ref'!A:A,'Payee Ref'!B:B,"unassigned",0,1)</f>
        <v>Travel</v>
      </c>
      <c r="E155" s="28" t="str">
        <f>_xlfn.XLOOKUP(B155,'Payee Ref'!A:A,'Payee Ref'!C:C,"unassigned",0,1)</f>
        <v>Luxury</v>
      </c>
      <c r="F155" s="28" t="s">
        <v>2208</v>
      </c>
    </row>
    <row r="156" spans="1:6" x14ac:dyDescent="0.2">
      <c r="A156" s="63">
        <v>45913</v>
      </c>
      <c r="B156" t="s">
        <v>961</v>
      </c>
      <c r="C156">
        <v>407.38</v>
      </c>
      <c r="D156" s="28" t="str">
        <f>_xlfn.XLOOKUP(B156,'Payee Ref'!A:A,'Payee Ref'!B:B,"unassigned",0,1)</f>
        <v>Travel</v>
      </c>
      <c r="E156" s="28" t="str">
        <f>_xlfn.XLOOKUP(B156,'Payee Ref'!A:A,'Payee Ref'!C:C,"unassigned",0,1)</f>
        <v>Luxury</v>
      </c>
      <c r="F156" s="28" t="s">
        <v>2208</v>
      </c>
    </row>
    <row r="157" spans="1:6" x14ac:dyDescent="0.2">
      <c r="A157" s="63">
        <v>45913</v>
      </c>
      <c r="B157" t="s">
        <v>1000</v>
      </c>
      <c r="C157">
        <v>74.72</v>
      </c>
      <c r="D157" s="28" t="str">
        <f>_xlfn.XLOOKUP(B157,'Payee Ref'!A:A,'Payee Ref'!B:B,"unassigned",0,1)</f>
        <v>Travel</v>
      </c>
      <c r="E157" s="28" t="str">
        <f>_xlfn.XLOOKUP(B157,'Payee Ref'!A:A,'Payee Ref'!C:C,"unassigned",0,1)</f>
        <v>Luxury</v>
      </c>
      <c r="F157" s="28" t="s">
        <v>2208</v>
      </c>
    </row>
    <row r="158" spans="1:6" x14ac:dyDescent="0.2">
      <c r="A158" s="63">
        <v>45913</v>
      </c>
      <c r="B158" t="s">
        <v>986</v>
      </c>
      <c r="C158">
        <v>-81</v>
      </c>
      <c r="D158" s="28" t="str">
        <f>_xlfn.XLOOKUP(B158,'Payee Ref'!A:A,'Payee Ref'!B:B,"unassigned",0,1)</f>
        <v>Travel</v>
      </c>
      <c r="E158" s="28" t="str">
        <f>_xlfn.XLOOKUP(B158,'Payee Ref'!A:A,'Payee Ref'!C:C,"unassigned",0,1)</f>
        <v>Luxury</v>
      </c>
      <c r="F158" s="28" t="s">
        <v>2208</v>
      </c>
    </row>
    <row r="159" spans="1:6" x14ac:dyDescent="0.2">
      <c r="A159" s="63">
        <v>45913</v>
      </c>
      <c r="B159" t="s">
        <v>1023</v>
      </c>
      <c r="C159">
        <v>19.260000000000002</v>
      </c>
      <c r="D159" s="28" t="str">
        <f>_xlfn.XLOOKUP(B159,'Payee Ref'!A:A,'Payee Ref'!B:B,"unassigned",0,1)</f>
        <v>Travel</v>
      </c>
      <c r="E159" s="28" t="str">
        <f>_xlfn.XLOOKUP(B159,'Payee Ref'!A:A,'Payee Ref'!C:C,"unassigned",0,1)</f>
        <v>Luxury</v>
      </c>
      <c r="F159" s="28" t="s">
        <v>2208</v>
      </c>
    </row>
    <row r="160" spans="1:6" x14ac:dyDescent="0.2">
      <c r="A160" s="63">
        <v>45913</v>
      </c>
      <c r="B160" t="s">
        <v>1028</v>
      </c>
      <c r="C160">
        <v>5.43</v>
      </c>
      <c r="D160" s="28" t="str">
        <f>_xlfn.XLOOKUP(B160,'Payee Ref'!A:A,'Payee Ref'!B:B,"unassigned",0,1)</f>
        <v>Travel</v>
      </c>
      <c r="E160" s="28" t="str">
        <f>_xlfn.XLOOKUP(B160,'Payee Ref'!A:A,'Payee Ref'!C:C,"unassigned",0,1)</f>
        <v>Luxury</v>
      </c>
      <c r="F160" s="28" t="s">
        <v>2208</v>
      </c>
    </row>
    <row r="161" spans="1:6" x14ac:dyDescent="0.2">
      <c r="A161" s="63">
        <v>45913</v>
      </c>
      <c r="B161" t="s">
        <v>1118</v>
      </c>
      <c r="C161">
        <v>71.81</v>
      </c>
      <c r="D161" s="28" t="str">
        <f>_xlfn.XLOOKUP(B161,'Payee Ref'!A:A,'Payee Ref'!B:B,"unassigned",0,1)</f>
        <v>Travel</v>
      </c>
      <c r="E161" s="28" t="str">
        <f>_xlfn.XLOOKUP(B161,'Payee Ref'!A:A,'Payee Ref'!C:C,"unassigned",0,1)</f>
        <v>Luxury</v>
      </c>
      <c r="F161" s="28" t="s">
        <v>2208</v>
      </c>
    </row>
    <row r="162" spans="1:6" x14ac:dyDescent="0.2">
      <c r="A162" s="63">
        <v>45913</v>
      </c>
      <c r="B162" t="s">
        <v>1126</v>
      </c>
      <c r="C162">
        <v>25.81</v>
      </c>
      <c r="D162" s="28" t="str">
        <f>_xlfn.XLOOKUP(B162,'Payee Ref'!A:A,'Payee Ref'!B:B,"unassigned",0,1)</f>
        <v>Travel</v>
      </c>
      <c r="E162" s="28" t="str">
        <f>_xlfn.XLOOKUP(B162,'Payee Ref'!A:A,'Payee Ref'!C:C,"unassigned",0,1)</f>
        <v>Luxury</v>
      </c>
      <c r="F162" s="28" t="s">
        <v>2208</v>
      </c>
    </row>
    <row r="163" spans="1:6" x14ac:dyDescent="0.2">
      <c r="A163" s="63">
        <v>45912</v>
      </c>
      <c r="B163" t="s">
        <v>969</v>
      </c>
      <c r="C163">
        <v>16.989999999999998</v>
      </c>
      <c r="D163" s="28" t="str">
        <f>_xlfn.XLOOKUP(B163,'Payee Ref'!A:A,'Payee Ref'!B:B,"unassigned",0,1)</f>
        <v>Travel</v>
      </c>
      <c r="E163" s="28" t="str">
        <f>_xlfn.XLOOKUP(B163,'Payee Ref'!A:A,'Payee Ref'!C:C,"unassigned",0,1)</f>
        <v>Luxury</v>
      </c>
      <c r="F163" s="28" t="s">
        <v>2208</v>
      </c>
    </row>
    <row r="164" spans="1:6" x14ac:dyDescent="0.2">
      <c r="A164" s="63">
        <v>45912</v>
      </c>
      <c r="B164" t="s">
        <v>970</v>
      </c>
      <c r="C164">
        <v>23.95</v>
      </c>
      <c r="D164" s="28" t="str">
        <f>_xlfn.XLOOKUP(B164,'Payee Ref'!A:A,'Payee Ref'!B:B,"unassigned",0,1)</f>
        <v>Travel</v>
      </c>
      <c r="E164" s="28" t="str">
        <f>_xlfn.XLOOKUP(B164,'Payee Ref'!A:A,'Payee Ref'!C:C,"unassigned",0,1)</f>
        <v>Luxury</v>
      </c>
      <c r="F164" s="28" t="s">
        <v>2208</v>
      </c>
    </row>
    <row r="165" spans="1:6" x14ac:dyDescent="0.2">
      <c r="A165" s="63">
        <v>45912</v>
      </c>
      <c r="B165" t="s">
        <v>970</v>
      </c>
      <c r="C165">
        <v>99.59</v>
      </c>
      <c r="D165" s="28" t="str">
        <f>_xlfn.XLOOKUP(B165,'Payee Ref'!A:A,'Payee Ref'!B:B,"unassigned",0,1)</f>
        <v>Travel</v>
      </c>
      <c r="E165" s="28" t="str">
        <f>_xlfn.XLOOKUP(B165,'Payee Ref'!A:A,'Payee Ref'!C:C,"unassigned",0,1)</f>
        <v>Luxury</v>
      </c>
      <c r="F165" s="28" t="s">
        <v>2208</v>
      </c>
    </row>
    <row r="166" spans="1:6" x14ac:dyDescent="0.2">
      <c r="A166" s="63">
        <v>45912</v>
      </c>
      <c r="B166" t="s">
        <v>975</v>
      </c>
      <c r="C166">
        <v>128.86000000000001</v>
      </c>
      <c r="D166" s="28" t="str">
        <f>_xlfn.XLOOKUP(B166,'Payee Ref'!A:A,'Payee Ref'!B:B,"unassigned",0,1)</f>
        <v>Travel</v>
      </c>
      <c r="E166" s="28" t="str">
        <f>_xlfn.XLOOKUP(B166,'Payee Ref'!A:A,'Payee Ref'!C:C,"unassigned",0,1)</f>
        <v>Luxury</v>
      </c>
      <c r="F166" s="28" t="s">
        <v>2208</v>
      </c>
    </row>
    <row r="167" spans="1:6" x14ac:dyDescent="0.2">
      <c r="A167" s="63">
        <v>45912</v>
      </c>
      <c r="B167" t="s">
        <v>986</v>
      </c>
      <c r="C167">
        <v>81</v>
      </c>
      <c r="D167" s="28" t="str">
        <f>_xlfn.XLOOKUP(B167,'Payee Ref'!A:A,'Payee Ref'!B:B,"unassigned",0,1)</f>
        <v>Travel</v>
      </c>
      <c r="E167" s="28" t="str">
        <f>_xlfn.XLOOKUP(B167,'Payee Ref'!A:A,'Payee Ref'!C:C,"unassigned",0,1)</f>
        <v>Luxury</v>
      </c>
      <c r="F167" s="28" t="s">
        <v>2208</v>
      </c>
    </row>
    <row r="168" spans="1:6" x14ac:dyDescent="0.2">
      <c r="A168" s="63">
        <v>45912</v>
      </c>
      <c r="B168" t="s">
        <v>987</v>
      </c>
      <c r="C168">
        <v>25.76</v>
      </c>
      <c r="D168" s="28" t="str">
        <f>_xlfn.XLOOKUP(B168,'Payee Ref'!A:A,'Payee Ref'!B:B,"unassigned",0,1)</f>
        <v>Travel</v>
      </c>
      <c r="E168" s="28" t="str">
        <f>_xlfn.XLOOKUP(B168,'Payee Ref'!A:A,'Payee Ref'!C:C,"unassigned",0,1)</f>
        <v>Luxury</v>
      </c>
      <c r="F168" s="28" t="s">
        <v>2208</v>
      </c>
    </row>
    <row r="169" spans="1:6" x14ac:dyDescent="0.2">
      <c r="A169" s="63">
        <v>45912</v>
      </c>
      <c r="B169" t="s">
        <v>987</v>
      </c>
      <c r="C169">
        <v>64.72</v>
      </c>
      <c r="D169" s="28" t="str">
        <f>_xlfn.XLOOKUP(B169,'Payee Ref'!A:A,'Payee Ref'!B:B,"unassigned",0,1)</f>
        <v>Travel</v>
      </c>
      <c r="E169" s="28" t="str">
        <f>_xlfn.XLOOKUP(B169,'Payee Ref'!A:A,'Payee Ref'!C:C,"unassigned",0,1)</f>
        <v>Luxury</v>
      </c>
      <c r="F169" s="28" t="s">
        <v>2208</v>
      </c>
    </row>
    <row r="170" spans="1:6" x14ac:dyDescent="0.2">
      <c r="A170" s="63">
        <v>45912</v>
      </c>
      <c r="B170" t="s">
        <v>989</v>
      </c>
      <c r="C170">
        <v>102.29</v>
      </c>
      <c r="D170" s="28" t="str">
        <f>_xlfn.XLOOKUP(B170,'Payee Ref'!A:A,'Payee Ref'!B:B,"unassigned",0,1)</f>
        <v>Travel</v>
      </c>
      <c r="E170" s="28" t="str">
        <f>_xlfn.XLOOKUP(B170,'Payee Ref'!A:A,'Payee Ref'!C:C,"unassigned",0,1)</f>
        <v>Luxury</v>
      </c>
      <c r="F170" s="28" t="s">
        <v>2208</v>
      </c>
    </row>
    <row r="171" spans="1:6" x14ac:dyDescent="0.2">
      <c r="A171" s="63">
        <v>45912</v>
      </c>
      <c r="B171" t="s">
        <v>206</v>
      </c>
      <c r="C171">
        <v>37.46</v>
      </c>
      <c r="D171" s="28" t="str">
        <f>_xlfn.XLOOKUP(B171,'Payee Ref'!A:A,'Payee Ref'!B:B,"unassigned",0,1)</f>
        <v>Travel</v>
      </c>
      <c r="E171" s="28" t="str">
        <f>_xlfn.XLOOKUP(B171,'Payee Ref'!A:A,'Payee Ref'!C:C,"unassigned",0,1)</f>
        <v>Luxury</v>
      </c>
      <c r="F171" s="28" t="s">
        <v>2208</v>
      </c>
    </row>
    <row r="172" spans="1:6" x14ac:dyDescent="0.2">
      <c r="A172" s="63">
        <v>45912</v>
      </c>
      <c r="B172" t="s">
        <v>1066</v>
      </c>
      <c r="C172">
        <v>133.07</v>
      </c>
      <c r="D172" s="28" t="str">
        <f>_xlfn.XLOOKUP(B172,'Payee Ref'!A:A,'Payee Ref'!B:B,"unassigned",0,1)</f>
        <v>Travel</v>
      </c>
      <c r="E172" s="28" t="str">
        <f>_xlfn.XLOOKUP(B172,'Payee Ref'!A:A,'Payee Ref'!C:C,"unassigned",0,1)</f>
        <v>Luxury</v>
      </c>
      <c r="F172" s="28" t="s">
        <v>2208</v>
      </c>
    </row>
    <row r="173" spans="1:6" x14ac:dyDescent="0.2">
      <c r="A173" s="63">
        <v>45912</v>
      </c>
      <c r="B173" t="s">
        <v>250</v>
      </c>
      <c r="C173">
        <v>271.01</v>
      </c>
      <c r="D173" s="28" t="str">
        <f>_xlfn.XLOOKUP(B173,'Payee Ref'!A:A,'Payee Ref'!B:B,"unassigned",0,1)</f>
        <v>Dining</v>
      </c>
      <c r="E173" s="28" t="str">
        <f>_xlfn.XLOOKUP(B173,'Payee Ref'!A:A,'Payee Ref'!C:C,"unassigned",0,1)</f>
        <v>Luxury</v>
      </c>
      <c r="F173" s="28" t="s">
        <v>2208</v>
      </c>
    </row>
    <row r="174" spans="1:6" x14ac:dyDescent="0.2">
      <c r="A174" s="63">
        <v>45912</v>
      </c>
      <c r="B174" t="s">
        <v>722</v>
      </c>
      <c r="C174">
        <v>174.86</v>
      </c>
      <c r="D174" s="28" t="str">
        <f>_xlfn.XLOOKUP(B174,'Payee Ref'!A:A,'Payee Ref'!B:B,"unassigned",0,1)</f>
        <v>Home &amp; Garden</v>
      </c>
      <c r="E174" s="28" t="str">
        <f>_xlfn.XLOOKUP(B174,'Payee Ref'!A:A,'Payee Ref'!C:C,"unassigned",0,1)</f>
        <v>Basic</v>
      </c>
      <c r="F174" s="28" t="s">
        <v>2208</v>
      </c>
    </row>
    <row r="175" spans="1:6" x14ac:dyDescent="0.2">
      <c r="A175" s="63">
        <v>45912</v>
      </c>
      <c r="B175" t="s">
        <v>487</v>
      </c>
      <c r="C175">
        <v>34080.78</v>
      </c>
      <c r="D175" s="28" t="str">
        <f>_xlfn.XLOOKUP(B175,'Payee Ref'!A:A,'Payee Ref'!B:B,"unassigned",0,1)</f>
        <v>Enrichment</v>
      </c>
      <c r="E175" s="28" t="str">
        <f>_xlfn.XLOOKUP(B175,'Payee Ref'!A:A,'Payee Ref'!C:C,"unassigned",0,1)</f>
        <v>basic</v>
      </c>
      <c r="F175" s="28" t="s">
        <v>2208</v>
      </c>
    </row>
    <row r="176" spans="1:6" x14ac:dyDescent="0.2">
      <c r="A176" s="63">
        <v>45911</v>
      </c>
      <c r="B176" t="s">
        <v>985</v>
      </c>
      <c r="C176">
        <v>60.74</v>
      </c>
      <c r="D176" s="28" t="str">
        <f>_xlfn.XLOOKUP(B176,'Payee Ref'!A:A,'Payee Ref'!B:B,"unassigned",0,1)</f>
        <v>Travel</v>
      </c>
      <c r="E176" s="28" t="str">
        <f>_xlfn.XLOOKUP(B176,'Payee Ref'!A:A,'Payee Ref'!C:C,"unassigned",0,1)</f>
        <v>Luxury</v>
      </c>
      <c r="F176" s="28" t="s">
        <v>2208</v>
      </c>
    </row>
    <row r="177" spans="1:6" x14ac:dyDescent="0.2">
      <c r="A177" s="63">
        <v>45910</v>
      </c>
      <c r="B177" t="s">
        <v>23</v>
      </c>
      <c r="C177">
        <v>54.77</v>
      </c>
      <c r="D177" s="28" t="str">
        <f>_xlfn.XLOOKUP(B177,'Payee Ref'!A:A,'Payee Ref'!B:B,"unassigned",0,1)</f>
        <v>Auto</v>
      </c>
      <c r="E177" s="28" t="str">
        <f>_xlfn.XLOOKUP(B177,'Payee Ref'!A:A,'Payee Ref'!C:C,"unassigned",0,1)</f>
        <v>Basic</v>
      </c>
      <c r="F177" s="28" t="s">
        <v>2208</v>
      </c>
    </row>
    <row r="178" spans="1:6" x14ac:dyDescent="0.2">
      <c r="A178" s="63">
        <v>45910</v>
      </c>
      <c r="B178" t="s">
        <v>200</v>
      </c>
      <c r="C178">
        <v>3.88</v>
      </c>
      <c r="D178" s="28" t="str">
        <f>_xlfn.XLOOKUP(B178,'Payee Ref'!A:A,'Payee Ref'!B:B,"unassigned",0,1)</f>
        <v>Travel</v>
      </c>
      <c r="E178" s="28" t="str">
        <f>_xlfn.XLOOKUP(B178,'Payee Ref'!A:A,'Payee Ref'!C:C,"unassigned",0,1)</f>
        <v>Luxury</v>
      </c>
      <c r="F178" s="28" t="s">
        <v>2208</v>
      </c>
    </row>
    <row r="179" spans="1:6" x14ac:dyDescent="0.2">
      <c r="A179" s="63">
        <v>45910</v>
      </c>
      <c r="B179" t="s">
        <v>511</v>
      </c>
      <c r="C179">
        <v>125</v>
      </c>
      <c r="D179" s="28" t="str">
        <f>_xlfn.XLOOKUP(B179,'Payee Ref'!A:A,'Payee Ref'!B:B,"unassigned",0,1)</f>
        <v>Gifts</v>
      </c>
      <c r="E179" s="28" t="str">
        <f>_xlfn.XLOOKUP(B179,'Payee Ref'!A:A,'Payee Ref'!C:C,"unassigned",0,1)</f>
        <v>Luxury</v>
      </c>
      <c r="F179" s="28" t="s">
        <v>2208</v>
      </c>
    </row>
    <row r="180" spans="1:6" x14ac:dyDescent="0.2">
      <c r="A180" s="63">
        <v>45909</v>
      </c>
      <c r="B180" t="s">
        <v>941</v>
      </c>
      <c r="C180">
        <v>-209</v>
      </c>
      <c r="D180" s="28" t="str">
        <f>_xlfn.XLOOKUP(B180,'Payee Ref'!A:A,'Payee Ref'!B:B,"unassigned",0,1)</f>
        <v>Transfer</v>
      </c>
      <c r="E180" s="28" t="str">
        <f>_xlfn.XLOOKUP(B180,'Payee Ref'!A:A,'Payee Ref'!C:C,"unassigned",0,1)</f>
        <v>Basic</v>
      </c>
      <c r="F180" s="28" t="s">
        <v>2208</v>
      </c>
    </row>
    <row r="181" spans="1:6" x14ac:dyDescent="0.2">
      <c r="A181" s="63">
        <v>45909</v>
      </c>
      <c r="B181" t="s">
        <v>1022</v>
      </c>
      <c r="C181">
        <v>209</v>
      </c>
      <c r="D181" s="28" t="str">
        <f>_xlfn.XLOOKUP(B181,'Payee Ref'!A:A,'Payee Ref'!B:B,"unassigned",0,1)</f>
        <v>Travel</v>
      </c>
      <c r="E181" s="28" t="str">
        <f>_xlfn.XLOOKUP(B181,'Payee Ref'!A:A,'Payee Ref'!C:C,"unassigned",0,1)</f>
        <v>Luxury</v>
      </c>
      <c r="F181" s="28" t="s">
        <v>2208</v>
      </c>
    </row>
    <row r="182" spans="1:6" x14ac:dyDescent="0.2">
      <c r="A182" s="63">
        <v>45909</v>
      </c>
      <c r="B182" t="s">
        <v>860</v>
      </c>
      <c r="C182">
        <v>105.35</v>
      </c>
      <c r="D182" s="28" t="str">
        <f>_xlfn.XLOOKUP(B182,'Payee Ref'!A:A,'Payee Ref'!B:B,"unassigned",0,1)</f>
        <v>Travel</v>
      </c>
      <c r="E182" s="28" t="str">
        <f>_xlfn.XLOOKUP(B182,'Payee Ref'!A:A,'Payee Ref'!C:C,"unassigned",0,1)</f>
        <v>Luxury</v>
      </c>
      <c r="F182" s="28" t="s">
        <v>2208</v>
      </c>
    </row>
    <row r="183" spans="1:6" x14ac:dyDescent="0.2">
      <c r="A183" s="63">
        <v>45909</v>
      </c>
      <c r="B183" t="s">
        <v>722</v>
      </c>
      <c r="C183">
        <v>131.36000000000001</v>
      </c>
      <c r="D183" s="28" t="str">
        <f>_xlfn.XLOOKUP(B183,'Payee Ref'!A:A,'Payee Ref'!B:B,"unassigned",0,1)</f>
        <v>Home &amp; Garden</v>
      </c>
      <c r="E183" s="28" t="str">
        <f>_xlfn.XLOOKUP(B183,'Payee Ref'!A:A,'Payee Ref'!C:C,"unassigned",0,1)</f>
        <v>Basic</v>
      </c>
      <c r="F183" s="28" t="s">
        <v>2208</v>
      </c>
    </row>
    <row r="184" spans="1:6" x14ac:dyDescent="0.2">
      <c r="A184" s="63">
        <v>45909</v>
      </c>
      <c r="B184" t="s">
        <v>879</v>
      </c>
      <c r="C184">
        <v>220.7</v>
      </c>
      <c r="D184" s="28" t="str">
        <f>_xlfn.XLOOKUP(B184,'Payee Ref'!A:A,'Payee Ref'!B:B,"unassigned",0,1)</f>
        <v>Professional</v>
      </c>
      <c r="E184" s="28" t="str">
        <f>_xlfn.XLOOKUP(B184,'Payee Ref'!A:A,'Payee Ref'!C:C,"unassigned",0,1)</f>
        <v>Luxury</v>
      </c>
      <c r="F184" s="28" t="s">
        <v>2208</v>
      </c>
    </row>
    <row r="185" spans="1:6" x14ac:dyDescent="0.2">
      <c r="A185" s="63">
        <v>45909</v>
      </c>
      <c r="B185" t="s">
        <v>801</v>
      </c>
      <c r="C185">
        <v>125</v>
      </c>
      <c r="D185" s="28" t="str">
        <f>_xlfn.XLOOKUP(B185,'Payee Ref'!A:A,'Payee Ref'!B:B,"unassigned",0,1)</f>
        <v>Membership</v>
      </c>
      <c r="E185" s="28" t="str">
        <f>_xlfn.XLOOKUP(B185,'Payee Ref'!A:A,'Payee Ref'!C:C,"unassigned",0,1)</f>
        <v>Luxury</v>
      </c>
      <c r="F185" s="28" t="s">
        <v>2208</v>
      </c>
    </row>
    <row r="186" spans="1:6" x14ac:dyDescent="0.2">
      <c r="A186" s="63">
        <v>45908</v>
      </c>
      <c r="B186" t="s">
        <v>706</v>
      </c>
      <c r="C186">
        <v>170.81</v>
      </c>
      <c r="D186" s="28" t="str">
        <f>_xlfn.XLOOKUP(B186,'Payee Ref'!A:A,'Payee Ref'!B:B,"unassigned",0,1)</f>
        <v>Travel</v>
      </c>
      <c r="E186" s="28" t="str">
        <f>_xlfn.XLOOKUP(B186,'Payee Ref'!A:A,'Payee Ref'!C:C,"unassigned",0,1)</f>
        <v>Luxury</v>
      </c>
      <c r="F186" s="28" t="s">
        <v>2208</v>
      </c>
    </row>
    <row r="187" spans="1:6" x14ac:dyDescent="0.2">
      <c r="A187" s="63">
        <v>45908</v>
      </c>
      <c r="B187" t="s">
        <v>333</v>
      </c>
      <c r="C187">
        <v>36.729999999999997</v>
      </c>
      <c r="D187" s="28" t="str">
        <f>_xlfn.XLOOKUP(B187,'Payee Ref'!A:A,'Payee Ref'!B:B,"unassigned",0,1)</f>
        <v>Dining</v>
      </c>
      <c r="E187" s="28" t="str">
        <f>_xlfn.XLOOKUP(B187,'Payee Ref'!A:A,'Payee Ref'!C:C,"unassigned",0,1)</f>
        <v>Luxury</v>
      </c>
      <c r="F187" s="28" t="s">
        <v>2208</v>
      </c>
    </row>
    <row r="188" spans="1:6" x14ac:dyDescent="0.2">
      <c r="A188" s="63">
        <v>45908</v>
      </c>
      <c r="B188" t="s">
        <v>751</v>
      </c>
      <c r="C188">
        <v>80.47</v>
      </c>
      <c r="D188" s="28" t="str">
        <f>_xlfn.XLOOKUP(B188,'Payee Ref'!A:A,'Payee Ref'!B:B,"unassigned",0,1)</f>
        <v>Home &amp; Garden</v>
      </c>
      <c r="E188" s="28" t="str">
        <f>_xlfn.XLOOKUP(B188,'Payee Ref'!A:A,'Payee Ref'!C:C,"unassigned",0,1)</f>
        <v>basic</v>
      </c>
      <c r="F188" s="28" t="s">
        <v>2208</v>
      </c>
    </row>
    <row r="189" spans="1:6" x14ac:dyDescent="0.2">
      <c r="A189" s="63">
        <v>45908</v>
      </c>
      <c r="B189" t="s">
        <v>428</v>
      </c>
      <c r="C189">
        <v>64.739999999999995</v>
      </c>
      <c r="D189" s="28" t="str">
        <f>_xlfn.XLOOKUP(B189,'Payee Ref'!A:A,'Payee Ref'!B:B,"unassigned",0,1)</f>
        <v>Dining</v>
      </c>
      <c r="E189" s="28" t="str">
        <f>_xlfn.XLOOKUP(B189,'Payee Ref'!A:A,'Payee Ref'!C:C,"unassigned",0,1)</f>
        <v>Luxury</v>
      </c>
      <c r="F189" s="28" t="s">
        <v>2208</v>
      </c>
    </row>
    <row r="190" spans="1:6" x14ac:dyDescent="0.2">
      <c r="A190" s="63">
        <v>45907</v>
      </c>
      <c r="B190" t="s">
        <v>1212</v>
      </c>
      <c r="C190">
        <v>461.72</v>
      </c>
      <c r="D190" s="28" t="str">
        <f>_xlfn.XLOOKUP(B190,'Payee Ref'!A:A,'Payee Ref'!B:B,"unassigned",0,1)</f>
        <v/>
      </c>
      <c r="E190" s="28">
        <f>_xlfn.XLOOKUP(B190,'Payee Ref'!A:A,'Payee Ref'!C:C,"unassigned",0,1)</f>
        <v>0</v>
      </c>
      <c r="F190" s="28" t="s">
        <v>2208</v>
      </c>
    </row>
    <row r="191" spans="1:6" x14ac:dyDescent="0.2">
      <c r="A191" s="63">
        <v>45907</v>
      </c>
      <c r="B191" t="s">
        <v>758</v>
      </c>
      <c r="C191">
        <v>14.42</v>
      </c>
      <c r="D191" s="28" t="str">
        <f>_xlfn.XLOOKUP(B191,'Payee Ref'!A:A,'Payee Ref'!B:B,"unassigned",0,1)</f>
        <v>Home &amp; Garden</v>
      </c>
      <c r="E191" s="28" t="str">
        <f>_xlfn.XLOOKUP(B191,'Payee Ref'!A:A,'Payee Ref'!C:C,"unassigned",0,1)</f>
        <v>basic</v>
      </c>
      <c r="F191" s="28" t="s">
        <v>2208</v>
      </c>
    </row>
    <row r="192" spans="1:6" x14ac:dyDescent="0.2">
      <c r="A192" s="63">
        <v>45906</v>
      </c>
      <c r="B192" t="s">
        <v>687</v>
      </c>
      <c r="C192">
        <v>6.09</v>
      </c>
      <c r="D192" s="28" t="str">
        <f>_xlfn.XLOOKUP(B192,'Payee Ref'!A:A,'Payee Ref'!B:B,"unassigned",0,1)</f>
        <v>Home &amp; Garden</v>
      </c>
      <c r="E192" s="28" t="str">
        <f>_xlfn.XLOOKUP(B192,'Payee Ref'!A:A,'Payee Ref'!C:C,"unassigned",0,1)</f>
        <v>Basic</v>
      </c>
      <c r="F192" s="28" t="s">
        <v>2208</v>
      </c>
    </row>
    <row r="193" spans="1:6" x14ac:dyDescent="0.2">
      <c r="A193" s="63">
        <v>45905</v>
      </c>
      <c r="B193" t="s">
        <v>1203</v>
      </c>
      <c r="C193">
        <v>38.630000000000003</v>
      </c>
      <c r="D193" s="28" t="str">
        <f>_xlfn.XLOOKUP(B193,'Payee Ref'!A:A,'Payee Ref'!B:B,"unassigned",0,1)</f>
        <v>Hardware Technology</v>
      </c>
      <c r="E193" s="28" t="str">
        <f>_xlfn.XLOOKUP(B193,'Payee Ref'!A:A,'Payee Ref'!C:C,"unassigned",0,1)</f>
        <v>Basic</v>
      </c>
      <c r="F193" s="28" t="s">
        <v>2208</v>
      </c>
    </row>
    <row r="194" spans="1:6" x14ac:dyDescent="0.2">
      <c r="A194" s="63">
        <v>45905</v>
      </c>
      <c r="B194" t="s">
        <v>876</v>
      </c>
      <c r="C194">
        <v>66.2</v>
      </c>
      <c r="D194" s="28" t="str">
        <f>_xlfn.XLOOKUP(B194,'Payee Ref'!A:A,'Payee Ref'!B:B,"unassigned",0,1)</f>
        <v>Professional</v>
      </c>
      <c r="E194" s="28" t="str">
        <f>_xlfn.XLOOKUP(B194,'Payee Ref'!A:A,'Payee Ref'!C:C,"unassigned",0,1)</f>
        <v>Luxury</v>
      </c>
      <c r="F194" s="28" t="s">
        <v>2208</v>
      </c>
    </row>
    <row r="195" spans="1:6" x14ac:dyDescent="0.2">
      <c r="A195" s="63">
        <v>45904</v>
      </c>
      <c r="B195" t="s">
        <v>860</v>
      </c>
      <c r="C195">
        <v>52.85</v>
      </c>
      <c r="D195" s="28" t="str">
        <f>_xlfn.XLOOKUP(B195,'Payee Ref'!A:A,'Payee Ref'!B:B,"unassigned",0,1)</f>
        <v>Travel</v>
      </c>
      <c r="E195" s="28" t="str">
        <f>_xlfn.XLOOKUP(B195,'Payee Ref'!A:A,'Payee Ref'!C:C,"unassigned",0,1)</f>
        <v>Luxury</v>
      </c>
      <c r="F195" s="28" t="s">
        <v>2208</v>
      </c>
    </row>
    <row r="196" spans="1:6" x14ac:dyDescent="0.2">
      <c r="A196" s="63">
        <v>45903</v>
      </c>
      <c r="B196" t="s">
        <v>27</v>
      </c>
      <c r="C196">
        <v>117.02</v>
      </c>
      <c r="D196" s="28" t="str">
        <f>_xlfn.XLOOKUP(B196,'Payee Ref'!A:A,'Payee Ref'!B:B,"unassigned",0,1)</f>
        <v>Travel</v>
      </c>
      <c r="E196" s="28" t="str">
        <f>_xlfn.XLOOKUP(B196,'Payee Ref'!A:A,'Payee Ref'!C:C,"unassigned",0,1)</f>
        <v>Luxury</v>
      </c>
      <c r="F196" s="28" t="s">
        <v>2208</v>
      </c>
    </row>
    <row r="197" spans="1:6" x14ac:dyDescent="0.2">
      <c r="A197" s="63">
        <v>45902</v>
      </c>
      <c r="B197" t="s">
        <v>931</v>
      </c>
      <c r="C197">
        <v>3.3</v>
      </c>
      <c r="D197" s="28" t="str">
        <f>_xlfn.XLOOKUP(B197,'Payee Ref'!A:A,'Payee Ref'!B:B,"unassigned",0,1)</f>
        <v>Subscriptions / Digital</v>
      </c>
      <c r="E197" s="28" t="str">
        <f>_xlfn.XLOOKUP(B197,'Payee Ref'!A:A,'Payee Ref'!C:C,"unassigned",0,1)</f>
        <v>Basic</v>
      </c>
      <c r="F197" s="28" t="s">
        <v>2208</v>
      </c>
    </row>
    <row r="198" spans="1:6" x14ac:dyDescent="0.2">
      <c r="A198" s="63">
        <v>45899</v>
      </c>
      <c r="B198" t="s">
        <v>135</v>
      </c>
      <c r="C198">
        <v>-157.5</v>
      </c>
      <c r="D198" s="28" t="str">
        <f>_xlfn.XLOOKUP(B198,'Payee Ref'!A:A,'Payee Ref'!B:B,"unassigned",0,1)</f>
        <v>Clothing</v>
      </c>
      <c r="E198" s="28" t="str">
        <f>_xlfn.XLOOKUP(B198,'Payee Ref'!A:A,'Payee Ref'!C:C,"unassigned",0,1)</f>
        <v>Luxury</v>
      </c>
      <c r="F198" s="28" t="s">
        <v>2208</v>
      </c>
    </row>
    <row r="199" spans="1:6" x14ac:dyDescent="0.2">
      <c r="A199" s="63">
        <v>45899</v>
      </c>
      <c r="B199" t="s">
        <v>151</v>
      </c>
      <c r="C199">
        <v>190.93</v>
      </c>
      <c r="D199" s="28" t="str">
        <f>_xlfn.XLOOKUP(B199,'Payee Ref'!A:A,'Payee Ref'!B:B,"unassigned",0,1)</f>
        <v>Clothing</v>
      </c>
      <c r="E199" s="28" t="str">
        <f>_xlfn.XLOOKUP(B199,'Payee Ref'!A:A,'Payee Ref'!C:C,"unassigned",0,1)</f>
        <v>Luxury</v>
      </c>
      <c r="F199" s="28" t="s">
        <v>2208</v>
      </c>
    </row>
    <row r="200" spans="1:6" x14ac:dyDescent="0.2">
      <c r="A200" s="63">
        <v>45898</v>
      </c>
      <c r="B200" t="s">
        <v>860</v>
      </c>
      <c r="C200">
        <v>105.35</v>
      </c>
      <c r="D200" s="28" t="str">
        <f>_xlfn.XLOOKUP(B200,'Payee Ref'!A:A,'Payee Ref'!B:B,"unassigned",0,1)</f>
        <v>Travel</v>
      </c>
      <c r="E200" s="28" t="str">
        <f>_xlfn.XLOOKUP(B200,'Payee Ref'!A:A,'Payee Ref'!C:C,"unassigned",0,1)</f>
        <v>Luxury</v>
      </c>
      <c r="F200" s="28" t="s">
        <v>2208</v>
      </c>
    </row>
    <row r="201" spans="1:6" x14ac:dyDescent="0.2">
      <c r="A201" s="63">
        <v>45898</v>
      </c>
      <c r="B201" t="s">
        <v>878</v>
      </c>
      <c r="C201">
        <v>110.35</v>
      </c>
      <c r="D201" s="28" t="str">
        <f>_xlfn.XLOOKUP(B201,'Payee Ref'!A:A,'Payee Ref'!B:B,"unassigned",0,1)</f>
        <v>Professional</v>
      </c>
      <c r="E201" s="28" t="str">
        <f>_xlfn.XLOOKUP(B201,'Payee Ref'!A:A,'Payee Ref'!C:C,"unassigned",0,1)</f>
        <v>Luxury</v>
      </c>
      <c r="F201" s="28" t="s">
        <v>2208</v>
      </c>
    </row>
    <row r="202" spans="1:6" x14ac:dyDescent="0.2">
      <c r="A202" s="63">
        <v>45897</v>
      </c>
      <c r="B202" t="s">
        <v>435</v>
      </c>
      <c r="C202">
        <v>31.91</v>
      </c>
      <c r="D202" s="28" t="str">
        <f>_xlfn.XLOOKUP(B202,'Payee Ref'!A:A,'Payee Ref'!B:B,"unassigned",0,1)</f>
        <v>Dining</v>
      </c>
      <c r="E202" s="28" t="str">
        <f>_xlfn.XLOOKUP(B202,'Payee Ref'!A:A,'Payee Ref'!C:C,"unassigned",0,1)</f>
        <v>Luxury</v>
      </c>
      <c r="F202" s="28" t="s">
        <v>2208</v>
      </c>
    </row>
    <row r="203" spans="1:6" x14ac:dyDescent="0.2">
      <c r="A203" s="63">
        <v>45894</v>
      </c>
      <c r="B203" t="s">
        <v>860</v>
      </c>
      <c r="C203">
        <v>52.85</v>
      </c>
      <c r="D203" s="28" t="str">
        <f>_xlfn.XLOOKUP(B203,'Payee Ref'!A:A,'Payee Ref'!B:B,"unassigned",0,1)</f>
        <v>Travel</v>
      </c>
      <c r="E203" s="28" t="str">
        <f>_xlfn.XLOOKUP(B203,'Payee Ref'!A:A,'Payee Ref'!C:C,"unassigned",0,1)</f>
        <v>Luxury</v>
      </c>
      <c r="F203" s="28" t="s">
        <v>2208</v>
      </c>
    </row>
    <row r="204" spans="1:6" x14ac:dyDescent="0.2">
      <c r="A204" s="63">
        <v>45893</v>
      </c>
      <c r="B204" t="s">
        <v>860</v>
      </c>
      <c r="C204">
        <v>21.35</v>
      </c>
      <c r="D204" s="28" t="str">
        <f>_xlfn.XLOOKUP(B204,'Payee Ref'!A:A,'Payee Ref'!B:B,"unassigned",0,1)</f>
        <v>Travel</v>
      </c>
      <c r="E204" s="28" t="str">
        <f>_xlfn.XLOOKUP(B204,'Payee Ref'!A:A,'Payee Ref'!C:C,"unassigned",0,1)</f>
        <v>Luxury</v>
      </c>
      <c r="F204" s="28" t="s">
        <v>2208</v>
      </c>
    </row>
    <row r="205" spans="1:6" x14ac:dyDescent="0.2">
      <c r="A205" s="63">
        <v>45892</v>
      </c>
      <c r="B205" t="s">
        <v>861</v>
      </c>
      <c r="C205">
        <v>22.07</v>
      </c>
      <c r="D205" s="28" t="str">
        <f>_xlfn.XLOOKUP(B205,'Payee Ref'!A:A,'Payee Ref'!B:B,"unassigned",0,1)</f>
        <v>Travel</v>
      </c>
      <c r="E205" s="28" t="str">
        <f>_xlfn.XLOOKUP(B205,'Payee Ref'!A:A,'Payee Ref'!C:C,"unassigned",0,1)</f>
        <v>Luxury</v>
      </c>
      <c r="F205" s="28" t="s">
        <v>2208</v>
      </c>
    </row>
    <row r="206" spans="1:6" x14ac:dyDescent="0.2">
      <c r="A206" s="63">
        <v>45892</v>
      </c>
      <c r="B206" t="s">
        <v>81</v>
      </c>
      <c r="C206">
        <v>207.68</v>
      </c>
      <c r="D206" s="28" t="str">
        <f>_xlfn.XLOOKUP(B206,'Payee Ref'!A:A,'Payee Ref'!B:B,"unassigned",0,1)</f>
        <v>Boat</v>
      </c>
      <c r="E206" s="28" t="str">
        <f>_xlfn.XLOOKUP(B206,'Payee Ref'!A:A,'Payee Ref'!C:C,"unassigned",0,1)</f>
        <v>Luxury</v>
      </c>
      <c r="F206" s="28" t="s">
        <v>2208</v>
      </c>
    </row>
    <row r="207" spans="1:6" x14ac:dyDescent="0.2">
      <c r="A207" s="63">
        <v>45890</v>
      </c>
      <c r="B207" t="s">
        <v>860</v>
      </c>
      <c r="C207">
        <v>21.35</v>
      </c>
      <c r="D207" s="28" t="str">
        <f>_xlfn.XLOOKUP(B207,'Payee Ref'!A:A,'Payee Ref'!B:B,"unassigned",0,1)</f>
        <v>Travel</v>
      </c>
      <c r="E207" s="28" t="str">
        <f>_xlfn.XLOOKUP(B207,'Payee Ref'!A:A,'Payee Ref'!C:C,"unassigned",0,1)</f>
        <v>Luxury</v>
      </c>
      <c r="F207" s="28" t="s">
        <v>2208</v>
      </c>
    </row>
    <row r="208" spans="1:6" x14ac:dyDescent="0.2">
      <c r="A208" s="63">
        <v>45890</v>
      </c>
      <c r="B208" t="s">
        <v>946</v>
      </c>
      <c r="C208">
        <v>-3064.34</v>
      </c>
      <c r="D208" s="28" t="str">
        <f>_xlfn.XLOOKUP(B208,'Payee Ref'!A:A,'Payee Ref'!B:B,"unassigned",0,1)</f>
        <v>Transfer</v>
      </c>
      <c r="E208" s="28" t="str">
        <f>_xlfn.XLOOKUP(B208,'Payee Ref'!A:A,'Payee Ref'!C:C,"unassigned",0,1)</f>
        <v>Basic</v>
      </c>
      <c r="F208" s="28" t="s">
        <v>2208</v>
      </c>
    </row>
    <row r="209" spans="1:6" x14ac:dyDescent="0.2">
      <c r="A209" s="63">
        <v>45890</v>
      </c>
      <c r="B209" t="s">
        <v>946</v>
      </c>
      <c r="C209">
        <v>-1715.56</v>
      </c>
      <c r="D209" s="28" t="str">
        <f>_xlfn.XLOOKUP(B209,'Payee Ref'!A:A,'Payee Ref'!B:B,"unassigned",0,1)</f>
        <v>Transfer</v>
      </c>
      <c r="E209" s="28" t="str">
        <f>_xlfn.XLOOKUP(B209,'Payee Ref'!A:A,'Payee Ref'!C:C,"unassigned",0,1)</f>
        <v>Basic</v>
      </c>
      <c r="F209" s="28" t="s">
        <v>2208</v>
      </c>
    </row>
    <row r="210" spans="1:6" x14ac:dyDescent="0.2">
      <c r="A210" s="63">
        <v>45888</v>
      </c>
      <c r="B210" t="s">
        <v>857</v>
      </c>
      <c r="C210">
        <v>27.59</v>
      </c>
      <c r="D210" s="28" t="str">
        <f>_xlfn.XLOOKUP(B210,'Payee Ref'!A:A,'Payee Ref'!B:B,"unassigned",0,1)</f>
        <v>Professional</v>
      </c>
      <c r="E210" s="28" t="str">
        <f>_xlfn.XLOOKUP(B210,'Payee Ref'!A:A,'Payee Ref'!C:C,"unassigned",0,1)</f>
        <v>Luxury</v>
      </c>
      <c r="F210" s="28" t="s">
        <v>2208</v>
      </c>
    </row>
    <row r="211" spans="1:6" x14ac:dyDescent="0.2">
      <c r="A211" s="63">
        <v>45886</v>
      </c>
      <c r="B211" t="s">
        <v>225</v>
      </c>
      <c r="C211">
        <v>19.7</v>
      </c>
      <c r="D211" s="28" t="str">
        <f>_xlfn.XLOOKUP(B211,'Payee Ref'!A:A,'Payee Ref'!B:B,"unassigned",0,1)</f>
        <v>Travel</v>
      </c>
      <c r="E211" s="28" t="str">
        <f>_xlfn.XLOOKUP(B211,'Payee Ref'!A:A,'Payee Ref'!C:C,"unassigned",0,1)</f>
        <v>Luxury</v>
      </c>
      <c r="F211" s="28" t="s">
        <v>2208</v>
      </c>
    </row>
    <row r="212" spans="1:6" x14ac:dyDescent="0.2">
      <c r="A212" s="63">
        <v>45886</v>
      </c>
      <c r="B212" t="s">
        <v>557</v>
      </c>
      <c r="C212">
        <v>80.709999999999994</v>
      </c>
      <c r="D212" s="28" t="str">
        <f>_xlfn.XLOOKUP(B212,'Payee Ref'!A:A,'Payee Ref'!B:B,"unassigned",0,1)</f>
        <v>Groceries</v>
      </c>
      <c r="E212" s="28" t="str">
        <f>_xlfn.XLOOKUP(B212,'Payee Ref'!A:A,'Payee Ref'!C:C,"unassigned",0,1)</f>
        <v>Basic</v>
      </c>
      <c r="F212" s="28" t="s">
        <v>2208</v>
      </c>
    </row>
    <row r="213" spans="1:6" x14ac:dyDescent="0.2">
      <c r="A213" s="63">
        <v>45885</v>
      </c>
      <c r="B213" t="s">
        <v>172</v>
      </c>
      <c r="C213">
        <v>89.86</v>
      </c>
      <c r="D213" s="28" t="str">
        <f>_xlfn.XLOOKUP(B213,'Payee Ref'!A:A,'Payee Ref'!B:B,"unassigned",0,1)</f>
        <v>Dining</v>
      </c>
      <c r="E213" s="28" t="str">
        <f>_xlfn.XLOOKUP(B213,'Payee Ref'!A:A,'Payee Ref'!C:C,"unassigned",0,1)</f>
        <v>Luxury</v>
      </c>
      <c r="F213" s="28" t="s">
        <v>2208</v>
      </c>
    </row>
    <row r="214" spans="1:6" x14ac:dyDescent="0.2">
      <c r="A214" s="63">
        <v>45885</v>
      </c>
      <c r="B214" t="s">
        <v>478</v>
      </c>
      <c r="C214">
        <v>13.78</v>
      </c>
      <c r="D214" s="28" t="str">
        <f>_xlfn.XLOOKUP(B214,'Payee Ref'!A:A,'Payee Ref'!B:B,"unassigned",0,1)</f>
        <v>Enrichment</v>
      </c>
      <c r="E214" s="28" t="str">
        <f>_xlfn.XLOOKUP(B214,'Payee Ref'!A:A,'Payee Ref'!C:C,"unassigned",0,1)</f>
        <v>Luxury</v>
      </c>
      <c r="F214" s="28" t="s">
        <v>2208</v>
      </c>
    </row>
    <row r="215" spans="1:6" x14ac:dyDescent="0.2">
      <c r="A215" s="63">
        <v>45884</v>
      </c>
      <c r="B215" t="s">
        <v>700</v>
      </c>
      <c r="C215">
        <v>77.22</v>
      </c>
      <c r="D215" s="28" t="str">
        <f>_xlfn.XLOOKUP(B215,'Payee Ref'!A:A,'Payee Ref'!B:B,"unassigned",0,1)</f>
        <v>Home &amp; Garden</v>
      </c>
      <c r="E215" s="28" t="str">
        <f>_xlfn.XLOOKUP(B215,'Payee Ref'!A:A,'Payee Ref'!C:C,"unassigned",0,1)</f>
        <v>Basic</v>
      </c>
      <c r="F215" s="28" t="s">
        <v>2208</v>
      </c>
    </row>
    <row r="216" spans="1:6" x14ac:dyDescent="0.2">
      <c r="A216" s="63">
        <v>45884</v>
      </c>
      <c r="B216" t="s">
        <v>728</v>
      </c>
      <c r="C216">
        <v>91.57</v>
      </c>
      <c r="D216" s="28" t="str">
        <f>_xlfn.XLOOKUP(B216,'Payee Ref'!A:A,'Payee Ref'!B:B,"unassigned",0,1)</f>
        <v>Home &amp; Garden</v>
      </c>
      <c r="E216" s="28" t="str">
        <f>_xlfn.XLOOKUP(B216,'Payee Ref'!A:A,'Payee Ref'!C:C,"unassigned",0,1)</f>
        <v>Basic</v>
      </c>
      <c r="F216" s="28" t="s">
        <v>2208</v>
      </c>
    </row>
    <row r="217" spans="1:6" x14ac:dyDescent="0.2">
      <c r="A217" s="63">
        <v>45883</v>
      </c>
      <c r="B217" t="s">
        <v>682</v>
      </c>
      <c r="C217">
        <v>12.22</v>
      </c>
      <c r="D217" s="28" t="str">
        <f>_xlfn.XLOOKUP(B217,'Payee Ref'!A:A,'Payee Ref'!B:B,"unassigned",0,1)</f>
        <v>Home &amp; Garden</v>
      </c>
      <c r="E217" s="28" t="str">
        <f>_xlfn.XLOOKUP(B217,'Payee Ref'!A:A,'Payee Ref'!C:C,"unassigned",0,1)</f>
        <v>Basic</v>
      </c>
      <c r="F217" s="28" t="s">
        <v>2208</v>
      </c>
    </row>
    <row r="218" spans="1:6" x14ac:dyDescent="0.2">
      <c r="A218" s="63">
        <v>45883</v>
      </c>
      <c r="B218" t="s">
        <v>252</v>
      </c>
      <c r="C218">
        <v>41.11</v>
      </c>
      <c r="D218" s="28" t="str">
        <f>_xlfn.XLOOKUP(B218,'Payee Ref'!A:A,'Payee Ref'!B:B,"unassigned",0,1)</f>
        <v>Dining</v>
      </c>
      <c r="E218" s="28" t="str">
        <f>_xlfn.XLOOKUP(B218,'Payee Ref'!A:A,'Payee Ref'!C:C,"unassigned",0,1)</f>
        <v>Luxury</v>
      </c>
      <c r="F218" s="28" t="s">
        <v>2208</v>
      </c>
    </row>
    <row r="219" spans="1:6" x14ac:dyDescent="0.2">
      <c r="A219" s="63">
        <v>45883</v>
      </c>
      <c r="B219" t="s">
        <v>926</v>
      </c>
      <c r="C219">
        <v>44.13</v>
      </c>
      <c r="D219" s="28" t="str">
        <f>_xlfn.XLOOKUP(B219,'Payee Ref'!A:A,'Payee Ref'!B:B,"unassigned",0,1)</f>
        <v>Subscriptions / Digital</v>
      </c>
      <c r="E219" s="28" t="str">
        <f>_xlfn.XLOOKUP(B219,'Payee Ref'!A:A,'Payee Ref'!C:C,"unassigned",0,1)</f>
        <v>Luxury</v>
      </c>
      <c r="F219" s="28" t="s">
        <v>2208</v>
      </c>
    </row>
    <row r="220" spans="1:6" x14ac:dyDescent="0.2">
      <c r="A220" s="63">
        <v>45883</v>
      </c>
      <c r="B220" t="s">
        <v>762</v>
      </c>
      <c r="C220">
        <v>143.4</v>
      </c>
      <c r="D220" s="28" t="str">
        <f>_xlfn.XLOOKUP(B220,'Payee Ref'!A:A,'Payee Ref'!B:B,"unassigned",0,1)</f>
        <v>Home &amp; Garden</v>
      </c>
      <c r="E220" s="28" t="str">
        <f>_xlfn.XLOOKUP(B220,'Payee Ref'!A:A,'Payee Ref'!C:C,"unassigned",0,1)</f>
        <v>Basic</v>
      </c>
      <c r="F220" s="28" t="s">
        <v>2208</v>
      </c>
    </row>
    <row r="221" spans="1:6" x14ac:dyDescent="0.2">
      <c r="A221" s="63">
        <v>45882</v>
      </c>
      <c r="B221" t="s">
        <v>171</v>
      </c>
      <c r="C221">
        <v>25.37</v>
      </c>
      <c r="D221" s="28" t="str">
        <f>_xlfn.XLOOKUP(B221,'Payee Ref'!A:A,'Payee Ref'!B:B,"unassigned",0,1)</f>
        <v>Dining</v>
      </c>
      <c r="E221" s="28" t="str">
        <f>_xlfn.XLOOKUP(B221,'Payee Ref'!A:A,'Payee Ref'!C:C,"unassigned",0,1)</f>
        <v>Luxury</v>
      </c>
      <c r="F221" s="28" t="s">
        <v>2208</v>
      </c>
    </row>
    <row r="222" spans="1:6" x14ac:dyDescent="0.2">
      <c r="A222" s="63">
        <v>45882</v>
      </c>
      <c r="B222" t="s">
        <v>1172</v>
      </c>
      <c r="C222">
        <v>528.6</v>
      </c>
      <c r="D222" s="28" t="str">
        <f>_xlfn.XLOOKUP(B222,'Payee Ref'!A:A,'Payee Ref'!B:B,"unassigned",0,1)</f>
        <v>Travel</v>
      </c>
      <c r="E222" s="28" t="str">
        <f>_xlfn.XLOOKUP(B222,'Payee Ref'!A:A,'Payee Ref'!C:C,"unassigned",0,1)</f>
        <v>Luxury</v>
      </c>
      <c r="F222" s="28" t="s">
        <v>2208</v>
      </c>
    </row>
    <row r="223" spans="1:6" x14ac:dyDescent="0.2">
      <c r="A223" s="63">
        <v>45882</v>
      </c>
      <c r="B223" t="s">
        <v>717</v>
      </c>
      <c r="C223">
        <v>1063.48</v>
      </c>
      <c r="D223" s="28" t="str">
        <f>_xlfn.XLOOKUP(B223,'Payee Ref'!A:A,'Payee Ref'!B:B,"unassigned",0,1)</f>
        <v>Home &amp; Garden</v>
      </c>
      <c r="E223" s="28" t="str">
        <f>_xlfn.XLOOKUP(B223,'Payee Ref'!A:A,'Payee Ref'!C:C,"unassigned",0,1)</f>
        <v>Luxury</v>
      </c>
      <c r="F223" s="28" t="s">
        <v>2208</v>
      </c>
    </row>
    <row r="224" spans="1:6" x14ac:dyDescent="0.2">
      <c r="A224" s="63">
        <v>45882</v>
      </c>
      <c r="B224" t="s">
        <v>878</v>
      </c>
      <c r="C224">
        <v>44.14</v>
      </c>
      <c r="D224" s="28" t="str">
        <f>_xlfn.XLOOKUP(B224,'Payee Ref'!A:A,'Payee Ref'!B:B,"unassigned",0,1)</f>
        <v>Professional</v>
      </c>
      <c r="E224" s="28" t="str">
        <f>_xlfn.XLOOKUP(B224,'Payee Ref'!A:A,'Payee Ref'!C:C,"unassigned",0,1)</f>
        <v>Luxury</v>
      </c>
      <c r="F224" s="28" t="s">
        <v>2208</v>
      </c>
    </row>
    <row r="225" spans="1:6" x14ac:dyDescent="0.2">
      <c r="A225" s="63">
        <v>45882</v>
      </c>
      <c r="B225" t="s">
        <v>855</v>
      </c>
      <c r="C225">
        <v>46.68</v>
      </c>
      <c r="D225" s="28" t="str">
        <f>_xlfn.XLOOKUP(B225,'Payee Ref'!A:A,'Payee Ref'!B:B,"unassigned",0,1)</f>
        <v>Pharmacy</v>
      </c>
      <c r="E225" s="28" t="str">
        <f>_xlfn.XLOOKUP(B225,'Payee Ref'!A:A,'Payee Ref'!C:C,"unassigned",0,1)</f>
        <v>Basic</v>
      </c>
      <c r="F225" s="28" t="s">
        <v>2208</v>
      </c>
    </row>
    <row r="226" spans="1:6" x14ac:dyDescent="0.2">
      <c r="A226" s="63">
        <v>45881</v>
      </c>
      <c r="B226" t="s">
        <v>15</v>
      </c>
      <c r="C226">
        <v>18.41</v>
      </c>
      <c r="D226" s="28" t="str">
        <f>_xlfn.XLOOKUP(B226,'Payee Ref'!A:A,'Payee Ref'!B:B,"unassigned",0,1)</f>
        <v>Auto</v>
      </c>
      <c r="E226" s="28" t="str">
        <f>_xlfn.XLOOKUP(B226,'Payee Ref'!A:A,'Payee Ref'!C:C,"unassigned",0,1)</f>
        <v>Basic</v>
      </c>
      <c r="F226" s="28" t="s">
        <v>2208</v>
      </c>
    </row>
    <row r="227" spans="1:6" x14ac:dyDescent="0.2">
      <c r="A227" s="63">
        <v>45881</v>
      </c>
      <c r="B227" t="s">
        <v>15</v>
      </c>
      <c r="C227">
        <v>58.45</v>
      </c>
      <c r="D227" s="28" t="str">
        <f>_xlfn.XLOOKUP(B227,'Payee Ref'!A:A,'Payee Ref'!B:B,"unassigned",0,1)</f>
        <v>Auto</v>
      </c>
      <c r="E227" s="28" t="str">
        <f>_xlfn.XLOOKUP(B227,'Payee Ref'!A:A,'Payee Ref'!C:C,"unassigned",0,1)</f>
        <v>Basic</v>
      </c>
      <c r="F227" s="28" t="s">
        <v>2208</v>
      </c>
    </row>
    <row r="228" spans="1:6" x14ac:dyDescent="0.2">
      <c r="A228" s="63">
        <v>45881</v>
      </c>
      <c r="B228" t="s">
        <v>100</v>
      </c>
      <c r="C228">
        <v>915.92</v>
      </c>
      <c r="D228" s="28" t="str">
        <f>_xlfn.XLOOKUP(B228,'Payee Ref'!A:A,'Payee Ref'!B:B,"unassigned",0,1)</f>
        <v>Clothing</v>
      </c>
      <c r="E228" s="28" t="str">
        <f>_xlfn.XLOOKUP(B228,'Payee Ref'!A:A,'Payee Ref'!C:C,"unassigned",0,1)</f>
        <v>Luxury</v>
      </c>
      <c r="F228" s="28" t="s">
        <v>2208</v>
      </c>
    </row>
    <row r="229" spans="1:6" x14ac:dyDescent="0.2">
      <c r="A229" s="63">
        <v>45881</v>
      </c>
      <c r="B229" t="s">
        <v>511</v>
      </c>
      <c r="C229">
        <v>125</v>
      </c>
      <c r="D229" s="28" t="str">
        <f>_xlfn.XLOOKUP(B229,'Payee Ref'!A:A,'Payee Ref'!B:B,"unassigned",0,1)</f>
        <v>Gifts</v>
      </c>
      <c r="E229" s="28" t="str">
        <f>_xlfn.XLOOKUP(B229,'Payee Ref'!A:A,'Payee Ref'!C:C,"unassigned",0,1)</f>
        <v>Luxury</v>
      </c>
      <c r="F229" s="28" t="s">
        <v>2208</v>
      </c>
    </row>
    <row r="230" spans="1:6" x14ac:dyDescent="0.2">
      <c r="A230" s="63">
        <v>45881</v>
      </c>
      <c r="B230" t="s">
        <v>125</v>
      </c>
      <c r="C230">
        <v>317.95</v>
      </c>
      <c r="D230" s="28" t="str">
        <f>_xlfn.XLOOKUP(B230,'Payee Ref'!A:A,'Payee Ref'!B:B,"unassigned",0,1)</f>
        <v>Clothing</v>
      </c>
      <c r="E230" s="28" t="str">
        <f>_xlfn.XLOOKUP(B230,'Payee Ref'!A:A,'Payee Ref'!C:C,"unassigned",0,1)</f>
        <v>Luxury</v>
      </c>
      <c r="F230" s="28" t="s">
        <v>2208</v>
      </c>
    </row>
    <row r="231" spans="1:6" x14ac:dyDescent="0.2">
      <c r="A231" s="63">
        <v>45881</v>
      </c>
      <c r="B231" t="s">
        <v>426</v>
      </c>
      <c r="C231">
        <v>245</v>
      </c>
      <c r="D231" s="28" t="str">
        <f>_xlfn.XLOOKUP(B231,'Payee Ref'!A:A,'Payee Ref'!B:B,"unassigned",0,1)</f>
        <v>Dining</v>
      </c>
      <c r="E231" s="28" t="str">
        <f>_xlfn.XLOOKUP(B231,'Payee Ref'!A:A,'Payee Ref'!C:C,"unassigned",0,1)</f>
        <v>Luxury</v>
      </c>
      <c r="F231" s="28" t="s">
        <v>2208</v>
      </c>
    </row>
    <row r="232" spans="1:6" x14ac:dyDescent="0.2">
      <c r="A232" s="63">
        <v>45881</v>
      </c>
      <c r="B232" t="s">
        <v>749</v>
      </c>
      <c r="C232">
        <v>65.010000000000005</v>
      </c>
      <c r="D232" s="28" t="str">
        <f>_xlfn.XLOOKUP(B232,'Payee Ref'!A:A,'Payee Ref'!B:B,"unassigned",0,1)</f>
        <v>Home &amp; Garden</v>
      </c>
      <c r="E232" s="28" t="str">
        <f>_xlfn.XLOOKUP(B232,'Payee Ref'!A:A,'Payee Ref'!C:C,"unassigned",0,1)</f>
        <v>Basic</v>
      </c>
      <c r="F232" s="28" t="s">
        <v>2208</v>
      </c>
    </row>
    <row r="233" spans="1:6" x14ac:dyDescent="0.2">
      <c r="A233" s="63">
        <v>45881</v>
      </c>
      <c r="B233" t="s">
        <v>149</v>
      </c>
      <c r="C233">
        <v>273.11</v>
      </c>
      <c r="D233" s="28" t="str">
        <f>_xlfn.XLOOKUP(B233,'Payee Ref'!A:A,'Payee Ref'!B:B,"unassigned",0,1)</f>
        <v>Clothing</v>
      </c>
      <c r="E233" s="28" t="str">
        <f>_xlfn.XLOOKUP(B233,'Payee Ref'!A:A,'Payee Ref'!C:C,"unassigned",0,1)</f>
        <v>Luxury</v>
      </c>
      <c r="F233" s="28" t="s">
        <v>2208</v>
      </c>
    </row>
    <row r="234" spans="1:6" x14ac:dyDescent="0.2">
      <c r="A234" s="63">
        <v>45880</v>
      </c>
      <c r="B234" t="s">
        <v>999</v>
      </c>
      <c r="C234">
        <v>128.1</v>
      </c>
      <c r="D234" s="28" t="str">
        <f>_xlfn.XLOOKUP(B234,'Payee Ref'!A:A,'Payee Ref'!B:B,"unassigned",0,1)</f>
        <v>Travel</v>
      </c>
      <c r="E234" s="28" t="str">
        <f>_xlfn.XLOOKUP(B234,'Payee Ref'!A:A,'Payee Ref'!C:C,"unassigned",0,1)</f>
        <v>Luxury</v>
      </c>
      <c r="F234" s="28" t="s">
        <v>2208</v>
      </c>
    </row>
    <row r="235" spans="1:6" x14ac:dyDescent="0.2">
      <c r="A235" s="63">
        <v>45880</v>
      </c>
      <c r="B235" t="s">
        <v>86</v>
      </c>
      <c r="C235">
        <v>101</v>
      </c>
      <c r="D235" s="28" t="str">
        <f>_xlfn.XLOOKUP(B235,'Payee Ref'!A:A,'Payee Ref'!B:B,"unassigned",0,1)</f>
        <v>Charitable Contributions</v>
      </c>
      <c r="E235" s="28" t="str">
        <f>_xlfn.XLOOKUP(B235,'Payee Ref'!A:A,'Payee Ref'!C:C,"unassigned",0,1)</f>
        <v>Basic</v>
      </c>
      <c r="F235" s="28" t="s">
        <v>2208</v>
      </c>
    </row>
    <row r="236" spans="1:6" x14ac:dyDescent="0.2">
      <c r="A236" s="63">
        <v>45880</v>
      </c>
      <c r="B236" t="s">
        <v>170</v>
      </c>
      <c r="C236">
        <v>12.6</v>
      </c>
      <c r="D236" s="28" t="str">
        <f>_xlfn.XLOOKUP(B236,'Payee Ref'!A:A,'Payee Ref'!B:B,"unassigned",0,1)</f>
        <v>Dining</v>
      </c>
      <c r="E236" s="28" t="str">
        <f>_xlfn.XLOOKUP(B236,'Payee Ref'!A:A,'Payee Ref'!C:C,"unassigned",0,1)</f>
        <v>Luxury</v>
      </c>
      <c r="F236" s="28" t="s">
        <v>2208</v>
      </c>
    </row>
    <row r="237" spans="1:6" x14ac:dyDescent="0.2">
      <c r="A237" s="63">
        <v>45880</v>
      </c>
      <c r="B237" t="s">
        <v>13</v>
      </c>
      <c r="C237">
        <v>32.58</v>
      </c>
      <c r="D237" s="28" t="str">
        <f>_xlfn.XLOOKUP(B237,'Payee Ref'!A:A,'Payee Ref'!B:B,"unassigned",0,1)</f>
        <v>Auto</v>
      </c>
      <c r="E237" s="28" t="str">
        <f>_xlfn.XLOOKUP(B237,'Payee Ref'!A:A,'Payee Ref'!C:C,"unassigned",0,1)</f>
        <v>Basic</v>
      </c>
      <c r="F237" s="28" t="s">
        <v>2208</v>
      </c>
    </row>
    <row r="238" spans="1:6" x14ac:dyDescent="0.2">
      <c r="A238" s="63">
        <v>45880</v>
      </c>
      <c r="B238" t="s">
        <v>516</v>
      </c>
      <c r="C238">
        <v>9.99</v>
      </c>
      <c r="D238" s="28" t="str">
        <f>_xlfn.XLOOKUP(B238,'Payee Ref'!A:A,'Payee Ref'!B:B,"unassigned",0,1)</f>
        <v>Groceries</v>
      </c>
      <c r="E238" s="28" t="str">
        <f>_xlfn.XLOOKUP(B238,'Payee Ref'!A:A,'Payee Ref'!C:C,"unassigned",0,1)</f>
        <v>Basic</v>
      </c>
      <c r="F238" s="28" t="s">
        <v>2208</v>
      </c>
    </row>
    <row r="239" spans="1:6" x14ac:dyDescent="0.2">
      <c r="A239" s="63">
        <v>45880</v>
      </c>
      <c r="B239" t="s">
        <v>749</v>
      </c>
      <c r="C239">
        <v>221.73</v>
      </c>
      <c r="D239" s="28" t="str">
        <f>_xlfn.XLOOKUP(B239,'Payee Ref'!A:A,'Payee Ref'!B:B,"unassigned",0,1)</f>
        <v>Home &amp; Garden</v>
      </c>
      <c r="E239" s="28" t="str">
        <f>_xlfn.XLOOKUP(B239,'Payee Ref'!A:A,'Payee Ref'!C:C,"unassigned",0,1)</f>
        <v>Basic</v>
      </c>
      <c r="F239" s="28" t="s">
        <v>2208</v>
      </c>
    </row>
    <row r="240" spans="1:6" x14ac:dyDescent="0.2">
      <c r="A240" s="63">
        <v>45878</v>
      </c>
      <c r="B240" t="s">
        <v>878</v>
      </c>
      <c r="C240">
        <v>48.55</v>
      </c>
      <c r="D240" s="28" t="str">
        <f>_xlfn.XLOOKUP(B240,'Payee Ref'!A:A,'Payee Ref'!B:B,"unassigned",0,1)</f>
        <v>Professional</v>
      </c>
      <c r="E240" s="28" t="str">
        <f>_xlfn.XLOOKUP(B240,'Payee Ref'!A:A,'Payee Ref'!C:C,"unassigned",0,1)</f>
        <v>Luxury</v>
      </c>
      <c r="F240" s="28" t="s">
        <v>2208</v>
      </c>
    </row>
    <row r="241" spans="1:6" x14ac:dyDescent="0.2">
      <c r="A241" s="63">
        <v>45878</v>
      </c>
      <c r="B241" t="s">
        <v>801</v>
      </c>
      <c r="C241">
        <v>125</v>
      </c>
      <c r="D241" s="28" t="str">
        <f>_xlfn.XLOOKUP(B241,'Payee Ref'!A:A,'Payee Ref'!B:B,"unassigned",0,1)</f>
        <v>Membership</v>
      </c>
      <c r="E241" s="28" t="str">
        <f>_xlfn.XLOOKUP(B241,'Payee Ref'!A:A,'Payee Ref'!C:C,"unassigned",0,1)</f>
        <v>Luxury</v>
      </c>
      <c r="F241" s="28" t="s">
        <v>2208</v>
      </c>
    </row>
    <row r="242" spans="1:6" x14ac:dyDescent="0.2">
      <c r="A242" s="63">
        <v>45877</v>
      </c>
      <c r="B242" t="s">
        <v>1171</v>
      </c>
      <c r="C242">
        <v>120.27</v>
      </c>
      <c r="D242" s="28" t="str">
        <f>_xlfn.XLOOKUP(B242,'Payee Ref'!A:A,'Payee Ref'!B:B,"unassigned",0,1)</f>
        <v>Van</v>
      </c>
      <c r="E242" s="28" t="str">
        <f>_xlfn.XLOOKUP(B242,'Payee Ref'!A:A,'Payee Ref'!C:C,"unassigned",0,1)</f>
        <v>Basic</v>
      </c>
      <c r="F242" s="28" t="s">
        <v>2208</v>
      </c>
    </row>
    <row r="243" spans="1:6" x14ac:dyDescent="0.2">
      <c r="A243" s="63">
        <v>45877</v>
      </c>
      <c r="B243" t="s">
        <v>97</v>
      </c>
      <c r="C243">
        <v>55.26</v>
      </c>
      <c r="D243" s="28" t="str">
        <f>_xlfn.XLOOKUP(B243,'Payee Ref'!A:A,'Payee Ref'!B:B,"unassigned",0,1)</f>
        <v>Clothing</v>
      </c>
      <c r="E243" s="28" t="str">
        <f>_xlfn.XLOOKUP(B243,'Payee Ref'!A:A,'Payee Ref'!C:C,"unassigned",0,1)</f>
        <v>Luxury</v>
      </c>
      <c r="F243" s="28" t="s">
        <v>2208</v>
      </c>
    </row>
    <row r="244" spans="1:6" x14ac:dyDescent="0.2">
      <c r="A244" s="63">
        <v>45877</v>
      </c>
      <c r="B244" t="s">
        <v>878</v>
      </c>
      <c r="C244">
        <v>22.07</v>
      </c>
      <c r="D244" s="28" t="str">
        <f>_xlfn.XLOOKUP(B244,'Payee Ref'!A:A,'Payee Ref'!B:B,"unassigned",0,1)</f>
        <v>Professional</v>
      </c>
      <c r="E244" s="28" t="str">
        <f>_xlfn.XLOOKUP(B244,'Payee Ref'!A:A,'Payee Ref'!C:C,"unassigned",0,1)</f>
        <v>Luxury</v>
      </c>
      <c r="F244" s="28" t="s">
        <v>2208</v>
      </c>
    </row>
    <row r="245" spans="1:6" x14ac:dyDescent="0.2">
      <c r="A245" s="63">
        <v>45877</v>
      </c>
      <c r="B245" t="s">
        <v>878</v>
      </c>
      <c r="C245">
        <v>22.07</v>
      </c>
      <c r="D245" s="28" t="str">
        <f>_xlfn.XLOOKUP(B245,'Payee Ref'!A:A,'Payee Ref'!B:B,"unassigned",0,1)</f>
        <v>Professional</v>
      </c>
      <c r="E245" s="28" t="str">
        <f>_xlfn.XLOOKUP(B245,'Payee Ref'!A:A,'Payee Ref'!C:C,"unassigned",0,1)</f>
        <v>Luxury</v>
      </c>
      <c r="F245" s="28" t="s">
        <v>2208</v>
      </c>
    </row>
    <row r="246" spans="1:6" x14ac:dyDescent="0.2">
      <c r="A246" s="63">
        <v>45876</v>
      </c>
      <c r="B246" t="s">
        <v>860</v>
      </c>
      <c r="C246">
        <v>21.35</v>
      </c>
      <c r="D246" s="28" t="str">
        <f>_xlfn.XLOOKUP(B246,'Payee Ref'!A:A,'Payee Ref'!B:B,"unassigned",0,1)</f>
        <v>Travel</v>
      </c>
      <c r="E246" s="28" t="str">
        <f>_xlfn.XLOOKUP(B246,'Payee Ref'!A:A,'Payee Ref'!C:C,"unassigned",0,1)</f>
        <v>Luxury</v>
      </c>
      <c r="F246" s="28" t="s">
        <v>2208</v>
      </c>
    </row>
    <row r="247" spans="1:6" x14ac:dyDescent="0.2">
      <c r="A247" s="63">
        <v>45876</v>
      </c>
      <c r="B247" t="s">
        <v>860</v>
      </c>
      <c r="C247">
        <v>21.35</v>
      </c>
      <c r="D247" s="28" t="str">
        <f>_xlfn.XLOOKUP(B247,'Payee Ref'!A:A,'Payee Ref'!B:B,"unassigned",0,1)</f>
        <v>Travel</v>
      </c>
      <c r="E247" s="28" t="str">
        <f>_xlfn.XLOOKUP(B247,'Payee Ref'!A:A,'Payee Ref'!C:C,"unassigned",0,1)</f>
        <v>Luxury</v>
      </c>
      <c r="F247" s="28" t="s">
        <v>2208</v>
      </c>
    </row>
    <row r="248" spans="1:6" x14ac:dyDescent="0.2">
      <c r="A248" s="63">
        <v>45876</v>
      </c>
      <c r="B248" t="s">
        <v>878</v>
      </c>
      <c r="C248">
        <v>22.07</v>
      </c>
      <c r="D248" s="28" t="str">
        <f>_xlfn.XLOOKUP(B248,'Payee Ref'!A:A,'Payee Ref'!B:B,"unassigned",0,1)</f>
        <v>Professional</v>
      </c>
      <c r="E248" s="28" t="str">
        <f>_xlfn.XLOOKUP(B248,'Payee Ref'!A:A,'Payee Ref'!C:C,"unassigned",0,1)</f>
        <v>Luxury</v>
      </c>
      <c r="F248" s="28" t="s">
        <v>2208</v>
      </c>
    </row>
    <row r="249" spans="1:6" x14ac:dyDescent="0.2">
      <c r="A249" s="63">
        <v>45875</v>
      </c>
      <c r="B249" t="s">
        <v>683</v>
      </c>
      <c r="C249">
        <v>5.97</v>
      </c>
      <c r="D249" s="28" t="str">
        <f>_xlfn.XLOOKUP(B249,'Payee Ref'!A:A,'Payee Ref'!B:B,"unassigned",0,1)</f>
        <v>Home &amp; Garden</v>
      </c>
      <c r="E249" s="28" t="str">
        <f>_xlfn.XLOOKUP(B249,'Payee Ref'!A:A,'Payee Ref'!C:C,"unassigned",0,1)</f>
        <v>Basic</v>
      </c>
      <c r="F249" s="28" t="s">
        <v>2208</v>
      </c>
    </row>
    <row r="250" spans="1:6" x14ac:dyDescent="0.2">
      <c r="A250" s="63">
        <v>45875</v>
      </c>
      <c r="B250" t="s">
        <v>860</v>
      </c>
      <c r="C250">
        <v>21.35</v>
      </c>
      <c r="D250" s="28" t="str">
        <f>_xlfn.XLOOKUP(B250,'Payee Ref'!A:A,'Payee Ref'!B:B,"unassigned",0,1)</f>
        <v>Travel</v>
      </c>
      <c r="E250" s="28" t="str">
        <f>_xlfn.XLOOKUP(B250,'Payee Ref'!A:A,'Payee Ref'!C:C,"unassigned",0,1)</f>
        <v>Luxury</v>
      </c>
      <c r="F250" s="28" t="s">
        <v>2208</v>
      </c>
    </row>
    <row r="251" spans="1:6" x14ac:dyDescent="0.2">
      <c r="A251" s="63">
        <v>45875</v>
      </c>
      <c r="B251" t="s">
        <v>860</v>
      </c>
      <c r="C251">
        <v>21.35</v>
      </c>
      <c r="D251" s="28" t="str">
        <f>_xlfn.XLOOKUP(B251,'Payee Ref'!A:A,'Payee Ref'!B:B,"unassigned",0,1)</f>
        <v>Travel</v>
      </c>
      <c r="E251" s="28" t="str">
        <f>_xlfn.XLOOKUP(B251,'Payee Ref'!A:A,'Payee Ref'!C:C,"unassigned",0,1)</f>
        <v>Luxury</v>
      </c>
      <c r="F251" s="28" t="s">
        <v>2208</v>
      </c>
    </row>
    <row r="252" spans="1:6" x14ac:dyDescent="0.2">
      <c r="A252" s="63">
        <v>45874</v>
      </c>
      <c r="B252" t="s">
        <v>860</v>
      </c>
      <c r="C252">
        <v>21.35</v>
      </c>
      <c r="D252" s="28" t="str">
        <f>_xlfn.XLOOKUP(B252,'Payee Ref'!A:A,'Payee Ref'!B:B,"unassigned",0,1)</f>
        <v>Travel</v>
      </c>
      <c r="E252" s="28" t="str">
        <f>_xlfn.XLOOKUP(B252,'Payee Ref'!A:A,'Payee Ref'!C:C,"unassigned",0,1)</f>
        <v>Luxury</v>
      </c>
      <c r="F252" s="28" t="s">
        <v>2208</v>
      </c>
    </row>
    <row r="253" spans="1:6" x14ac:dyDescent="0.2">
      <c r="A253" s="63">
        <v>45874</v>
      </c>
      <c r="B253" t="s">
        <v>874</v>
      </c>
      <c r="C253">
        <v>66.2</v>
      </c>
      <c r="D253" s="28" t="str">
        <f>_xlfn.XLOOKUP(B253,'Payee Ref'!A:A,'Payee Ref'!B:B,"unassigned",0,1)</f>
        <v>Professional</v>
      </c>
      <c r="E253" s="28" t="str">
        <f>_xlfn.XLOOKUP(B253,'Payee Ref'!A:A,'Payee Ref'!C:C,"unassigned",0,1)</f>
        <v>Luxury</v>
      </c>
      <c r="F253" s="28" t="s">
        <v>2208</v>
      </c>
    </row>
    <row r="254" spans="1:6" x14ac:dyDescent="0.2">
      <c r="A254" s="63">
        <v>45873</v>
      </c>
      <c r="B254" t="s">
        <v>860</v>
      </c>
      <c r="C254">
        <v>21.35</v>
      </c>
      <c r="D254" s="28" t="str">
        <f>_xlfn.XLOOKUP(B254,'Payee Ref'!A:A,'Payee Ref'!B:B,"unassigned",0,1)</f>
        <v>Travel</v>
      </c>
      <c r="E254" s="28" t="str">
        <f>_xlfn.XLOOKUP(B254,'Payee Ref'!A:A,'Payee Ref'!C:C,"unassigned",0,1)</f>
        <v>Luxury</v>
      </c>
      <c r="F254" s="28" t="s">
        <v>2208</v>
      </c>
    </row>
    <row r="255" spans="1:6" x14ac:dyDescent="0.2">
      <c r="A255" s="63">
        <v>45871</v>
      </c>
      <c r="B255" t="s">
        <v>17</v>
      </c>
      <c r="C255">
        <v>3.9</v>
      </c>
      <c r="D255" s="28" t="str">
        <f>_xlfn.XLOOKUP(B255,'Payee Ref'!A:A,'Payee Ref'!B:B,"unassigned",0,1)</f>
        <v>Auto</v>
      </c>
      <c r="E255" s="28" t="str">
        <f>_xlfn.XLOOKUP(B255,'Payee Ref'!A:A,'Payee Ref'!C:C,"unassigned",0,1)</f>
        <v>Basic</v>
      </c>
      <c r="F255" s="28" t="s">
        <v>2208</v>
      </c>
    </row>
    <row r="256" spans="1:6" x14ac:dyDescent="0.2">
      <c r="A256" s="63">
        <v>45871</v>
      </c>
      <c r="B256" t="s">
        <v>17</v>
      </c>
      <c r="C256">
        <v>74.709999999999994</v>
      </c>
      <c r="D256" s="28" t="str">
        <f>_xlfn.XLOOKUP(B256,'Payee Ref'!A:A,'Payee Ref'!B:B,"unassigned",0,1)</f>
        <v>Auto</v>
      </c>
      <c r="E256" s="28" t="str">
        <f>_xlfn.XLOOKUP(B256,'Payee Ref'!A:A,'Payee Ref'!C:C,"unassigned",0,1)</f>
        <v>Basic</v>
      </c>
      <c r="F256" s="28" t="s">
        <v>2208</v>
      </c>
    </row>
    <row r="257" spans="1:6" x14ac:dyDescent="0.2">
      <c r="A257" s="63">
        <v>45871</v>
      </c>
      <c r="B257" t="s">
        <v>931</v>
      </c>
      <c r="C257">
        <v>3.3</v>
      </c>
      <c r="D257" s="28" t="str">
        <f>_xlfn.XLOOKUP(B257,'Payee Ref'!A:A,'Payee Ref'!B:B,"unassigned",0,1)</f>
        <v>Subscriptions / Digital</v>
      </c>
      <c r="E257" s="28" t="str">
        <f>_xlfn.XLOOKUP(B257,'Payee Ref'!A:A,'Payee Ref'!C:C,"unassigned",0,1)</f>
        <v>Basic</v>
      </c>
      <c r="F257" s="28" t="s">
        <v>2208</v>
      </c>
    </row>
    <row r="258" spans="1:6" x14ac:dyDescent="0.2">
      <c r="A258" s="63">
        <v>45871</v>
      </c>
      <c r="B258" t="s">
        <v>47</v>
      </c>
      <c r="C258">
        <v>67.349999999999994</v>
      </c>
      <c r="D258" s="28" t="str">
        <f>_xlfn.XLOOKUP(B258,'Payee Ref'!A:A,'Payee Ref'!B:B,"unassigned",0,1)</f>
        <v>Auto</v>
      </c>
      <c r="E258" s="28" t="str">
        <f>_xlfn.XLOOKUP(B258,'Payee Ref'!A:A,'Payee Ref'!C:C,"unassigned",0,1)</f>
        <v>Basic</v>
      </c>
      <c r="F258" s="28" t="s">
        <v>2208</v>
      </c>
    </row>
    <row r="259" spans="1:6" x14ac:dyDescent="0.2">
      <c r="A259" s="63">
        <v>45870</v>
      </c>
      <c r="B259" t="s">
        <v>851</v>
      </c>
      <c r="C259">
        <v>0.28000000000000003</v>
      </c>
      <c r="D259" s="28" t="str">
        <f>_xlfn.XLOOKUP(B259,'Payee Ref'!A:A,'Payee Ref'!B:B,"unassigned",0,1)</f>
        <v>Pharmacy</v>
      </c>
      <c r="E259" s="28" t="str">
        <f>_xlfn.XLOOKUP(B259,'Payee Ref'!A:A,'Payee Ref'!C:C,"unassigned",0,1)</f>
        <v>Basic</v>
      </c>
      <c r="F259" s="28" t="s">
        <v>2208</v>
      </c>
    </row>
    <row r="260" spans="1:6" x14ac:dyDescent="0.2">
      <c r="A260" s="63">
        <v>45870</v>
      </c>
      <c r="B260" t="s">
        <v>461</v>
      </c>
      <c r="C260">
        <v>23.16</v>
      </c>
      <c r="D260" s="28" t="str">
        <f>_xlfn.XLOOKUP(B260,'Payee Ref'!A:A,'Payee Ref'!B:B,"unassigned",0,1)</f>
        <v>Dining</v>
      </c>
      <c r="E260" s="28" t="str">
        <f>_xlfn.XLOOKUP(B260,'Payee Ref'!A:A,'Payee Ref'!C:C,"unassigned",0,1)</f>
        <v>Luxury</v>
      </c>
      <c r="F260" s="28" t="s">
        <v>2208</v>
      </c>
    </row>
    <row r="261" spans="1:6" x14ac:dyDescent="0.2">
      <c r="A261" s="63">
        <v>45869</v>
      </c>
      <c r="B261" t="s">
        <v>2259</v>
      </c>
      <c r="C261">
        <v>7.39</v>
      </c>
      <c r="D261" s="28" t="str">
        <f>_xlfn.XLOOKUP(B261,'Payee Ref'!A:A,'Payee Ref'!B:B,"unassigned",0,1)</f>
        <v>Travel</v>
      </c>
      <c r="E261" s="28" t="str">
        <f>_xlfn.XLOOKUP(B261,'Payee Ref'!A:A,'Payee Ref'!C:C,"unassigned",0,1)</f>
        <v>Luxury</v>
      </c>
      <c r="F261" s="28" t="s">
        <v>2208</v>
      </c>
    </row>
    <row r="262" spans="1:6" x14ac:dyDescent="0.2">
      <c r="A262" s="63">
        <v>45869</v>
      </c>
      <c r="B262" t="s">
        <v>2363</v>
      </c>
      <c r="C262">
        <v>37.76</v>
      </c>
      <c r="D262" s="28" t="str">
        <f>_xlfn.XLOOKUP(B262,'Payee Ref'!A:A,'Payee Ref'!B:B,"unassigned",0,1)</f>
        <v>Travel</v>
      </c>
      <c r="E262" s="28" t="str">
        <f>_xlfn.XLOOKUP(B262,'Payee Ref'!A:A,'Payee Ref'!C:C,"unassigned",0,1)</f>
        <v>Luxury</v>
      </c>
      <c r="F262" s="28" t="s">
        <v>2208</v>
      </c>
    </row>
    <row r="263" spans="1:6" x14ac:dyDescent="0.2">
      <c r="A263" s="63">
        <v>45869</v>
      </c>
      <c r="B263" t="s">
        <v>2320</v>
      </c>
      <c r="C263">
        <v>19.739999999999998</v>
      </c>
      <c r="D263" s="28" t="str">
        <f>_xlfn.XLOOKUP(B263,'Payee Ref'!A:A,'Payee Ref'!B:B,"unassigned",0,1)</f>
        <v>Travel</v>
      </c>
      <c r="E263" s="28" t="str">
        <f>_xlfn.XLOOKUP(B263,'Payee Ref'!A:A,'Payee Ref'!C:C,"unassigned",0,1)</f>
        <v>Luxury</v>
      </c>
      <c r="F263" s="28" t="s">
        <v>2208</v>
      </c>
    </row>
    <row r="264" spans="1:6" x14ac:dyDescent="0.2">
      <c r="A264" s="63">
        <v>45868</v>
      </c>
      <c r="B264" t="s">
        <v>1066</v>
      </c>
      <c r="C264">
        <v>179</v>
      </c>
      <c r="D264" s="28" t="str">
        <f>_xlfn.XLOOKUP(B264,'Payee Ref'!A:A,'Payee Ref'!B:B,"unassigned",0,1)</f>
        <v>Travel</v>
      </c>
      <c r="E264" s="28" t="str">
        <f>_xlfn.XLOOKUP(B264,'Payee Ref'!A:A,'Payee Ref'!C:C,"unassigned",0,1)</f>
        <v>Luxury</v>
      </c>
      <c r="F264" s="28" t="s">
        <v>2208</v>
      </c>
    </row>
    <row r="265" spans="1:6" x14ac:dyDescent="0.2">
      <c r="A265" s="63">
        <v>45867</v>
      </c>
      <c r="B265" t="s">
        <v>2222</v>
      </c>
      <c r="C265">
        <v>2</v>
      </c>
      <c r="D265" s="28" t="str">
        <f>_xlfn.XLOOKUP(B265,'Payee Ref'!A:A,'Payee Ref'!B:B,"unassigned",0,1)</f>
        <v>Professional</v>
      </c>
      <c r="E265" s="28" t="str">
        <f>_xlfn.XLOOKUP(B265,'Payee Ref'!A:A,'Payee Ref'!C:C,"unassigned",0,1)</f>
        <v>Basic</v>
      </c>
      <c r="F265" s="28" t="s">
        <v>2208</v>
      </c>
    </row>
    <row r="266" spans="1:6" x14ac:dyDescent="0.2">
      <c r="A266" s="63">
        <v>45866</v>
      </c>
      <c r="B266" t="s">
        <v>2360</v>
      </c>
      <c r="C266">
        <v>37.409999999999997</v>
      </c>
      <c r="D266" s="28" t="str">
        <f>_xlfn.XLOOKUP(B266,'Payee Ref'!A:A,'Payee Ref'!B:B,"unassigned",0,1)</f>
        <v>Travel</v>
      </c>
      <c r="E266" s="28" t="str">
        <f>_xlfn.XLOOKUP(B266,'Payee Ref'!A:A,'Payee Ref'!C:C,"unassigned",0,1)</f>
        <v>Luxury</v>
      </c>
      <c r="F266" s="28" t="s">
        <v>2208</v>
      </c>
    </row>
    <row r="267" spans="1:6" x14ac:dyDescent="0.2">
      <c r="A267" s="63">
        <v>45865</v>
      </c>
      <c r="B267" t="s">
        <v>2345</v>
      </c>
      <c r="C267">
        <v>28.91</v>
      </c>
      <c r="D267" s="28" t="str">
        <f>_xlfn.XLOOKUP(B267,'Payee Ref'!A:A,'Payee Ref'!B:B,"unassigned",0,1)</f>
        <v>Travel</v>
      </c>
      <c r="E267" s="28" t="str">
        <f>_xlfn.XLOOKUP(B267,'Payee Ref'!A:A,'Payee Ref'!C:C,"unassigned",0,1)</f>
        <v>Luxury</v>
      </c>
      <c r="F267" s="28" t="s">
        <v>2208</v>
      </c>
    </row>
    <row r="268" spans="1:6" x14ac:dyDescent="0.2">
      <c r="A268" s="63">
        <v>45865</v>
      </c>
      <c r="B268" t="s">
        <v>2257</v>
      </c>
      <c r="C268">
        <v>7.18</v>
      </c>
      <c r="D268" s="28" t="str">
        <f>_xlfn.XLOOKUP(B268,'Payee Ref'!A:A,'Payee Ref'!B:B,"unassigned",0,1)</f>
        <v>Travel</v>
      </c>
      <c r="E268" s="28" t="str">
        <f>_xlfn.XLOOKUP(B268,'Payee Ref'!A:A,'Payee Ref'!C:C,"unassigned",0,1)</f>
        <v>Luxury</v>
      </c>
      <c r="F268" s="28" t="s">
        <v>2208</v>
      </c>
    </row>
    <row r="269" spans="1:6" x14ac:dyDescent="0.2">
      <c r="A269" s="63">
        <v>45865</v>
      </c>
      <c r="B269" t="s">
        <v>2312</v>
      </c>
      <c r="C269">
        <v>16.920000000000002</v>
      </c>
      <c r="D269" s="28" t="str">
        <f>_xlfn.XLOOKUP(B269,'Payee Ref'!A:A,'Payee Ref'!B:B,"unassigned",0,1)</f>
        <v>Travel</v>
      </c>
      <c r="E269" s="28" t="str">
        <f>_xlfn.XLOOKUP(B269,'Payee Ref'!A:A,'Payee Ref'!C:C,"unassigned",0,1)</f>
        <v>Luxury</v>
      </c>
      <c r="F269" s="28" t="s">
        <v>2208</v>
      </c>
    </row>
    <row r="270" spans="1:6" x14ac:dyDescent="0.2">
      <c r="A270" s="63">
        <v>45865</v>
      </c>
      <c r="B270" t="s">
        <v>2260</v>
      </c>
      <c r="C270">
        <v>11.5</v>
      </c>
      <c r="D270" s="28" t="str">
        <f>_xlfn.XLOOKUP(B270,'Payee Ref'!A:A,'Payee Ref'!B:B,"unassigned",0,1)</f>
        <v>Travel</v>
      </c>
      <c r="E270" s="28" t="str">
        <f>_xlfn.XLOOKUP(B270,'Payee Ref'!A:A,'Payee Ref'!C:C,"unassigned",0,1)</f>
        <v>Luxury</v>
      </c>
      <c r="F270" s="28" t="s">
        <v>2208</v>
      </c>
    </row>
    <row r="271" spans="1:6" x14ac:dyDescent="0.2">
      <c r="A271" s="63">
        <v>45865</v>
      </c>
      <c r="B271" t="s">
        <v>2221</v>
      </c>
      <c r="C271">
        <v>12.33</v>
      </c>
      <c r="D271" s="28" t="str">
        <f>_xlfn.XLOOKUP(B271,'Payee Ref'!A:A,'Payee Ref'!B:B,"unassigned",0,1)</f>
        <v>Travel</v>
      </c>
      <c r="E271" s="28" t="str">
        <f>_xlfn.XLOOKUP(B271,'Payee Ref'!A:A,'Payee Ref'!C:C,"unassigned",0,1)</f>
        <v>Luxury</v>
      </c>
      <c r="F271" s="28" t="s">
        <v>2208</v>
      </c>
    </row>
    <row r="272" spans="1:6" x14ac:dyDescent="0.2">
      <c r="A272" s="63">
        <v>45865</v>
      </c>
      <c r="B272" t="s">
        <v>2403</v>
      </c>
      <c r="C272">
        <v>74.44</v>
      </c>
      <c r="D272" s="28">
        <f>_xlfn.XLOOKUP(B272,'Payee Ref'!A:A,'Payee Ref'!B:B,"unassigned",0,1)</f>
        <v>0</v>
      </c>
      <c r="E272" s="28">
        <f>_xlfn.XLOOKUP(B272,'Payee Ref'!A:A,'Payee Ref'!C:C,"unassigned",0,1)</f>
        <v>0</v>
      </c>
      <c r="F272" s="28" t="s">
        <v>2208</v>
      </c>
    </row>
    <row r="273" spans="1:6" x14ac:dyDescent="0.2">
      <c r="A273" s="63">
        <v>45863</v>
      </c>
      <c r="B273" t="s">
        <v>2334</v>
      </c>
      <c r="C273">
        <v>23.81</v>
      </c>
      <c r="D273" s="28" t="str">
        <f>_xlfn.XLOOKUP(B273,'Payee Ref'!A:A,'Payee Ref'!B:B,"unassigned",0,1)</f>
        <v>Travel</v>
      </c>
      <c r="E273" s="28" t="str">
        <f>_xlfn.XLOOKUP(B273,'Payee Ref'!A:A,'Payee Ref'!C:C,"unassigned",0,1)</f>
        <v>Luxury</v>
      </c>
      <c r="F273" s="28" t="s">
        <v>2208</v>
      </c>
    </row>
    <row r="274" spans="1:6" x14ac:dyDescent="0.2">
      <c r="A274" s="63">
        <v>45863</v>
      </c>
      <c r="B274" t="s">
        <v>2258</v>
      </c>
      <c r="C274">
        <v>7.37</v>
      </c>
      <c r="D274" s="28" t="str">
        <f>_xlfn.XLOOKUP(B274,'Payee Ref'!A:A,'Payee Ref'!B:B,"unassigned",0,1)</f>
        <v>Travel</v>
      </c>
      <c r="E274" s="28" t="str">
        <f>_xlfn.XLOOKUP(B274,'Payee Ref'!A:A,'Payee Ref'!C:C,"unassigned",0,1)</f>
        <v>Luxury</v>
      </c>
      <c r="F274" s="28" t="s">
        <v>2208</v>
      </c>
    </row>
    <row r="275" spans="1:6" x14ac:dyDescent="0.2">
      <c r="A275" s="63">
        <v>45863</v>
      </c>
      <c r="B275" t="s">
        <v>801</v>
      </c>
      <c r="C275">
        <v>95</v>
      </c>
      <c r="D275" s="28" t="str">
        <f>_xlfn.XLOOKUP(B275,'Payee Ref'!A:A,'Payee Ref'!B:B,"unassigned",0,1)</f>
        <v>Membership</v>
      </c>
      <c r="E275" s="28" t="str">
        <f>_xlfn.XLOOKUP(B275,'Payee Ref'!A:A,'Payee Ref'!C:C,"unassigned",0,1)</f>
        <v>Luxury</v>
      </c>
      <c r="F275" s="28" t="s">
        <v>2208</v>
      </c>
    </row>
    <row r="276" spans="1:6" x14ac:dyDescent="0.2">
      <c r="A276" s="63">
        <v>45862</v>
      </c>
      <c r="B276" t="s">
        <v>2398</v>
      </c>
      <c r="C276">
        <v>68.739999999999995</v>
      </c>
      <c r="D276" s="28" t="str">
        <f>_xlfn.XLOOKUP(B276,'Payee Ref'!A:A,'Payee Ref'!B:B,"unassigned",0,1)</f>
        <v>Home &amp; Garden</v>
      </c>
      <c r="E276" s="28" t="str">
        <f>_xlfn.XLOOKUP(B276,'Payee Ref'!A:A,'Payee Ref'!C:C,"unassigned",0,1)</f>
        <v>Basic</v>
      </c>
      <c r="F276" s="28" t="s">
        <v>2208</v>
      </c>
    </row>
    <row r="277" spans="1:6" x14ac:dyDescent="0.2">
      <c r="A277" s="63">
        <v>45862</v>
      </c>
      <c r="B277" t="s">
        <v>2426</v>
      </c>
      <c r="C277">
        <v>195.47</v>
      </c>
      <c r="D277" s="28" t="str">
        <f>_xlfn.XLOOKUP(B277,'Payee Ref'!A:A,'Payee Ref'!B:B,"unassigned",0,1)</f>
        <v>Clothing</v>
      </c>
      <c r="E277" s="28" t="str">
        <f>_xlfn.XLOOKUP(B277,'Payee Ref'!A:A,'Payee Ref'!C:C,"unassigned",0,1)</f>
        <v>Basic</v>
      </c>
      <c r="F277" s="28" t="s">
        <v>2208</v>
      </c>
    </row>
    <row r="278" spans="1:6" x14ac:dyDescent="0.2">
      <c r="A278" s="63">
        <v>45862</v>
      </c>
      <c r="B278" t="s">
        <v>2414</v>
      </c>
      <c r="C278">
        <v>111.8</v>
      </c>
      <c r="D278" s="28" t="str">
        <f>_xlfn.XLOOKUP(B278,'Payee Ref'!A:A,'Payee Ref'!B:B,"unassigned",0,1)</f>
        <v>Dining</v>
      </c>
      <c r="E278" s="28" t="str">
        <f>_xlfn.XLOOKUP(B278,'Payee Ref'!A:A,'Payee Ref'!C:C,"unassigned",0,1)</f>
        <v>Luxury</v>
      </c>
      <c r="F278" s="28" t="s">
        <v>2208</v>
      </c>
    </row>
    <row r="279" spans="1:6" x14ac:dyDescent="0.2">
      <c r="A279" s="63">
        <v>45862</v>
      </c>
      <c r="B279" t="s">
        <v>1066</v>
      </c>
      <c r="C279">
        <v>181.21</v>
      </c>
      <c r="D279" s="28" t="str">
        <f>_xlfn.XLOOKUP(B279,'Payee Ref'!A:A,'Payee Ref'!B:B,"unassigned",0,1)</f>
        <v>Travel</v>
      </c>
      <c r="E279" s="28" t="str">
        <f>_xlfn.XLOOKUP(B279,'Payee Ref'!A:A,'Payee Ref'!C:C,"unassigned",0,1)</f>
        <v>Luxury</v>
      </c>
      <c r="F279" s="28" t="s">
        <v>2208</v>
      </c>
    </row>
    <row r="280" spans="1:6" x14ac:dyDescent="0.2">
      <c r="A280" s="63">
        <v>45862</v>
      </c>
      <c r="B280" t="s">
        <v>1283</v>
      </c>
      <c r="C280">
        <v>-2940.51</v>
      </c>
      <c r="D280" s="28" t="str">
        <f>_xlfn.XLOOKUP(B280,'Payee Ref'!A:A,'Payee Ref'!B:B,"unassigned",0,1)</f>
        <v>Transfer</v>
      </c>
      <c r="E280" s="28" t="str">
        <f>_xlfn.XLOOKUP(B280,'Payee Ref'!A:A,'Payee Ref'!C:C,"unassigned",0,1)</f>
        <v>Basic</v>
      </c>
      <c r="F280" s="28" t="s">
        <v>2208</v>
      </c>
    </row>
    <row r="281" spans="1:6" x14ac:dyDescent="0.2">
      <c r="A281" s="63">
        <v>45862</v>
      </c>
      <c r="B281" t="s">
        <v>2221</v>
      </c>
      <c r="C281">
        <v>4.96</v>
      </c>
      <c r="D281" s="28" t="str">
        <f>_xlfn.XLOOKUP(B281,'Payee Ref'!A:A,'Payee Ref'!B:B,"unassigned",0,1)</f>
        <v>Travel</v>
      </c>
      <c r="E281" s="28" t="str">
        <f>_xlfn.XLOOKUP(B281,'Payee Ref'!A:A,'Payee Ref'!C:C,"unassigned",0,1)</f>
        <v>Luxury</v>
      </c>
      <c r="F281" s="28" t="s">
        <v>2208</v>
      </c>
    </row>
    <row r="282" spans="1:6" x14ac:dyDescent="0.2">
      <c r="A282" s="63">
        <v>45862</v>
      </c>
      <c r="B282" t="s">
        <v>1284</v>
      </c>
      <c r="C282">
        <v>9.69</v>
      </c>
      <c r="D282" s="28" t="str">
        <f>_xlfn.XLOOKUP(B282,'Payee Ref'!A:A,'Payee Ref'!B:B,"unassigned",0,1)</f>
        <v>Auto</v>
      </c>
      <c r="E282" s="28" t="str">
        <f>_xlfn.XLOOKUP(B282,'Payee Ref'!A:A,'Payee Ref'!C:C,"unassigned",0,1)</f>
        <v>Basic</v>
      </c>
      <c r="F282" s="28" t="s">
        <v>2208</v>
      </c>
    </row>
    <row r="283" spans="1:6" x14ac:dyDescent="0.2">
      <c r="A283" s="63">
        <v>45862</v>
      </c>
      <c r="B283" t="s">
        <v>1284</v>
      </c>
      <c r="C283">
        <v>13.03</v>
      </c>
      <c r="D283" s="28" t="str">
        <f>_xlfn.XLOOKUP(B283,'Payee Ref'!A:A,'Payee Ref'!B:B,"unassigned",0,1)</f>
        <v>Auto</v>
      </c>
      <c r="E283" s="28" t="str">
        <f>_xlfn.XLOOKUP(B283,'Payee Ref'!A:A,'Payee Ref'!C:C,"unassigned",0,1)</f>
        <v>Basic</v>
      </c>
      <c r="F283" s="28" t="s">
        <v>2208</v>
      </c>
    </row>
    <row r="284" spans="1:6" x14ac:dyDescent="0.2">
      <c r="A284" s="63">
        <v>45862</v>
      </c>
      <c r="B284" t="s">
        <v>2347</v>
      </c>
      <c r="C284">
        <v>29.93</v>
      </c>
      <c r="D284" s="28" t="str">
        <f>_xlfn.XLOOKUP(B284,'Payee Ref'!A:A,'Payee Ref'!B:B,"unassigned",0,1)</f>
        <v>Travel</v>
      </c>
      <c r="E284" s="28" t="str">
        <f>_xlfn.XLOOKUP(B284,'Payee Ref'!A:A,'Payee Ref'!C:C,"unassigned",0,1)</f>
        <v>Luxury</v>
      </c>
      <c r="F284" s="28" t="s">
        <v>2208</v>
      </c>
    </row>
    <row r="285" spans="1:6" x14ac:dyDescent="0.2">
      <c r="A285" s="63">
        <v>45861</v>
      </c>
      <c r="B285" t="s">
        <v>861</v>
      </c>
      <c r="C285">
        <v>22.07</v>
      </c>
      <c r="D285" s="28" t="str">
        <f>_xlfn.XLOOKUP(B285,'Payee Ref'!A:A,'Payee Ref'!B:B,"unassigned",0,1)</f>
        <v>Travel</v>
      </c>
      <c r="E285" s="28" t="str">
        <f>_xlfn.XLOOKUP(B285,'Payee Ref'!A:A,'Payee Ref'!C:C,"unassigned",0,1)</f>
        <v>Luxury</v>
      </c>
      <c r="F285" s="28" t="s">
        <v>2208</v>
      </c>
    </row>
    <row r="286" spans="1:6" x14ac:dyDescent="0.2">
      <c r="A286" s="63">
        <v>45861</v>
      </c>
      <c r="B286" t="s">
        <v>2338</v>
      </c>
      <c r="C286">
        <v>25.56</v>
      </c>
      <c r="D286" s="28" t="str">
        <f>_xlfn.XLOOKUP(B286,'Payee Ref'!A:A,'Payee Ref'!B:B,"unassigned",0,1)</f>
        <v>Travel</v>
      </c>
      <c r="E286" s="28" t="str">
        <f>_xlfn.XLOOKUP(B286,'Payee Ref'!A:A,'Payee Ref'!C:C,"unassigned",0,1)</f>
        <v>Luxury</v>
      </c>
      <c r="F286" s="28" t="s">
        <v>2208</v>
      </c>
    </row>
    <row r="287" spans="1:6" x14ac:dyDescent="0.2">
      <c r="A287" s="63">
        <v>45861</v>
      </c>
      <c r="B287" t="s">
        <v>2221</v>
      </c>
      <c r="C287">
        <v>19.68</v>
      </c>
      <c r="D287" s="28" t="str">
        <f>_xlfn.XLOOKUP(B287,'Payee Ref'!A:A,'Payee Ref'!B:B,"unassigned",0,1)</f>
        <v>Travel</v>
      </c>
      <c r="E287" s="28" t="str">
        <f>_xlfn.XLOOKUP(B287,'Payee Ref'!A:A,'Payee Ref'!C:C,"unassigned",0,1)</f>
        <v>Luxury</v>
      </c>
      <c r="F287" s="28" t="s">
        <v>2208</v>
      </c>
    </row>
    <row r="288" spans="1:6" x14ac:dyDescent="0.2">
      <c r="A288" s="63">
        <v>45861</v>
      </c>
      <c r="B288" t="s">
        <v>1284</v>
      </c>
      <c r="C288">
        <v>2.4500000000000002</v>
      </c>
      <c r="D288" s="28" t="str">
        <f>_xlfn.XLOOKUP(B288,'Payee Ref'!A:A,'Payee Ref'!B:B,"unassigned",0,1)</f>
        <v>Auto</v>
      </c>
      <c r="E288" s="28" t="str">
        <f>_xlfn.XLOOKUP(B288,'Payee Ref'!A:A,'Payee Ref'!C:C,"unassigned",0,1)</f>
        <v>Basic</v>
      </c>
      <c r="F288" s="28" t="s">
        <v>2208</v>
      </c>
    </row>
    <row r="289" spans="1:6" x14ac:dyDescent="0.2">
      <c r="A289" s="63">
        <v>45861</v>
      </c>
      <c r="B289" t="s">
        <v>1284</v>
      </c>
      <c r="C289">
        <v>2.78</v>
      </c>
      <c r="D289" s="28" t="str">
        <f>_xlfn.XLOOKUP(B289,'Payee Ref'!A:A,'Payee Ref'!B:B,"unassigned",0,1)</f>
        <v>Auto</v>
      </c>
      <c r="E289" s="28" t="str">
        <f>_xlfn.XLOOKUP(B289,'Payee Ref'!A:A,'Payee Ref'!C:C,"unassigned",0,1)</f>
        <v>Basic</v>
      </c>
      <c r="F289" s="28" t="s">
        <v>2208</v>
      </c>
    </row>
    <row r="290" spans="1:6" x14ac:dyDescent="0.2">
      <c r="A290" s="63">
        <v>45861</v>
      </c>
      <c r="B290" t="s">
        <v>1284</v>
      </c>
      <c r="C290">
        <v>9.0299999999999994</v>
      </c>
      <c r="D290" s="28" t="str">
        <f>_xlfn.XLOOKUP(B290,'Payee Ref'!A:A,'Payee Ref'!B:B,"unassigned",0,1)</f>
        <v>Auto</v>
      </c>
      <c r="E290" s="28" t="str">
        <f>_xlfn.XLOOKUP(B290,'Payee Ref'!A:A,'Payee Ref'!C:C,"unassigned",0,1)</f>
        <v>Basic</v>
      </c>
      <c r="F290" s="28" t="s">
        <v>2208</v>
      </c>
    </row>
    <row r="291" spans="1:6" x14ac:dyDescent="0.2">
      <c r="A291" s="63">
        <v>45861</v>
      </c>
      <c r="B291" t="s">
        <v>2408</v>
      </c>
      <c r="C291">
        <v>84.98</v>
      </c>
      <c r="D291" s="28" t="str">
        <f>_xlfn.XLOOKUP(B291,'Payee Ref'!A:A,'Payee Ref'!B:B,"unassigned",0,1)</f>
        <v>Travel</v>
      </c>
      <c r="E291" s="28" t="str">
        <f>_xlfn.XLOOKUP(B291,'Payee Ref'!A:A,'Payee Ref'!C:C,"unassigned",0,1)</f>
        <v>Luxury</v>
      </c>
      <c r="F291" s="28" t="s">
        <v>2208</v>
      </c>
    </row>
    <row r="292" spans="1:6" x14ac:dyDescent="0.2">
      <c r="A292" s="63">
        <v>45861</v>
      </c>
      <c r="B292" t="s">
        <v>2371</v>
      </c>
      <c r="C292">
        <v>42.86</v>
      </c>
      <c r="D292" s="28">
        <f>_xlfn.XLOOKUP(B292,'Payee Ref'!A:A,'Payee Ref'!B:B,"unassigned",0,1)</f>
        <v>0</v>
      </c>
      <c r="E292" s="28">
        <f>_xlfn.XLOOKUP(B292,'Payee Ref'!A:A,'Payee Ref'!C:C,"unassigned",0,1)</f>
        <v>0</v>
      </c>
      <c r="F292" s="28" t="s">
        <v>2208</v>
      </c>
    </row>
    <row r="293" spans="1:6" x14ac:dyDescent="0.2">
      <c r="A293" s="63">
        <v>45860</v>
      </c>
      <c r="B293" t="s">
        <v>860</v>
      </c>
      <c r="C293">
        <v>21.35</v>
      </c>
      <c r="D293" s="28" t="str">
        <f>_xlfn.XLOOKUP(B293,'Payee Ref'!A:A,'Payee Ref'!B:B,"unassigned",0,1)</f>
        <v>Travel</v>
      </c>
      <c r="E293" s="28" t="str">
        <f>_xlfn.XLOOKUP(B293,'Payee Ref'!A:A,'Payee Ref'!C:C,"unassigned",0,1)</f>
        <v>Luxury</v>
      </c>
      <c r="F293" s="28" t="s">
        <v>2208</v>
      </c>
    </row>
    <row r="294" spans="1:6" x14ac:dyDescent="0.2">
      <c r="A294" s="63">
        <v>45860</v>
      </c>
      <c r="B294" t="s">
        <v>2369</v>
      </c>
      <c r="C294">
        <v>41.2</v>
      </c>
      <c r="D294" s="28" t="str">
        <f>_xlfn.XLOOKUP(B294,'Payee Ref'!A:A,'Payee Ref'!B:B,"unassigned",0,1)</f>
        <v>Travel</v>
      </c>
      <c r="E294" s="28" t="str">
        <f>_xlfn.XLOOKUP(B294,'Payee Ref'!A:A,'Payee Ref'!C:C,"unassigned",0,1)</f>
        <v>Luxury</v>
      </c>
      <c r="F294" s="28" t="s">
        <v>2208</v>
      </c>
    </row>
    <row r="295" spans="1:6" x14ac:dyDescent="0.2">
      <c r="A295" s="63">
        <v>45860</v>
      </c>
      <c r="B295" t="s">
        <v>74</v>
      </c>
      <c r="C295">
        <v>40</v>
      </c>
      <c r="D295" s="28" t="str">
        <f>_xlfn.XLOOKUP(B295,'Payee Ref'!A:A,'Payee Ref'!B:B,"unassigned",0,1)</f>
        <v>Bank Fees</v>
      </c>
      <c r="E295" s="28" t="str">
        <f>_xlfn.XLOOKUP(B295,'Payee Ref'!A:A,'Payee Ref'!C:C,"unassigned",0,1)</f>
        <v>Luxury</v>
      </c>
      <c r="F295" s="28" t="s">
        <v>2208</v>
      </c>
    </row>
    <row r="296" spans="1:6" x14ac:dyDescent="0.2">
      <c r="A296" s="63">
        <v>45860</v>
      </c>
      <c r="B296" t="s">
        <v>2221</v>
      </c>
      <c r="C296">
        <v>4.9400000000000004</v>
      </c>
      <c r="D296" s="28" t="str">
        <f>_xlfn.XLOOKUP(B296,'Payee Ref'!A:A,'Payee Ref'!B:B,"unassigned",0,1)</f>
        <v>Travel</v>
      </c>
      <c r="E296" s="28" t="str">
        <f>_xlfn.XLOOKUP(B296,'Payee Ref'!A:A,'Payee Ref'!C:C,"unassigned",0,1)</f>
        <v>Luxury</v>
      </c>
      <c r="F296" s="28" t="s">
        <v>2208</v>
      </c>
    </row>
    <row r="297" spans="1:6" x14ac:dyDescent="0.2">
      <c r="A297" s="63">
        <v>45860</v>
      </c>
      <c r="B297" t="s">
        <v>2240</v>
      </c>
      <c r="C297">
        <v>4.63</v>
      </c>
      <c r="D297" s="28" t="str">
        <f>_xlfn.XLOOKUP(B297,'Payee Ref'!A:A,'Payee Ref'!B:B,"unassigned",0,1)</f>
        <v>Travel</v>
      </c>
      <c r="E297" s="28" t="str">
        <f>_xlfn.XLOOKUP(B297,'Payee Ref'!A:A,'Payee Ref'!C:C,"unassigned",0,1)</f>
        <v>Luxury</v>
      </c>
      <c r="F297" s="28" t="s">
        <v>2208</v>
      </c>
    </row>
    <row r="298" spans="1:6" x14ac:dyDescent="0.2">
      <c r="A298" s="63">
        <v>45860</v>
      </c>
      <c r="B298" t="s">
        <v>2364</v>
      </c>
      <c r="C298">
        <v>45.04</v>
      </c>
      <c r="D298" s="28" t="str">
        <f>_xlfn.XLOOKUP(B298,'Payee Ref'!A:A,'Payee Ref'!B:B,"unassigned",0,1)</f>
        <v>Travel</v>
      </c>
      <c r="E298" s="28" t="str">
        <f>_xlfn.XLOOKUP(B298,'Payee Ref'!A:A,'Payee Ref'!C:C,"unassigned",0,1)</f>
        <v>Luxury</v>
      </c>
      <c r="F298" s="28" t="s">
        <v>2208</v>
      </c>
    </row>
    <row r="299" spans="1:6" x14ac:dyDescent="0.2">
      <c r="A299" s="63">
        <v>45860</v>
      </c>
      <c r="B299" t="s">
        <v>1284</v>
      </c>
      <c r="C299">
        <v>5.14</v>
      </c>
      <c r="D299" s="28" t="str">
        <f>_xlfn.XLOOKUP(B299,'Payee Ref'!A:A,'Payee Ref'!B:B,"unassigned",0,1)</f>
        <v>Auto</v>
      </c>
      <c r="E299" s="28" t="str">
        <f>_xlfn.XLOOKUP(B299,'Payee Ref'!A:A,'Payee Ref'!C:C,"unassigned",0,1)</f>
        <v>Basic</v>
      </c>
      <c r="F299" s="28" t="s">
        <v>2208</v>
      </c>
    </row>
    <row r="300" spans="1:6" x14ac:dyDescent="0.2">
      <c r="A300" s="63">
        <v>45860</v>
      </c>
      <c r="B300" t="s">
        <v>1284</v>
      </c>
      <c r="C300">
        <v>11.28</v>
      </c>
      <c r="D300" s="28" t="str">
        <f>_xlfn.XLOOKUP(B300,'Payee Ref'!A:A,'Payee Ref'!B:B,"unassigned",0,1)</f>
        <v>Auto</v>
      </c>
      <c r="E300" s="28" t="str">
        <f>_xlfn.XLOOKUP(B300,'Payee Ref'!A:A,'Payee Ref'!C:C,"unassigned",0,1)</f>
        <v>Basic</v>
      </c>
      <c r="F300" s="28" t="s">
        <v>2208</v>
      </c>
    </row>
    <row r="301" spans="1:6" x14ac:dyDescent="0.2">
      <c r="A301" s="63">
        <v>45859</v>
      </c>
      <c r="B301" t="s">
        <v>2404</v>
      </c>
      <c r="C301">
        <v>75.38</v>
      </c>
      <c r="D301" s="28" t="str">
        <f>_xlfn.XLOOKUP(B301,'Payee Ref'!A:A,'Payee Ref'!B:B,"unassigned",0,1)</f>
        <v>Travel</v>
      </c>
      <c r="E301" s="28" t="str">
        <f>_xlfn.XLOOKUP(B301,'Payee Ref'!A:A,'Payee Ref'!C:C,"unassigned",0,1)</f>
        <v>Luxury</v>
      </c>
      <c r="F301" s="28" t="s">
        <v>2208</v>
      </c>
    </row>
    <row r="302" spans="1:6" x14ac:dyDescent="0.2">
      <c r="A302" s="63">
        <v>45859</v>
      </c>
      <c r="B302" t="s">
        <v>2356</v>
      </c>
      <c r="C302">
        <v>33.83</v>
      </c>
      <c r="D302" s="28" t="str">
        <f>_xlfn.XLOOKUP(B302,'Payee Ref'!A:A,'Payee Ref'!B:B,"unassigned",0,1)</f>
        <v>Travel</v>
      </c>
      <c r="E302" s="28" t="str">
        <f>_xlfn.XLOOKUP(B302,'Payee Ref'!A:A,'Payee Ref'!C:C,"unassigned",0,1)</f>
        <v>Luxury</v>
      </c>
      <c r="F302" s="28" t="s">
        <v>2208</v>
      </c>
    </row>
    <row r="303" spans="1:6" x14ac:dyDescent="0.2">
      <c r="A303" s="63">
        <v>45859</v>
      </c>
      <c r="B303" t="s">
        <v>2260</v>
      </c>
      <c r="C303">
        <v>7.63</v>
      </c>
      <c r="D303" s="28" t="str">
        <f>_xlfn.XLOOKUP(B303,'Payee Ref'!A:A,'Payee Ref'!B:B,"unassigned",0,1)</f>
        <v>Travel</v>
      </c>
      <c r="E303" s="28" t="str">
        <f>_xlfn.XLOOKUP(B303,'Payee Ref'!A:A,'Payee Ref'!C:C,"unassigned",0,1)</f>
        <v>Luxury</v>
      </c>
      <c r="F303" s="28" t="s">
        <v>2208</v>
      </c>
    </row>
    <row r="304" spans="1:6" x14ac:dyDescent="0.2">
      <c r="A304" s="63">
        <v>45859</v>
      </c>
      <c r="B304" t="s">
        <v>2221</v>
      </c>
      <c r="C304">
        <v>20.92</v>
      </c>
      <c r="D304" s="28" t="str">
        <f>_xlfn.XLOOKUP(B304,'Payee Ref'!A:A,'Payee Ref'!B:B,"unassigned",0,1)</f>
        <v>Travel</v>
      </c>
      <c r="E304" s="28" t="str">
        <f>_xlfn.XLOOKUP(B304,'Payee Ref'!A:A,'Payee Ref'!C:C,"unassigned",0,1)</f>
        <v>Luxury</v>
      </c>
      <c r="F304" s="28" t="s">
        <v>2208</v>
      </c>
    </row>
    <row r="305" spans="1:6" x14ac:dyDescent="0.2">
      <c r="A305" s="63">
        <v>45858</v>
      </c>
      <c r="B305" t="s">
        <v>2437</v>
      </c>
      <c r="C305">
        <v>404.19</v>
      </c>
      <c r="D305" s="28" t="str">
        <f>_xlfn.XLOOKUP(B305,'Payee Ref'!A:A,'Payee Ref'!B:B,"unassigned",0,1)</f>
        <v>Travel</v>
      </c>
      <c r="E305" s="28" t="str">
        <f>_xlfn.XLOOKUP(B305,'Payee Ref'!A:A,'Payee Ref'!C:C,"unassigned",0,1)</f>
        <v>Luxury</v>
      </c>
      <c r="F305" s="28" t="s">
        <v>2208</v>
      </c>
    </row>
    <row r="306" spans="1:6" x14ac:dyDescent="0.2">
      <c r="A306" s="63">
        <v>45858</v>
      </c>
      <c r="B306" t="s">
        <v>2392</v>
      </c>
      <c r="C306">
        <v>64.760000000000005</v>
      </c>
      <c r="D306" s="28" t="str">
        <f>_xlfn.XLOOKUP(B306,'Payee Ref'!A:A,'Payee Ref'!B:B,"unassigned",0,1)</f>
        <v>Travel</v>
      </c>
      <c r="E306" s="28" t="str">
        <f>_xlfn.XLOOKUP(B306,'Payee Ref'!A:A,'Payee Ref'!C:C,"unassigned",0,1)</f>
        <v>Luxury</v>
      </c>
      <c r="F306" s="28" t="s">
        <v>2208</v>
      </c>
    </row>
    <row r="307" spans="1:6" x14ac:dyDescent="0.2">
      <c r="A307" s="63">
        <v>45858</v>
      </c>
      <c r="B307" t="s">
        <v>2346</v>
      </c>
      <c r="C307">
        <v>29.4</v>
      </c>
      <c r="D307" s="28" t="str">
        <f>_xlfn.XLOOKUP(B307,'Payee Ref'!A:A,'Payee Ref'!B:B,"unassigned",0,1)</f>
        <v>Travel</v>
      </c>
      <c r="E307" s="28" t="str">
        <f>_xlfn.XLOOKUP(B307,'Payee Ref'!A:A,'Payee Ref'!C:C,"unassigned",0,1)</f>
        <v>Luxury</v>
      </c>
      <c r="F307" s="28" t="s">
        <v>2208</v>
      </c>
    </row>
    <row r="308" spans="1:6" x14ac:dyDescent="0.2">
      <c r="A308" s="63">
        <v>45858</v>
      </c>
      <c r="B308" t="s">
        <v>2221</v>
      </c>
      <c r="C308">
        <v>1.96</v>
      </c>
      <c r="D308" s="28" t="str">
        <f>_xlfn.XLOOKUP(B308,'Payee Ref'!A:A,'Payee Ref'!B:B,"unassigned",0,1)</f>
        <v>Travel</v>
      </c>
      <c r="E308" s="28" t="str">
        <f>_xlfn.XLOOKUP(B308,'Payee Ref'!A:A,'Payee Ref'!C:C,"unassigned",0,1)</f>
        <v>Luxury</v>
      </c>
      <c r="F308" s="28" t="s">
        <v>2208</v>
      </c>
    </row>
    <row r="309" spans="1:6" x14ac:dyDescent="0.2">
      <c r="A309" s="63">
        <v>45858</v>
      </c>
      <c r="B309" t="s">
        <v>2221</v>
      </c>
      <c r="C309">
        <v>15.5</v>
      </c>
      <c r="D309" s="28" t="str">
        <f>_xlfn.XLOOKUP(B309,'Payee Ref'!A:A,'Payee Ref'!B:B,"unassigned",0,1)</f>
        <v>Travel</v>
      </c>
      <c r="E309" s="28" t="str">
        <f>_xlfn.XLOOKUP(B309,'Payee Ref'!A:A,'Payee Ref'!C:C,"unassigned",0,1)</f>
        <v>Luxury</v>
      </c>
      <c r="F309" s="28" t="s">
        <v>2208</v>
      </c>
    </row>
    <row r="310" spans="1:6" x14ac:dyDescent="0.2">
      <c r="A310" s="63">
        <v>45858</v>
      </c>
      <c r="B310" t="s">
        <v>55</v>
      </c>
      <c r="C310">
        <v>19.2</v>
      </c>
      <c r="D310" s="28" t="str">
        <f>_xlfn.XLOOKUP(B310,'Payee Ref'!A:A,'Payee Ref'!B:B,"unassigned",0,1)</f>
        <v>Auto</v>
      </c>
      <c r="E310" s="28" t="str">
        <f>_xlfn.XLOOKUP(B310,'Payee Ref'!A:A,'Payee Ref'!C:C,"unassigned",0,1)</f>
        <v>basic</v>
      </c>
      <c r="F310" s="28" t="s">
        <v>2208</v>
      </c>
    </row>
    <row r="311" spans="1:6" x14ac:dyDescent="0.2">
      <c r="A311" s="63">
        <v>45857</v>
      </c>
      <c r="B311" t="s">
        <v>2364</v>
      </c>
      <c r="C311">
        <v>37.950000000000003</v>
      </c>
      <c r="D311" s="28" t="str">
        <f>_xlfn.XLOOKUP(B311,'Payee Ref'!A:A,'Payee Ref'!B:B,"unassigned",0,1)</f>
        <v>Travel</v>
      </c>
      <c r="E311" s="28" t="str">
        <f>_xlfn.XLOOKUP(B311,'Payee Ref'!A:A,'Payee Ref'!C:C,"unassigned",0,1)</f>
        <v>Luxury</v>
      </c>
      <c r="F311" s="28" t="s">
        <v>2208</v>
      </c>
    </row>
    <row r="312" spans="1:6" x14ac:dyDescent="0.2">
      <c r="A312" s="63">
        <v>45857</v>
      </c>
      <c r="B312" t="s">
        <v>2397</v>
      </c>
      <c r="C312">
        <v>68.510000000000005</v>
      </c>
      <c r="D312" s="28" t="str">
        <f>_xlfn.XLOOKUP(B312,'Payee Ref'!A:A,'Payee Ref'!B:B,"unassigned",0,1)</f>
        <v>Travel</v>
      </c>
      <c r="E312" s="28" t="str">
        <f>_xlfn.XLOOKUP(B312,'Payee Ref'!A:A,'Payee Ref'!C:C,"unassigned",0,1)</f>
        <v>Luxury</v>
      </c>
      <c r="F312" s="28" t="s">
        <v>2208</v>
      </c>
    </row>
    <row r="313" spans="1:6" x14ac:dyDescent="0.2">
      <c r="A313" s="63">
        <v>45856</v>
      </c>
      <c r="B313" t="s">
        <v>2221</v>
      </c>
      <c r="C313">
        <v>5.68</v>
      </c>
      <c r="D313" s="28" t="str">
        <f>_xlfn.XLOOKUP(B313,'Payee Ref'!A:A,'Payee Ref'!B:B,"unassigned",0,1)</f>
        <v>Travel</v>
      </c>
      <c r="E313" s="28" t="str">
        <f>_xlfn.XLOOKUP(B313,'Payee Ref'!A:A,'Payee Ref'!C:C,"unassigned",0,1)</f>
        <v>Luxury</v>
      </c>
      <c r="F313" s="28" t="s">
        <v>2208</v>
      </c>
    </row>
    <row r="314" spans="1:6" x14ac:dyDescent="0.2">
      <c r="A314" s="63">
        <v>45855</v>
      </c>
      <c r="B314" t="s">
        <v>2315</v>
      </c>
      <c r="C314">
        <v>17.39</v>
      </c>
      <c r="D314" s="28" t="str">
        <f>_xlfn.XLOOKUP(B314,'Payee Ref'!A:A,'Payee Ref'!B:B,"unassigned",0,1)</f>
        <v>Dining</v>
      </c>
      <c r="E314" s="28" t="str">
        <f>_xlfn.XLOOKUP(B314,'Payee Ref'!A:A,'Payee Ref'!C:C,"unassigned",0,1)</f>
        <v>Luxury</v>
      </c>
      <c r="F314" s="28" t="s">
        <v>2208</v>
      </c>
    </row>
    <row r="315" spans="1:6" x14ac:dyDescent="0.2">
      <c r="A315" s="63">
        <v>45855</v>
      </c>
      <c r="B315" t="s">
        <v>478</v>
      </c>
      <c r="C315">
        <v>12.68</v>
      </c>
      <c r="D315" s="28" t="str">
        <f>_xlfn.XLOOKUP(B315,'Payee Ref'!A:A,'Payee Ref'!B:B,"unassigned",0,1)</f>
        <v>Enrichment</v>
      </c>
      <c r="E315" s="28" t="str">
        <f>_xlfn.XLOOKUP(B315,'Payee Ref'!A:A,'Payee Ref'!C:C,"unassigned",0,1)</f>
        <v>Luxury</v>
      </c>
      <c r="F315" s="28" t="s">
        <v>2208</v>
      </c>
    </row>
    <row r="316" spans="1:6" x14ac:dyDescent="0.2">
      <c r="A316" s="63">
        <v>45855</v>
      </c>
      <c r="B316" t="s">
        <v>2431</v>
      </c>
      <c r="C316">
        <v>219.6</v>
      </c>
      <c r="D316" s="28" t="str">
        <f>_xlfn.XLOOKUP(B316,'Payee Ref'!A:A,'Payee Ref'!B:B,"unassigned",0,1)</f>
        <v>Enrichment</v>
      </c>
      <c r="E316" s="28" t="str">
        <f>_xlfn.XLOOKUP(B316,'Payee Ref'!A:A,'Payee Ref'!C:C,"unassigned",0,1)</f>
        <v>Luxury</v>
      </c>
      <c r="F316" s="28" t="s">
        <v>2208</v>
      </c>
    </row>
    <row r="317" spans="1:6" x14ac:dyDescent="0.2">
      <c r="A317" s="63">
        <v>45854</v>
      </c>
      <c r="B317" t="s">
        <v>2386</v>
      </c>
      <c r="C317">
        <v>58.78</v>
      </c>
      <c r="D317" s="28" t="str">
        <f>_xlfn.XLOOKUP(B317,'Payee Ref'!A:A,'Payee Ref'!B:B,"unassigned",0,1)</f>
        <v>Enrichment</v>
      </c>
      <c r="E317" s="28" t="str">
        <f>_xlfn.XLOOKUP(B317,'Payee Ref'!A:A,'Payee Ref'!C:C,"unassigned",0,1)</f>
        <v>Luxury</v>
      </c>
      <c r="F317" s="28" t="s">
        <v>2208</v>
      </c>
    </row>
    <row r="318" spans="1:6" x14ac:dyDescent="0.2">
      <c r="A318" s="63">
        <v>45854</v>
      </c>
      <c r="B318" t="s">
        <v>2307</v>
      </c>
      <c r="C318">
        <v>16.02</v>
      </c>
      <c r="D318" s="28" t="str">
        <f>_xlfn.XLOOKUP(B318,'Payee Ref'!A:A,'Payee Ref'!B:B,"unassigned",0,1)</f>
        <v>Groceries</v>
      </c>
      <c r="E318" s="28" t="str">
        <f>_xlfn.XLOOKUP(B318,'Payee Ref'!A:A,'Payee Ref'!C:C,"unassigned",0,1)</f>
        <v>Basic</v>
      </c>
      <c r="F318" s="28" t="s">
        <v>2208</v>
      </c>
    </row>
    <row r="319" spans="1:6" x14ac:dyDescent="0.2">
      <c r="A319" s="63">
        <v>45854</v>
      </c>
      <c r="B319" t="s">
        <v>2374</v>
      </c>
      <c r="C319">
        <v>45.78</v>
      </c>
      <c r="D319" s="28" t="str">
        <f>_xlfn.XLOOKUP(B319,'Payee Ref'!A:A,'Payee Ref'!B:B,"unassigned",0,1)</f>
        <v>Auto</v>
      </c>
      <c r="E319" s="28" t="str">
        <f>_xlfn.XLOOKUP(B319,'Payee Ref'!A:A,'Payee Ref'!C:C,"unassigned",0,1)</f>
        <v>Basic</v>
      </c>
      <c r="F319" s="28" t="s">
        <v>2208</v>
      </c>
    </row>
    <row r="320" spans="1:6" x14ac:dyDescent="0.2">
      <c r="A320" s="63">
        <v>45854</v>
      </c>
      <c r="B320" t="s">
        <v>2373</v>
      </c>
      <c r="C320">
        <v>43.38</v>
      </c>
      <c r="D320" s="28" t="str">
        <f>_xlfn.XLOOKUP(B320,'Payee Ref'!A:A,'Payee Ref'!B:B,"unassigned",0,1)</f>
        <v>Auto</v>
      </c>
      <c r="E320" s="28" t="str">
        <f>_xlfn.XLOOKUP(B320,'Payee Ref'!A:A,'Payee Ref'!C:C,"unassigned",0,1)</f>
        <v>Basic</v>
      </c>
      <c r="F320" s="28" t="s">
        <v>2208</v>
      </c>
    </row>
    <row r="321" spans="1:6" x14ac:dyDescent="0.2">
      <c r="A321" s="63">
        <v>45853</v>
      </c>
      <c r="B321" t="s">
        <v>2298</v>
      </c>
      <c r="C321">
        <v>14.43</v>
      </c>
      <c r="D321" s="28" t="str">
        <f>_xlfn.XLOOKUP(B321,'Payee Ref'!A:A,'Payee Ref'!B:B,"unassigned",0,1)</f>
        <v>Dining</v>
      </c>
      <c r="E321" s="28" t="str">
        <f>_xlfn.XLOOKUP(B321,'Payee Ref'!A:A,'Payee Ref'!C:C,"unassigned",0,1)</f>
        <v>Luxury</v>
      </c>
      <c r="F321" s="28" t="s">
        <v>2208</v>
      </c>
    </row>
    <row r="322" spans="1:6" x14ac:dyDescent="0.2">
      <c r="A322" s="63">
        <v>45853</v>
      </c>
      <c r="B322" t="s">
        <v>2261</v>
      </c>
      <c r="C322">
        <v>15.29</v>
      </c>
      <c r="D322" s="28" t="str">
        <f>_xlfn.XLOOKUP(B322,'Payee Ref'!A:A,'Payee Ref'!B:B,"unassigned",0,1)</f>
        <v>Travel</v>
      </c>
      <c r="E322" s="28" t="str">
        <f>_xlfn.XLOOKUP(B322,'Payee Ref'!A:A,'Payee Ref'!C:C,"unassigned",0,1)</f>
        <v>Luxury</v>
      </c>
      <c r="F322" s="28" t="s">
        <v>2208</v>
      </c>
    </row>
    <row r="323" spans="1:6" x14ac:dyDescent="0.2">
      <c r="A323" s="63">
        <v>45852</v>
      </c>
      <c r="B323" t="s">
        <v>2289</v>
      </c>
      <c r="C323">
        <v>12.19</v>
      </c>
      <c r="D323" s="28" t="str">
        <f>_xlfn.XLOOKUP(B323,'Payee Ref'!A:A,'Payee Ref'!B:B,"unassigned",0,1)</f>
        <v>Home &amp; Garden</v>
      </c>
      <c r="E323" s="28" t="str">
        <f>_xlfn.XLOOKUP(B323,'Payee Ref'!A:A,'Payee Ref'!C:C,"unassigned",0,1)</f>
        <v>Basic</v>
      </c>
      <c r="F323" s="28" t="s">
        <v>2208</v>
      </c>
    </row>
    <row r="324" spans="1:6" x14ac:dyDescent="0.2">
      <c r="A324" s="63">
        <v>45852</v>
      </c>
      <c r="B324" t="s">
        <v>2435</v>
      </c>
      <c r="C324">
        <v>299.48</v>
      </c>
      <c r="D324" s="28" t="str">
        <f>_xlfn.XLOOKUP(B324,'Payee Ref'!A:A,'Payee Ref'!B:B,"unassigned",0,1)</f>
        <v>Membership</v>
      </c>
      <c r="E324" s="28" t="str">
        <f>_xlfn.XLOOKUP(B324,'Payee Ref'!A:A,'Payee Ref'!C:C,"unassigned",0,1)</f>
        <v>Luxury</v>
      </c>
      <c r="F324" s="28" t="s">
        <v>2208</v>
      </c>
    </row>
    <row r="325" spans="1:6" x14ac:dyDescent="0.2">
      <c r="A325" s="63">
        <v>45850</v>
      </c>
      <c r="B325" t="s">
        <v>801</v>
      </c>
      <c r="C325">
        <v>45</v>
      </c>
      <c r="D325" s="28" t="str">
        <f>_xlfn.XLOOKUP(B325,'Payee Ref'!A:A,'Payee Ref'!B:B,"unassigned",0,1)</f>
        <v>Membership</v>
      </c>
      <c r="E325" s="28" t="str">
        <f>_xlfn.XLOOKUP(B325,'Payee Ref'!A:A,'Payee Ref'!C:C,"unassigned",0,1)</f>
        <v>Luxury</v>
      </c>
      <c r="F325" s="28" t="s">
        <v>2208</v>
      </c>
    </row>
    <row r="326" spans="1:6" x14ac:dyDescent="0.2">
      <c r="A326" s="63">
        <v>45849</v>
      </c>
      <c r="B326" t="s">
        <v>2351</v>
      </c>
      <c r="C326">
        <v>32.53</v>
      </c>
      <c r="D326" s="28" t="str">
        <f>_xlfn.XLOOKUP(B326,'Payee Ref'!A:A,'Payee Ref'!B:B,"unassigned",0,1)</f>
        <v>Dining</v>
      </c>
      <c r="E326" s="28" t="str">
        <f>_xlfn.XLOOKUP(B326,'Payee Ref'!A:A,'Payee Ref'!C:C,"unassigned",0,1)</f>
        <v>Luxury</v>
      </c>
      <c r="F326" s="28" t="s">
        <v>2208</v>
      </c>
    </row>
    <row r="327" spans="1:6" x14ac:dyDescent="0.2">
      <c r="A327" s="63">
        <v>45847</v>
      </c>
      <c r="B327" t="s">
        <v>2343</v>
      </c>
      <c r="C327">
        <v>27.96</v>
      </c>
      <c r="D327" s="28">
        <f>_xlfn.XLOOKUP(B327,'Payee Ref'!A:A,'Payee Ref'!B:B,"unassigned",0,1)</f>
        <v>0</v>
      </c>
      <c r="E327" s="28">
        <f>_xlfn.XLOOKUP(B327,'Payee Ref'!A:A,'Payee Ref'!C:C,"unassigned",0,1)</f>
        <v>0</v>
      </c>
      <c r="F327" s="28" t="s">
        <v>2208</v>
      </c>
    </row>
    <row r="328" spans="1:6" x14ac:dyDescent="0.2">
      <c r="A328" s="63">
        <v>45847</v>
      </c>
      <c r="B328" t="s">
        <v>511</v>
      </c>
      <c r="C328">
        <v>125</v>
      </c>
      <c r="D328" s="28" t="str">
        <f>_xlfn.XLOOKUP(B328,'Payee Ref'!A:A,'Payee Ref'!B:B,"unassigned",0,1)</f>
        <v>Gifts</v>
      </c>
      <c r="E328" s="28" t="str">
        <f>_xlfn.XLOOKUP(B328,'Payee Ref'!A:A,'Payee Ref'!C:C,"unassigned",0,1)</f>
        <v>Luxury</v>
      </c>
      <c r="F328" s="28" t="s">
        <v>2208</v>
      </c>
    </row>
    <row r="329" spans="1:6" x14ac:dyDescent="0.2">
      <c r="A329" s="63">
        <v>45847</v>
      </c>
      <c r="B329" t="s">
        <v>801</v>
      </c>
      <c r="C329">
        <v>125</v>
      </c>
      <c r="D329" s="28" t="str">
        <f>_xlfn.XLOOKUP(B329,'Payee Ref'!A:A,'Payee Ref'!B:B,"unassigned",0,1)</f>
        <v>Membership</v>
      </c>
      <c r="E329" s="28" t="str">
        <f>_xlfn.XLOOKUP(B329,'Payee Ref'!A:A,'Payee Ref'!C:C,"unassigned",0,1)</f>
        <v>Luxury</v>
      </c>
      <c r="F329" s="28" t="s">
        <v>2208</v>
      </c>
    </row>
    <row r="330" spans="1:6" x14ac:dyDescent="0.2">
      <c r="A330" s="63">
        <v>45847</v>
      </c>
      <c r="B330" t="s">
        <v>2270</v>
      </c>
      <c r="C330">
        <v>9.07</v>
      </c>
      <c r="D330" s="28" t="str">
        <f>_xlfn.XLOOKUP(B330,'Payee Ref'!A:A,'Payee Ref'!B:B,"unassigned",0,1)</f>
        <v>Dining</v>
      </c>
      <c r="E330" s="28" t="str">
        <f>_xlfn.XLOOKUP(B330,'Payee Ref'!A:A,'Payee Ref'!C:C,"unassigned",0,1)</f>
        <v>Luxury</v>
      </c>
      <c r="F330" s="28" t="s">
        <v>2208</v>
      </c>
    </row>
    <row r="331" spans="1:6" x14ac:dyDescent="0.2">
      <c r="A331" s="63">
        <v>45846</v>
      </c>
      <c r="B331" t="s">
        <v>2266</v>
      </c>
      <c r="C331">
        <v>8.5</v>
      </c>
      <c r="D331" s="28" t="str">
        <f>_xlfn.XLOOKUP(B331,'Payee Ref'!A:A,'Payee Ref'!B:B,"unassigned",0,1)</f>
        <v>Dining</v>
      </c>
      <c r="E331" s="28" t="str">
        <f>_xlfn.XLOOKUP(B331,'Payee Ref'!A:A,'Payee Ref'!C:C,"unassigned",0,1)</f>
        <v>Luxury</v>
      </c>
      <c r="F331" s="28" t="s">
        <v>2208</v>
      </c>
    </row>
    <row r="332" spans="1:6" x14ac:dyDescent="0.2">
      <c r="A332" s="63">
        <v>45846</v>
      </c>
      <c r="B332" t="s">
        <v>2225</v>
      </c>
      <c r="C332">
        <v>2.4500000000000002</v>
      </c>
      <c r="D332" s="28" t="str">
        <f>_xlfn.XLOOKUP(B332,'Payee Ref'!A:A,'Payee Ref'!B:B,"unassigned",0,1)</f>
        <v>Dining</v>
      </c>
      <c r="E332" s="28" t="str">
        <f>_xlfn.XLOOKUP(B332,'Payee Ref'!A:A,'Payee Ref'!C:C,"unassigned",0,1)</f>
        <v>Luxury</v>
      </c>
      <c r="F332" s="28" t="s">
        <v>2208</v>
      </c>
    </row>
    <row r="333" spans="1:6" x14ac:dyDescent="0.2">
      <c r="A333" s="63">
        <v>45846</v>
      </c>
      <c r="B333" t="s">
        <v>2225</v>
      </c>
      <c r="C333">
        <v>20.34</v>
      </c>
      <c r="D333" s="28" t="str">
        <f>_xlfn.XLOOKUP(B333,'Payee Ref'!A:A,'Payee Ref'!B:B,"unassigned",0,1)</f>
        <v>Dining</v>
      </c>
      <c r="E333" s="28" t="str">
        <f>_xlfn.XLOOKUP(B333,'Payee Ref'!A:A,'Payee Ref'!C:C,"unassigned",0,1)</f>
        <v>Luxury</v>
      </c>
      <c r="F333" s="28" t="s">
        <v>2208</v>
      </c>
    </row>
    <row r="334" spans="1:6" x14ac:dyDescent="0.2">
      <c r="A334" s="63">
        <v>45844</v>
      </c>
      <c r="B334" t="s">
        <v>2252</v>
      </c>
      <c r="C334">
        <v>6.14</v>
      </c>
      <c r="D334" s="28" t="str">
        <f>_xlfn.XLOOKUP(B334,'Payee Ref'!A:A,'Payee Ref'!B:B,"unassigned",0,1)</f>
        <v>Home &amp; Garden</v>
      </c>
      <c r="E334" s="28" t="str">
        <f>_xlfn.XLOOKUP(B334,'Payee Ref'!A:A,'Payee Ref'!C:C,"unassigned",0,1)</f>
        <v>Basic</v>
      </c>
      <c r="F334" s="28" t="s">
        <v>2208</v>
      </c>
    </row>
    <row r="335" spans="1:6" x14ac:dyDescent="0.2">
      <c r="A335" s="63">
        <v>45844</v>
      </c>
      <c r="B335" t="s">
        <v>2220</v>
      </c>
      <c r="C335">
        <v>1.85</v>
      </c>
      <c r="D335" s="28" t="str">
        <f>_xlfn.XLOOKUP(B335,'Payee Ref'!A:A,'Payee Ref'!B:B,"unassigned",0,1)</f>
        <v>Travel</v>
      </c>
      <c r="E335" s="28" t="str">
        <f>_xlfn.XLOOKUP(B335,'Payee Ref'!A:A,'Payee Ref'!C:C,"unassigned",0,1)</f>
        <v>Luxury</v>
      </c>
      <c r="F335" s="28" t="s">
        <v>2208</v>
      </c>
    </row>
    <row r="336" spans="1:6" x14ac:dyDescent="0.2">
      <c r="A336" s="63">
        <v>45844</v>
      </c>
      <c r="B336" t="s">
        <v>2228</v>
      </c>
      <c r="C336">
        <v>2.9</v>
      </c>
      <c r="D336" s="28" t="str">
        <f>_xlfn.XLOOKUP(B336,'Payee Ref'!A:A,'Payee Ref'!B:B,"unassigned",0,1)</f>
        <v>Travel</v>
      </c>
      <c r="E336" s="28" t="str">
        <f>_xlfn.XLOOKUP(B336,'Payee Ref'!A:A,'Payee Ref'!C:C,"unassigned",0,1)</f>
        <v>Luxury</v>
      </c>
      <c r="F336" s="28" t="s">
        <v>2208</v>
      </c>
    </row>
    <row r="337" spans="1:6" x14ac:dyDescent="0.2">
      <c r="A337" s="63">
        <v>45844</v>
      </c>
      <c r="B337" t="s">
        <v>2230</v>
      </c>
      <c r="C337">
        <v>3</v>
      </c>
      <c r="D337" s="28" t="str">
        <f>_xlfn.XLOOKUP(B337,'Payee Ref'!A:A,'Payee Ref'!B:B,"unassigned",0,1)</f>
        <v>Travel</v>
      </c>
      <c r="E337" s="28" t="str">
        <f>_xlfn.XLOOKUP(B337,'Payee Ref'!A:A,'Payee Ref'!C:C,"unassigned",0,1)</f>
        <v>Luxury</v>
      </c>
      <c r="F337" s="28" t="s">
        <v>2208</v>
      </c>
    </row>
    <row r="338" spans="1:6" x14ac:dyDescent="0.2">
      <c r="A338" s="63">
        <v>45844</v>
      </c>
      <c r="B338" t="s">
        <v>2275</v>
      </c>
      <c r="C338">
        <v>9.9700000000000006</v>
      </c>
      <c r="D338" s="28" t="str">
        <f>_xlfn.XLOOKUP(B338,'Payee Ref'!A:A,'Payee Ref'!B:B,"unassigned",0,1)</f>
        <v>Dining</v>
      </c>
      <c r="E338" s="28" t="str">
        <f>_xlfn.XLOOKUP(B338,'Payee Ref'!A:A,'Payee Ref'!C:C,"unassigned",0,1)</f>
        <v>Luxury</v>
      </c>
      <c r="F338" s="28" t="s">
        <v>2208</v>
      </c>
    </row>
    <row r="339" spans="1:6" x14ac:dyDescent="0.2">
      <c r="A339" s="63">
        <v>45843</v>
      </c>
      <c r="B339" t="s">
        <v>1318</v>
      </c>
      <c r="C339">
        <v>66.2</v>
      </c>
      <c r="D339" s="28" t="str">
        <f>_xlfn.XLOOKUP(B339,'Payee Ref'!A:A,'Payee Ref'!B:B,"unassigned",0,1)</f>
        <v>Professional</v>
      </c>
      <c r="E339" s="28" t="str">
        <f>_xlfn.XLOOKUP(B339,'Payee Ref'!A:A,'Payee Ref'!C:C,"unassigned",0,1)</f>
        <v>Basic</v>
      </c>
      <c r="F339" s="28" t="s">
        <v>2208</v>
      </c>
    </row>
    <row r="340" spans="1:6" x14ac:dyDescent="0.2">
      <c r="A340" s="63">
        <v>45843</v>
      </c>
      <c r="B340" t="s">
        <v>2265</v>
      </c>
      <c r="C340">
        <v>8.25</v>
      </c>
      <c r="D340" s="28" t="str">
        <f>_xlfn.XLOOKUP(B340,'Payee Ref'!A:A,'Payee Ref'!B:B,"unassigned",0,1)</f>
        <v>Travel</v>
      </c>
      <c r="E340" s="28" t="str">
        <f>_xlfn.XLOOKUP(B340,'Payee Ref'!A:A,'Payee Ref'!C:C,"unassigned",0,1)</f>
        <v>Luxury</v>
      </c>
      <c r="F340" s="28" t="s">
        <v>2208</v>
      </c>
    </row>
    <row r="341" spans="1:6" x14ac:dyDescent="0.2">
      <c r="A341" s="63">
        <v>45843</v>
      </c>
      <c r="B341" t="s">
        <v>2228</v>
      </c>
      <c r="C341">
        <v>2.9</v>
      </c>
      <c r="D341" s="28" t="str">
        <f>_xlfn.XLOOKUP(B341,'Payee Ref'!A:A,'Payee Ref'!B:B,"unassigned",0,1)</f>
        <v>Travel</v>
      </c>
      <c r="E341" s="28" t="str">
        <f>_xlfn.XLOOKUP(B341,'Payee Ref'!A:A,'Payee Ref'!C:C,"unassigned",0,1)</f>
        <v>Luxury</v>
      </c>
      <c r="F341" s="28" t="s">
        <v>2208</v>
      </c>
    </row>
    <row r="342" spans="1:6" x14ac:dyDescent="0.2">
      <c r="A342" s="63">
        <v>45843</v>
      </c>
      <c r="B342" t="s">
        <v>2228</v>
      </c>
      <c r="C342">
        <v>4.25</v>
      </c>
      <c r="D342" s="28" t="str">
        <f>_xlfn.XLOOKUP(B342,'Payee Ref'!A:A,'Payee Ref'!B:B,"unassigned",0,1)</f>
        <v>Travel</v>
      </c>
      <c r="E342" s="28" t="str">
        <f>_xlfn.XLOOKUP(B342,'Payee Ref'!A:A,'Payee Ref'!C:C,"unassigned",0,1)</f>
        <v>Luxury</v>
      </c>
      <c r="F342" s="28" t="s">
        <v>2208</v>
      </c>
    </row>
    <row r="343" spans="1:6" x14ac:dyDescent="0.2">
      <c r="A343" s="63">
        <v>45843</v>
      </c>
      <c r="B343" t="s">
        <v>2365</v>
      </c>
      <c r="C343">
        <v>39.630000000000003</v>
      </c>
      <c r="D343" s="28" t="str">
        <f>_xlfn.XLOOKUP(B343,'Payee Ref'!A:A,'Payee Ref'!B:B,"unassigned",0,1)</f>
        <v>Dining</v>
      </c>
      <c r="E343" s="28" t="str">
        <f>_xlfn.XLOOKUP(B343,'Payee Ref'!A:A,'Payee Ref'!C:C,"unassigned",0,1)</f>
        <v>Luxury</v>
      </c>
      <c r="F343" s="28" t="s">
        <v>2208</v>
      </c>
    </row>
    <row r="344" spans="1:6" x14ac:dyDescent="0.2">
      <c r="A344" s="63">
        <v>45842</v>
      </c>
      <c r="B344" t="s">
        <v>2421</v>
      </c>
      <c r="C344">
        <v>146.4</v>
      </c>
      <c r="D344" s="28" t="str">
        <f>_xlfn.XLOOKUP(B344,'Payee Ref'!A:A,'Payee Ref'!B:B,"unassigned",0,1)</f>
        <v>Pets</v>
      </c>
      <c r="E344" s="28" t="str">
        <f>_xlfn.XLOOKUP(B344,'Payee Ref'!A:A,'Payee Ref'!C:C,"unassigned",0,1)</f>
        <v>Luxury</v>
      </c>
      <c r="F344" s="28" t="s">
        <v>2208</v>
      </c>
    </row>
    <row r="345" spans="1:6" x14ac:dyDescent="0.2">
      <c r="A345" s="63">
        <v>45841</v>
      </c>
      <c r="B345" t="s">
        <v>2418</v>
      </c>
      <c r="C345">
        <v>125.8</v>
      </c>
      <c r="D345" s="28" t="str">
        <f>_xlfn.XLOOKUP(B345,'Payee Ref'!A:A,'Payee Ref'!B:B,"unassigned",0,1)</f>
        <v>Travel</v>
      </c>
      <c r="E345" s="28" t="str">
        <f>_xlfn.XLOOKUP(B345,'Payee Ref'!A:A,'Payee Ref'!C:C,"unassigned",0,1)</f>
        <v>Luxury</v>
      </c>
      <c r="F345" s="28" t="s">
        <v>2208</v>
      </c>
    </row>
    <row r="346" spans="1:6" x14ac:dyDescent="0.2">
      <c r="A346" s="63">
        <v>45841</v>
      </c>
      <c r="B346" t="s">
        <v>1323</v>
      </c>
      <c r="C346">
        <v>1036.95</v>
      </c>
      <c r="D346" s="28" t="str">
        <f>_xlfn.XLOOKUP(B346,'Payee Ref'!A:A,'Payee Ref'!B:B,"unassigned",0,1)</f>
        <v>Travel</v>
      </c>
      <c r="E346" s="28" t="str">
        <f>_xlfn.XLOOKUP(B346,'Payee Ref'!A:A,'Payee Ref'!C:C,"unassigned",0,1)</f>
        <v>Luxury</v>
      </c>
      <c r="F346" s="28" t="s">
        <v>2208</v>
      </c>
    </row>
    <row r="347" spans="1:6" x14ac:dyDescent="0.2">
      <c r="A347" s="63">
        <v>45840</v>
      </c>
      <c r="B347" t="s">
        <v>926</v>
      </c>
      <c r="C347">
        <v>19.850000000000001</v>
      </c>
      <c r="D347" s="28" t="str">
        <f>_xlfn.XLOOKUP(B347,'Payee Ref'!A:A,'Payee Ref'!B:B,"unassigned",0,1)</f>
        <v>Subscriptions / Digital</v>
      </c>
      <c r="E347" s="28" t="str">
        <f>_xlfn.XLOOKUP(B347,'Payee Ref'!A:A,'Payee Ref'!C:C,"unassigned",0,1)</f>
        <v>Luxury</v>
      </c>
      <c r="F347" s="28" t="s">
        <v>2208</v>
      </c>
    </row>
    <row r="348" spans="1:6" x14ac:dyDescent="0.2">
      <c r="A348" s="63">
        <v>45840</v>
      </c>
      <c r="B348" t="s">
        <v>931</v>
      </c>
      <c r="C348">
        <v>3.3</v>
      </c>
      <c r="D348" s="28" t="str">
        <f>_xlfn.XLOOKUP(B348,'Payee Ref'!A:A,'Payee Ref'!B:B,"unassigned",0,1)</f>
        <v>Subscriptions / Digital</v>
      </c>
      <c r="E348" s="28" t="str">
        <f>_xlfn.XLOOKUP(B348,'Payee Ref'!A:A,'Payee Ref'!C:C,"unassigned",0,1)</f>
        <v>Basic</v>
      </c>
      <c r="F348" s="28" t="s">
        <v>2208</v>
      </c>
    </row>
    <row r="349" spans="1:6" x14ac:dyDescent="0.2">
      <c r="A349" s="63">
        <v>45840</v>
      </c>
      <c r="B349" t="s">
        <v>801</v>
      </c>
      <c r="C349">
        <v>15</v>
      </c>
      <c r="D349" s="28" t="str">
        <f>_xlfn.XLOOKUP(B349,'Payee Ref'!A:A,'Payee Ref'!B:B,"unassigned",0,1)</f>
        <v>Membership</v>
      </c>
      <c r="E349" s="28" t="str">
        <f>_xlfn.XLOOKUP(B349,'Payee Ref'!A:A,'Payee Ref'!C:C,"unassigned",0,1)</f>
        <v>Luxury</v>
      </c>
      <c r="F349" s="28" t="s">
        <v>2208</v>
      </c>
    </row>
    <row r="350" spans="1:6" x14ac:dyDescent="0.2">
      <c r="A350" s="63">
        <v>45839</v>
      </c>
      <c r="B350" t="s">
        <v>2367</v>
      </c>
      <c r="C350">
        <v>40.93</v>
      </c>
      <c r="D350" s="28" t="str">
        <f>_xlfn.XLOOKUP(B350,'Payee Ref'!A:A,'Payee Ref'!B:B,"unassigned",0,1)</f>
        <v>Dining</v>
      </c>
      <c r="E350" s="28" t="str">
        <f>_xlfn.XLOOKUP(B350,'Payee Ref'!A:A,'Payee Ref'!C:C,"unassigned",0,1)</f>
        <v>Luxury</v>
      </c>
      <c r="F350" s="28" t="s">
        <v>2208</v>
      </c>
    </row>
    <row r="351" spans="1:6" x14ac:dyDescent="0.2">
      <c r="A351" s="63">
        <v>45837</v>
      </c>
      <c r="B351" t="s">
        <v>2362</v>
      </c>
      <c r="C351">
        <v>37.72</v>
      </c>
      <c r="D351" s="28" t="str">
        <f>_xlfn.XLOOKUP(B351,'Payee Ref'!A:A,'Payee Ref'!B:B,"unassigned",0,1)</f>
        <v>Dining</v>
      </c>
      <c r="E351" s="28" t="str">
        <f>_xlfn.XLOOKUP(B351,'Payee Ref'!A:A,'Payee Ref'!C:C,"unassigned",0,1)</f>
        <v>Luxury</v>
      </c>
      <c r="F351" s="28" t="s">
        <v>2208</v>
      </c>
    </row>
    <row r="352" spans="1:6" x14ac:dyDescent="0.2">
      <c r="A352" s="63">
        <v>45836</v>
      </c>
      <c r="B352" t="s">
        <v>2222</v>
      </c>
      <c r="C352">
        <v>60</v>
      </c>
      <c r="D352" s="28" t="str">
        <f>_xlfn.XLOOKUP(B352,'Payee Ref'!A:A,'Payee Ref'!B:B,"unassigned",0,1)</f>
        <v>Professional</v>
      </c>
      <c r="E352" s="28" t="str">
        <f>_xlfn.XLOOKUP(B352,'Payee Ref'!A:A,'Payee Ref'!C:C,"unassigned",0,1)</f>
        <v>Basic</v>
      </c>
      <c r="F352" s="28" t="s">
        <v>2208</v>
      </c>
    </row>
    <row r="353" spans="1:6" x14ac:dyDescent="0.2">
      <c r="A353" s="63">
        <v>45836</v>
      </c>
      <c r="B353" t="s">
        <v>2379</v>
      </c>
      <c r="C353">
        <v>52.97</v>
      </c>
      <c r="D353" s="28" t="str">
        <f>_xlfn.XLOOKUP(B353,'Payee Ref'!A:A,'Payee Ref'!B:B,"unassigned",0,1)</f>
        <v>Professional</v>
      </c>
      <c r="E353" s="28" t="str">
        <f>_xlfn.XLOOKUP(B353,'Payee Ref'!A:A,'Payee Ref'!C:C,"unassigned",0,1)</f>
        <v>Basic</v>
      </c>
      <c r="F353" s="28" t="s">
        <v>2208</v>
      </c>
    </row>
    <row r="354" spans="1:6" x14ac:dyDescent="0.2">
      <c r="A354" s="63">
        <v>45834</v>
      </c>
      <c r="B354" t="s">
        <v>2401</v>
      </c>
      <c r="C354">
        <v>71.72</v>
      </c>
      <c r="D354" s="28" t="str">
        <f>_xlfn.XLOOKUP(B354,'Payee Ref'!A:A,'Payee Ref'!B:B,"unassigned",0,1)</f>
        <v>Hardware Technology</v>
      </c>
      <c r="E354" s="28" t="str">
        <f>_xlfn.XLOOKUP(B354,'Payee Ref'!A:A,'Payee Ref'!C:C,"unassigned",0,1)</f>
        <v>Basic</v>
      </c>
      <c r="F354" s="28" t="s">
        <v>2208</v>
      </c>
    </row>
    <row r="355" spans="1:6" x14ac:dyDescent="0.2">
      <c r="A355" s="63">
        <v>45831</v>
      </c>
      <c r="B355" t="s">
        <v>861</v>
      </c>
      <c r="C355">
        <v>22.07</v>
      </c>
      <c r="D355" s="28" t="str">
        <f>_xlfn.XLOOKUP(B355,'Payee Ref'!A:A,'Payee Ref'!B:B,"unassigned",0,1)</f>
        <v>Travel</v>
      </c>
      <c r="E355" s="28" t="str">
        <f>_xlfn.XLOOKUP(B355,'Payee Ref'!A:A,'Payee Ref'!C:C,"unassigned",0,1)</f>
        <v>Luxury</v>
      </c>
      <c r="F355" s="28" t="s">
        <v>2208</v>
      </c>
    </row>
    <row r="356" spans="1:6" x14ac:dyDescent="0.2">
      <c r="A356" s="63">
        <v>45827</v>
      </c>
      <c r="B356" t="s">
        <v>2211</v>
      </c>
      <c r="C356">
        <v>-1543.8</v>
      </c>
      <c r="D356" s="28" t="str">
        <f>_xlfn.XLOOKUP(B356,'Payee Ref'!A:A,'Payee Ref'!B:B,"unassigned",0,1)</f>
        <v>Subscriptions / Digital</v>
      </c>
      <c r="E356" s="28" t="str">
        <f>_xlfn.XLOOKUP(B356,'Payee Ref'!A:A,'Payee Ref'!C:C,"unassigned",0,1)</f>
        <v>Luxury</v>
      </c>
      <c r="F356" s="28" t="s">
        <v>2208</v>
      </c>
    </row>
    <row r="357" spans="1:6" x14ac:dyDescent="0.2">
      <c r="A357" s="63">
        <v>45827</v>
      </c>
      <c r="B357" t="s">
        <v>2261</v>
      </c>
      <c r="C357">
        <v>7.64</v>
      </c>
      <c r="D357" s="28" t="str">
        <f>_xlfn.XLOOKUP(B357,'Payee Ref'!A:A,'Payee Ref'!B:B,"unassigned",0,1)</f>
        <v>Travel</v>
      </c>
      <c r="E357" s="28" t="str">
        <f>_xlfn.XLOOKUP(B357,'Payee Ref'!A:A,'Payee Ref'!C:C,"unassigned",0,1)</f>
        <v>Luxury</v>
      </c>
      <c r="F357" s="28" t="s">
        <v>2208</v>
      </c>
    </row>
    <row r="358" spans="1:6" x14ac:dyDescent="0.2">
      <c r="A358" s="63">
        <v>45826</v>
      </c>
      <c r="B358" t="s">
        <v>2217</v>
      </c>
      <c r="C358">
        <v>-5.51</v>
      </c>
      <c r="D358" s="28" t="str">
        <f>_xlfn.XLOOKUP(B358,'Payee Ref'!A:A,'Payee Ref'!B:B,"unassigned",0,1)</f>
        <v>Subscriptions / Digital</v>
      </c>
      <c r="E358" s="28" t="str">
        <f>_xlfn.XLOOKUP(B358,'Payee Ref'!A:A,'Payee Ref'!C:C,"unassigned",0,1)</f>
        <v>Luxury</v>
      </c>
      <c r="F358" s="28" t="s">
        <v>2208</v>
      </c>
    </row>
    <row r="359" spans="1:6" x14ac:dyDescent="0.2">
      <c r="A359" s="63">
        <v>45826</v>
      </c>
      <c r="B359" t="s">
        <v>946</v>
      </c>
      <c r="C359">
        <v>-7174.87</v>
      </c>
      <c r="D359" s="28" t="str">
        <f>_xlfn.XLOOKUP(B359,'Payee Ref'!A:A,'Payee Ref'!B:B,"unassigned",0,1)</f>
        <v>Transfer</v>
      </c>
      <c r="E359" s="28" t="str">
        <f>_xlfn.XLOOKUP(B359,'Payee Ref'!A:A,'Payee Ref'!C:C,"unassigned",0,1)</f>
        <v>Basic</v>
      </c>
      <c r="F359" s="28" t="s">
        <v>2208</v>
      </c>
    </row>
    <row r="360" spans="1:6" x14ac:dyDescent="0.2">
      <c r="A360" s="63">
        <v>45826</v>
      </c>
      <c r="B360" t="s">
        <v>946</v>
      </c>
      <c r="C360">
        <v>-948.3</v>
      </c>
      <c r="D360" s="28" t="str">
        <f>_xlfn.XLOOKUP(B360,'Payee Ref'!A:A,'Payee Ref'!B:B,"unassigned",0,1)</f>
        <v>Transfer</v>
      </c>
      <c r="E360" s="28" t="str">
        <f>_xlfn.XLOOKUP(B360,'Payee Ref'!A:A,'Payee Ref'!C:C,"unassigned",0,1)</f>
        <v>Basic</v>
      </c>
      <c r="F360" s="28" t="s">
        <v>2208</v>
      </c>
    </row>
    <row r="361" spans="1:6" x14ac:dyDescent="0.2">
      <c r="A361" s="63">
        <v>45825</v>
      </c>
      <c r="B361" t="s">
        <v>2367</v>
      </c>
      <c r="C361">
        <v>42.73</v>
      </c>
      <c r="D361" s="28" t="str">
        <f>_xlfn.XLOOKUP(B361,'Payee Ref'!A:A,'Payee Ref'!B:B,"unassigned",0,1)</f>
        <v>Dining</v>
      </c>
      <c r="E361" s="28" t="str">
        <f>_xlfn.XLOOKUP(B361,'Payee Ref'!A:A,'Payee Ref'!C:C,"unassigned",0,1)</f>
        <v>Luxury</v>
      </c>
      <c r="F361" s="28" t="s">
        <v>2208</v>
      </c>
    </row>
    <row r="362" spans="1:6" x14ac:dyDescent="0.2">
      <c r="A362" s="63">
        <v>45825</v>
      </c>
      <c r="B362" t="s">
        <v>2445</v>
      </c>
      <c r="C362">
        <v>681.16</v>
      </c>
      <c r="D362" s="28" t="str">
        <f>_xlfn.XLOOKUP(B362,'Payee Ref'!A:A,'Payee Ref'!B:B,"unassigned",0,1)</f>
        <v>Travel</v>
      </c>
      <c r="E362" s="28" t="str">
        <f>_xlfn.XLOOKUP(B362,'Payee Ref'!A:A,'Payee Ref'!C:C,"unassigned",0,1)</f>
        <v>Luxury</v>
      </c>
      <c r="F362" s="28" t="s">
        <v>2208</v>
      </c>
    </row>
    <row r="363" spans="1:6" x14ac:dyDescent="0.2">
      <c r="A363" s="63">
        <v>45824</v>
      </c>
      <c r="B363" t="s">
        <v>2333</v>
      </c>
      <c r="C363">
        <v>23.47</v>
      </c>
      <c r="D363" s="28" t="str">
        <f>_xlfn.XLOOKUP(B363,'Payee Ref'!A:A,'Payee Ref'!B:B,"unassigned",0,1)</f>
        <v>Dining</v>
      </c>
      <c r="E363" s="28" t="str">
        <f>_xlfn.XLOOKUP(B363,'Payee Ref'!A:A,'Payee Ref'!C:C,"unassigned",0,1)</f>
        <v>Luxury</v>
      </c>
      <c r="F363" s="28" t="s">
        <v>2208</v>
      </c>
    </row>
    <row r="364" spans="1:6" x14ac:dyDescent="0.2">
      <c r="A364" s="63">
        <v>45824</v>
      </c>
      <c r="B364" t="s">
        <v>557</v>
      </c>
      <c r="C364">
        <v>32.18</v>
      </c>
      <c r="D364" s="28" t="str">
        <f>_xlfn.XLOOKUP(B364,'Payee Ref'!A:A,'Payee Ref'!B:B,"unassigned",0,1)</f>
        <v>Groceries</v>
      </c>
      <c r="E364" s="28" t="str">
        <f>_xlfn.XLOOKUP(B364,'Payee Ref'!A:A,'Payee Ref'!C:C,"unassigned",0,1)</f>
        <v>Basic</v>
      </c>
      <c r="F364" s="28" t="s">
        <v>2208</v>
      </c>
    </row>
    <row r="365" spans="1:6" x14ac:dyDescent="0.2">
      <c r="A365" s="63">
        <v>45822</v>
      </c>
      <c r="B365" t="s">
        <v>2290</v>
      </c>
      <c r="C365">
        <v>12.21</v>
      </c>
      <c r="D365" s="28" t="str">
        <f>_xlfn.XLOOKUP(B365,'Payee Ref'!A:A,'Payee Ref'!B:B,"unassigned",0,1)</f>
        <v>Home &amp; Garden</v>
      </c>
      <c r="E365" s="28" t="str">
        <f>_xlfn.XLOOKUP(B365,'Payee Ref'!A:A,'Payee Ref'!C:C,"unassigned",0,1)</f>
        <v>Basic</v>
      </c>
      <c r="F365" s="28" t="s">
        <v>2208</v>
      </c>
    </row>
    <row r="366" spans="1:6" x14ac:dyDescent="0.2">
      <c r="A366" s="63">
        <v>45822</v>
      </c>
      <c r="B366" t="s">
        <v>2380</v>
      </c>
      <c r="C366">
        <v>52.97</v>
      </c>
      <c r="D366" s="28" t="str">
        <f>_xlfn.XLOOKUP(B366,'Payee Ref'!A:A,'Payee Ref'!B:B,"unassigned",0,1)</f>
        <v>Subscriptions / Digital</v>
      </c>
      <c r="E366" s="28" t="str">
        <f>_xlfn.XLOOKUP(B366,'Payee Ref'!A:A,'Payee Ref'!C:C,"unassigned",0,1)</f>
        <v>Basic</v>
      </c>
      <c r="F366" s="28" t="s">
        <v>2208</v>
      </c>
    </row>
    <row r="367" spans="1:6" x14ac:dyDescent="0.2">
      <c r="A367" s="63">
        <v>45822</v>
      </c>
      <c r="B367" t="s">
        <v>55</v>
      </c>
      <c r="C367">
        <v>14.97</v>
      </c>
      <c r="D367" s="28" t="str">
        <f>_xlfn.XLOOKUP(B367,'Payee Ref'!A:A,'Payee Ref'!B:B,"unassigned",0,1)</f>
        <v>Auto</v>
      </c>
      <c r="E367" s="28" t="str">
        <f>_xlfn.XLOOKUP(B367,'Payee Ref'!A:A,'Payee Ref'!C:C,"unassigned",0,1)</f>
        <v>basic</v>
      </c>
      <c r="F367" s="28" t="s">
        <v>2208</v>
      </c>
    </row>
    <row r="368" spans="1:6" x14ac:dyDescent="0.2">
      <c r="A368" s="63">
        <v>45820</v>
      </c>
      <c r="B368" t="s">
        <v>2427</v>
      </c>
      <c r="C368">
        <v>198.63</v>
      </c>
      <c r="D368" s="28" t="str">
        <f>_xlfn.XLOOKUP(B368,'Payee Ref'!A:A,'Payee Ref'!B:B,"unassigned",0,1)</f>
        <v>Auto</v>
      </c>
      <c r="E368" s="28" t="str">
        <f>_xlfn.XLOOKUP(B368,'Payee Ref'!A:A,'Payee Ref'!C:C,"unassigned",0,1)</f>
        <v>Basic</v>
      </c>
      <c r="F368" s="28" t="s">
        <v>2208</v>
      </c>
    </row>
    <row r="369" spans="1:6" x14ac:dyDescent="0.2">
      <c r="A369" s="63">
        <v>45820</v>
      </c>
      <c r="B369" t="s">
        <v>2226</v>
      </c>
      <c r="C369">
        <v>4.67</v>
      </c>
      <c r="D369" s="28" t="str">
        <f>_xlfn.XLOOKUP(B369,'Payee Ref'!A:A,'Payee Ref'!B:B,"unassigned",0,1)</f>
        <v>Auto</v>
      </c>
      <c r="E369" s="28" t="str">
        <f>_xlfn.XLOOKUP(B369,'Payee Ref'!A:A,'Payee Ref'!C:C,"unassigned",0,1)</f>
        <v>Basic</v>
      </c>
      <c r="F369" s="28" t="s">
        <v>2208</v>
      </c>
    </row>
    <row r="370" spans="1:6" x14ac:dyDescent="0.2">
      <c r="A370" s="63">
        <v>45820</v>
      </c>
      <c r="B370" t="s">
        <v>801</v>
      </c>
      <c r="C370">
        <v>15</v>
      </c>
      <c r="D370" s="28" t="str">
        <f>_xlfn.XLOOKUP(B370,'Payee Ref'!A:A,'Payee Ref'!B:B,"unassigned",0,1)</f>
        <v>Membership</v>
      </c>
      <c r="E370" s="28" t="str">
        <f>_xlfn.XLOOKUP(B370,'Payee Ref'!A:A,'Payee Ref'!C:C,"unassigned",0,1)</f>
        <v>Luxury</v>
      </c>
      <c r="F370" s="28" t="s">
        <v>2208</v>
      </c>
    </row>
    <row r="371" spans="1:6" x14ac:dyDescent="0.2">
      <c r="A371" s="63">
        <v>45820</v>
      </c>
      <c r="B371" t="s">
        <v>855</v>
      </c>
      <c r="C371">
        <v>46.68</v>
      </c>
      <c r="D371" s="28" t="str">
        <f>_xlfn.XLOOKUP(B371,'Payee Ref'!A:A,'Payee Ref'!B:B,"unassigned",0,1)</f>
        <v>Pharmacy</v>
      </c>
      <c r="E371" s="28" t="str">
        <f>_xlfn.XLOOKUP(B371,'Payee Ref'!A:A,'Payee Ref'!C:C,"unassigned",0,1)</f>
        <v>Basic</v>
      </c>
      <c r="F371" s="28" t="s">
        <v>2208</v>
      </c>
    </row>
    <row r="372" spans="1:6" x14ac:dyDescent="0.2">
      <c r="A372" s="63">
        <v>45818</v>
      </c>
      <c r="B372" t="s">
        <v>2440</v>
      </c>
      <c r="C372">
        <v>479.15</v>
      </c>
      <c r="D372" s="28" t="str">
        <f>_xlfn.XLOOKUP(B372,'Payee Ref'!A:A,'Payee Ref'!B:B,"unassigned",0,1)</f>
        <v>Van</v>
      </c>
      <c r="E372" s="28" t="str">
        <f>_xlfn.XLOOKUP(B372,'Payee Ref'!A:A,'Payee Ref'!C:C,"unassigned",0,1)</f>
        <v>Luxury</v>
      </c>
      <c r="F372" s="28" t="s">
        <v>2208</v>
      </c>
    </row>
    <row r="373" spans="1:6" x14ac:dyDescent="0.2">
      <c r="A373" s="63">
        <v>45818</v>
      </c>
      <c r="B373" t="s">
        <v>511</v>
      </c>
      <c r="C373">
        <v>125</v>
      </c>
      <c r="D373" s="28" t="str">
        <f>_xlfn.XLOOKUP(B373,'Payee Ref'!A:A,'Payee Ref'!B:B,"unassigned",0,1)</f>
        <v>Gifts</v>
      </c>
      <c r="E373" s="28" t="str">
        <f>_xlfn.XLOOKUP(B373,'Payee Ref'!A:A,'Payee Ref'!C:C,"unassigned",0,1)</f>
        <v>Luxury</v>
      </c>
      <c r="F373" s="28" t="s">
        <v>2208</v>
      </c>
    </row>
    <row r="374" spans="1:6" x14ac:dyDescent="0.2">
      <c r="A374" s="63">
        <v>45817</v>
      </c>
      <c r="B374" t="s">
        <v>2211</v>
      </c>
      <c r="C374">
        <v>1543.8</v>
      </c>
      <c r="D374" s="28" t="str">
        <f>_xlfn.XLOOKUP(B374,'Payee Ref'!A:A,'Payee Ref'!B:B,"unassigned",0,1)</f>
        <v>Subscriptions / Digital</v>
      </c>
      <c r="E374" s="28" t="str">
        <f>_xlfn.XLOOKUP(B374,'Payee Ref'!A:A,'Payee Ref'!C:C,"unassigned",0,1)</f>
        <v>Luxury</v>
      </c>
      <c r="F374" s="28" t="s">
        <v>2208</v>
      </c>
    </row>
    <row r="375" spans="1:6" x14ac:dyDescent="0.2">
      <c r="A375" s="63">
        <v>45817</v>
      </c>
      <c r="B375" t="s">
        <v>2217</v>
      </c>
      <c r="C375">
        <v>5.51</v>
      </c>
      <c r="D375" s="28" t="str">
        <f>_xlfn.XLOOKUP(B375,'Payee Ref'!A:A,'Payee Ref'!B:B,"unassigned",0,1)</f>
        <v>Subscriptions / Digital</v>
      </c>
      <c r="E375" s="28" t="str">
        <f>_xlfn.XLOOKUP(B375,'Payee Ref'!A:A,'Payee Ref'!C:C,"unassigned",0,1)</f>
        <v>Luxury</v>
      </c>
      <c r="F375" s="28" t="s">
        <v>2208</v>
      </c>
    </row>
    <row r="376" spans="1:6" x14ac:dyDescent="0.2">
      <c r="A376" s="63">
        <v>45817</v>
      </c>
      <c r="B376" t="s">
        <v>801</v>
      </c>
      <c r="C376">
        <v>5.18</v>
      </c>
      <c r="D376" s="28" t="str">
        <f>_xlfn.XLOOKUP(B376,'Payee Ref'!A:A,'Payee Ref'!B:B,"unassigned",0,1)</f>
        <v>Membership</v>
      </c>
      <c r="E376" s="28" t="str">
        <f>_xlfn.XLOOKUP(B376,'Payee Ref'!A:A,'Payee Ref'!C:C,"unassigned",0,1)</f>
        <v>Luxury</v>
      </c>
      <c r="F376" s="28" t="s">
        <v>2208</v>
      </c>
    </row>
    <row r="377" spans="1:6" x14ac:dyDescent="0.2">
      <c r="A377" s="63">
        <v>45817</v>
      </c>
      <c r="B377" t="s">
        <v>801</v>
      </c>
      <c r="C377">
        <v>125</v>
      </c>
      <c r="D377" s="28" t="str">
        <f>_xlfn.XLOOKUP(B377,'Payee Ref'!A:A,'Payee Ref'!B:B,"unassigned",0,1)</f>
        <v>Membership</v>
      </c>
      <c r="E377" s="28" t="str">
        <f>_xlfn.XLOOKUP(B377,'Payee Ref'!A:A,'Payee Ref'!C:C,"unassigned",0,1)</f>
        <v>Luxury</v>
      </c>
      <c r="F377" s="28" t="s">
        <v>2208</v>
      </c>
    </row>
    <row r="378" spans="1:6" x14ac:dyDescent="0.2">
      <c r="A378" s="63">
        <v>45816</v>
      </c>
      <c r="B378" t="s">
        <v>2236</v>
      </c>
      <c r="C378">
        <v>3.8</v>
      </c>
      <c r="D378" s="28" t="str">
        <f>_xlfn.XLOOKUP(B378,'Payee Ref'!A:A,'Payee Ref'!B:B,"unassigned",0,1)</f>
        <v>Travel</v>
      </c>
      <c r="E378" s="28" t="str">
        <f>_xlfn.XLOOKUP(B378,'Payee Ref'!A:A,'Payee Ref'!C:C,"unassigned",0,1)</f>
        <v>Basic</v>
      </c>
      <c r="F378" s="28" t="s">
        <v>2208</v>
      </c>
    </row>
    <row r="379" spans="1:6" x14ac:dyDescent="0.2">
      <c r="A379" s="63">
        <v>45816</v>
      </c>
      <c r="B379" t="s">
        <v>2215</v>
      </c>
      <c r="C379">
        <v>91.23</v>
      </c>
      <c r="D379" s="28" t="str">
        <f>_xlfn.XLOOKUP(B379,'Payee Ref'!A:A,'Payee Ref'!B:B,"unassigned",0,1)</f>
        <v>Travel</v>
      </c>
      <c r="E379" s="28" t="str">
        <f>_xlfn.XLOOKUP(B379,'Payee Ref'!A:A,'Payee Ref'!C:C,"unassigned",0,1)</f>
        <v>Basic</v>
      </c>
      <c r="F379" s="28" t="s">
        <v>2208</v>
      </c>
    </row>
    <row r="380" spans="1:6" x14ac:dyDescent="0.2">
      <c r="A380" s="63">
        <v>45816</v>
      </c>
      <c r="B380" t="s">
        <v>2277</v>
      </c>
      <c r="C380">
        <v>10.039999999999999</v>
      </c>
      <c r="D380" s="28" t="str">
        <f>_xlfn.XLOOKUP(B380,'Payee Ref'!A:A,'Payee Ref'!B:B,"unassigned",0,1)</f>
        <v>Travel</v>
      </c>
      <c r="E380" s="28" t="str">
        <f>_xlfn.XLOOKUP(B380,'Payee Ref'!A:A,'Payee Ref'!C:C,"unassigned",0,1)</f>
        <v>Luxury</v>
      </c>
      <c r="F380" s="28" t="s">
        <v>2208</v>
      </c>
    </row>
    <row r="381" spans="1:6" x14ac:dyDescent="0.2">
      <c r="A381" s="63">
        <v>45816</v>
      </c>
      <c r="B381" t="s">
        <v>2229</v>
      </c>
      <c r="C381">
        <v>26.17</v>
      </c>
      <c r="D381" s="28" t="str">
        <f>_xlfn.XLOOKUP(B381,'Payee Ref'!A:A,'Payee Ref'!B:B,"unassigned",0,1)</f>
        <v>Groceries</v>
      </c>
      <c r="E381" s="28" t="str">
        <f>_xlfn.XLOOKUP(B381,'Payee Ref'!A:A,'Payee Ref'!C:C,"unassigned",0,1)</f>
        <v>Basic</v>
      </c>
      <c r="F381" s="28" t="s">
        <v>2208</v>
      </c>
    </row>
    <row r="382" spans="1:6" x14ac:dyDescent="0.2">
      <c r="A382" s="63">
        <v>45814</v>
      </c>
      <c r="B382" t="s">
        <v>2251</v>
      </c>
      <c r="C382">
        <v>6.12</v>
      </c>
      <c r="D382" s="28" t="str">
        <f>_xlfn.XLOOKUP(B382,'Payee Ref'!A:A,'Payee Ref'!B:B,"unassigned",0,1)</f>
        <v>Home &amp; Garden</v>
      </c>
      <c r="E382" s="28" t="str">
        <f>_xlfn.XLOOKUP(B382,'Payee Ref'!A:A,'Payee Ref'!C:C,"unassigned",0,1)</f>
        <v>Basic</v>
      </c>
      <c r="F382" s="28" t="s">
        <v>2208</v>
      </c>
    </row>
    <row r="383" spans="1:6" x14ac:dyDescent="0.2">
      <c r="A383" s="63">
        <v>45814</v>
      </c>
      <c r="B383" t="s">
        <v>2310</v>
      </c>
      <c r="C383">
        <v>16.54</v>
      </c>
      <c r="D383" s="28" t="str">
        <f>_xlfn.XLOOKUP(B383,'Payee Ref'!A:A,'Payee Ref'!B:B,"unassigned",0,1)</f>
        <v>Clothing</v>
      </c>
      <c r="E383" s="28" t="str">
        <f>_xlfn.XLOOKUP(B383,'Payee Ref'!A:A,'Payee Ref'!C:C,"unassigned",0,1)</f>
        <v>Basic</v>
      </c>
      <c r="F383" s="28" t="s">
        <v>2208</v>
      </c>
    </row>
    <row r="384" spans="1:6" x14ac:dyDescent="0.2">
      <c r="A384" s="63">
        <v>45814</v>
      </c>
      <c r="B384" t="s">
        <v>2215</v>
      </c>
      <c r="C384">
        <v>112.91</v>
      </c>
      <c r="D384" s="28" t="str">
        <f>_xlfn.XLOOKUP(B384,'Payee Ref'!A:A,'Payee Ref'!B:B,"unassigned",0,1)</f>
        <v>Travel</v>
      </c>
      <c r="E384" s="28" t="str">
        <f>_xlfn.XLOOKUP(B384,'Payee Ref'!A:A,'Payee Ref'!C:C,"unassigned",0,1)</f>
        <v>Basic</v>
      </c>
      <c r="F384" s="28" t="s">
        <v>2208</v>
      </c>
    </row>
    <row r="385" spans="1:6" x14ac:dyDescent="0.2">
      <c r="A385" s="63">
        <v>45813</v>
      </c>
      <c r="B385" t="s">
        <v>1343</v>
      </c>
      <c r="C385">
        <v>66.2</v>
      </c>
      <c r="D385" s="28" t="str">
        <f>_xlfn.XLOOKUP(B385,'Payee Ref'!A:A,'Payee Ref'!B:B,"unassigned",0,1)</f>
        <v>Professional</v>
      </c>
      <c r="E385" s="28" t="str">
        <f>_xlfn.XLOOKUP(B385,'Payee Ref'!A:A,'Payee Ref'!C:C,"unassigned",0,1)</f>
        <v>Basic</v>
      </c>
      <c r="F385" s="28" t="s">
        <v>2208</v>
      </c>
    </row>
    <row r="386" spans="1:6" x14ac:dyDescent="0.2">
      <c r="A386" s="63">
        <v>45810</v>
      </c>
      <c r="B386" t="s">
        <v>931</v>
      </c>
      <c r="C386">
        <v>3.3</v>
      </c>
      <c r="D386" s="28" t="str">
        <f>_xlfn.XLOOKUP(B386,'Payee Ref'!A:A,'Payee Ref'!B:B,"unassigned",0,1)</f>
        <v>Subscriptions / Digital</v>
      </c>
      <c r="E386" s="28" t="str">
        <f>_xlfn.XLOOKUP(B386,'Payee Ref'!A:A,'Payee Ref'!C:C,"unassigned",0,1)</f>
        <v>Basic</v>
      </c>
      <c r="F386" s="28" t="s">
        <v>2208</v>
      </c>
    </row>
    <row r="387" spans="1:6" x14ac:dyDescent="0.2">
      <c r="A387" s="63">
        <v>45808</v>
      </c>
      <c r="B387" t="s">
        <v>900</v>
      </c>
      <c r="C387">
        <v>463.34</v>
      </c>
      <c r="D387" s="28" t="str">
        <f>_xlfn.XLOOKUP(B387,'Payee Ref'!A:A,'Payee Ref'!B:B,"unassigned",0,1)</f>
        <v>Subscriptions / Digital</v>
      </c>
      <c r="E387" s="28" t="str">
        <f>_xlfn.XLOOKUP(B387,'Payee Ref'!A:A,'Payee Ref'!C:C,"unassigned",0,1)</f>
        <v>Luxury</v>
      </c>
      <c r="F387" s="28" t="s">
        <v>2208</v>
      </c>
    </row>
    <row r="388" spans="1:6" x14ac:dyDescent="0.2">
      <c r="A388" s="63">
        <v>45808</v>
      </c>
      <c r="B388" t="s">
        <v>2349</v>
      </c>
      <c r="C388">
        <v>30.52</v>
      </c>
      <c r="D388" s="28" t="str">
        <f>_xlfn.XLOOKUP(B388,'Payee Ref'!A:A,'Payee Ref'!B:B,"unassigned",0,1)</f>
        <v>Travel</v>
      </c>
      <c r="E388" s="28" t="str">
        <f>_xlfn.XLOOKUP(B388,'Payee Ref'!A:A,'Payee Ref'!C:C,"unassigned",0,1)</f>
        <v>Basic</v>
      </c>
      <c r="F388" s="28" t="s">
        <v>2208</v>
      </c>
    </row>
    <row r="389" spans="1:6" x14ac:dyDescent="0.2">
      <c r="A389" s="63">
        <v>45808</v>
      </c>
      <c r="B389" t="s">
        <v>2416</v>
      </c>
      <c r="C389">
        <v>121.53</v>
      </c>
      <c r="D389" s="28" t="str">
        <f>_xlfn.XLOOKUP(B389,'Payee Ref'!A:A,'Payee Ref'!B:B,"unassigned",0,1)</f>
        <v>Health &amp; Medical</v>
      </c>
      <c r="E389" s="28" t="str">
        <f>_xlfn.XLOOKUP(B389,'Payee Ref'!A:A,'Payee Ref'!C:C,"unassigned",0,1)</f>
        <v>Basic</v>
      </c>
      <c r="F389" s="28" t="s">
        <v>2208</v>
      </c>
    </row>
    <row r="390" spans="1:6" x14ac:dyDescent="0.2">
      <c r="A390" s="63">
        <v>45807</v>
      </c>
      <c r="B390" t="s">
        <v>2278</v>
      </c>
      <c r="C390">
        <v>10.81</v>
      </c>
      <c r="D390" s="28" t="str">
        <f>_xlfn.XLOOKUP(B390,'Payee Ref'!A:A,'Payee Ref'!B:B,"unassigned",0,1)</f>
        <v>Enrichment</v>
      </c>
      <c r="E390" s="28" t="str">
        <f>_xlfn.XLOOKUP(B390,'Payee Ref'!A:A,'Payee Ref'!C:C,"unassigned",0,1)</f>
        <v>Luxury</v>
      </c>
      <c r="F390" s="28" t="s">
        <v>2208</v>
      </c>
    </row>
    <row r="391" spans="1:6" x14ac:dyDescent="0.2">
      <c r="A391" s="63">
        <v>45806</v>
      </c>
      <c r="B391" t="s">
        <v>2212</v>
      </c>
      <c r="C391">
        <v>-1543.8</v>
      </c>
      <c r="D391" s="28" t="str">
        <f>_xlfn.XLOOKUP(B391,'Payee Ref'!A:A,'Payee Ref'!B:B,"unassigned",0,1)</f>
        <v>Subscriptions / Digital</v>
      </c>
      <c r="E391" s="28" t="str">
        <f>_xlfn.XLOOKUP(B391,'Payee Ref'!A:A,'Payee Ref'!C:C,"unassigned",0,1)</f>
        <v>Luxury</v>
      </c>
      <c r="F391" s="28" t="s">
        <v>2208</v>
      </c>
    </row>
    <row r="392" spans="1:6" x14ac:dyDescent="0.2">
      <c r="A392" s="63">
        <v>45806</v>
      </c>
      <c r="B392" t="s">
        <v>2237</v>
      </c>
      <c r="C392">
        <v>3.97</v>
      </c>
      <c r="D392" s="28" t="str">
        <f>_xlfn.XLOOKUP(B392,'Payee Ref'!A:A,'Payee Ref'!B:B,"unassigned",0,1)</f>
        <v>Dining</v>
      </c>
      <c r="E392" s="28" t="str">
        <f>_xlfn.XLOOKUP(B392,'Payee Ref'!A:A,'Payee Ref'!C:C,"unassigned",0,1)</f>
        <v>Luxury</v>
      </c>
      <c r="F392" s="28" t="s">
        <v>2208</v>
      </c>
    </row>
    <row r="393" spans="1:6" x14ac:dyDescent="0.2">
      <c r="A393" s="63">
        <v>45805</v>
      </c>
      <c r="B393" t="s">
        <v>1349</v>
      </c>
      <c r="C393">
        <v>6.76</v>
      </c>
      <c r="D393" s="28" t="str">
        <f>_xlfn.XLOOKUP(B393,'Payee Ref'!A:A,'Payee Ref'!B:B,"unassigned",0,1)</f>
        <v>Bank Fees</v>
      </c>
      <c r="E393" s="28" t="str">
        <f>_xlfn.XLOOKUP(B393,'Payee Ref'!A:A,'Payee Ref'!C:C,"unassigned",0,1)</f>
        <v>Luxury</v>
      </c>
      <c r="F393" s="28" t="s">
        <v>2208</v>
      </c>
    </row>
    <row r="394" spans="1:6" x14ac:dyDescent="0.2">
      <c r="A394" s="63">
        <v>45805</v>
      </c>
      <c r="B394" t="s">
        <v>1350</v>
      </c>
      <c r="C394">
        <v>195</v>
      </c>
      <c r="D394" s="28" t="str">
        <f>_xlfn.XLOOKUP(B394,'Payee Ref'!A:A,'Payee Ref'!B:B,"unassigned",0,1)</f>
        <v>Subscriptions / Digital</v>
      </c>
      <c r="E394" s="28" t="str">
        <f>_xlfn.XLOOKUP(B394,'Payee Ref'!A:A,'Payee Ref'!C:C,"unassigned",0,1)</f>
        <v>Luxury</v>
      </c>
      <c r="F394" s="28" t="s">
        <v>2208</v>
      </c>
    </row>
    <row r="395" spans="1:6" x14ac:dyDescent="0.2">
      <c r="A395" s="63">
        <v>45805</v>
      </c>
      <c r="B395" t="s">
        <v>1350</v>
      </c>
      <c r="C395">
        <v>695</v>
      </c>
      <c r="D395" s="28" t="str">
        <f>_xlfn.XLOOKUP(B395,'Payee Ref'!A:A,'Payee Ref'!B:B,"unassigned",0,1)</f>
        <v>Subscriptions / Digital</v>
      </c>
      <c r="E395" s="28" t="str">
        <f>_xlfn.XLOOKUP(B395,'Payee Ref'!A:A,'Payee Ref'!C:C,"unassigned",0,1)</f>
        <v>Luxury</v>
      </c>
      <c r="F395" s="28" t="s">
        <v>2208</v>
      </c>
    </row>
    <row r="396" spans="1:6" x14ac:dyDescent="0.2">
      <c r="A396" s="63">
        <v>45805</v>
      </c>
      <c r="B396" t="s">
        <v>2302</v>
      </c>
      <c r="C396">
        <v>15</v>
      </c>
      <c r="D396" s="28">
        <f>_xlfn.XLOOKUP(B396,'Payee Ref'!A:A,'Payee Ref'!B:B,"unassigned",0,1)</f>
        <v>0</v>
      </c>
      <c r="E396" s="28">
        <f>_xlfn.XLOOKUP(B396,'Payee Ref'!A:A,'Payee Ref'!C:C,"unassigned",0,1)</f>
        <v>0</v>
      </c>
      <c r="F396" s="28" t="s">
        <v>2208</v>
      </c>
    </row>
    <row r="397" spans="1:6" x14ac:dyDescent="0.2">
      <c r="A397" s="63">
        <v>45805</v>
      </c>
      <c r="B397" t="s">
        <v>495</v>
      </c>
      <c r="C397">
        <v>13.6</v>
      </c>
      <c r="D397" s="28" t="str">
        <f>_xlfn.XLOOKUP(B397,'Payee Ref'!A:A,'Payee Ref'!B:B,"unassigned",0,1)</f>
        <v>Enrichment</v>
      </c>
      <c r="E397" s="28" t="str">
        <f>_xlfn.XLOOKUP(B397,'Payee Ref'!A:A,'Payee Ref'!C:C,"unassigned",0,1)</f>
        <v>Basic</v>
      </c>
      <c r="F397" s="28" t="s">
        <v>2208</v>
      </c>
    </row>
    <row r="398" spans="1:6" x14ac:dyDescent="0.2">
      <c r="A398" s="63">
        <v>45804</v>
      </c>
      <c r="B398" t="s">
        <v>2213</v>
      </c>
      <c r="C398">
        <v>-423.76</v>
      </c>
      <c r="D398" s="28" t="str">
        <f>_xlfn.XLOOKUP(B398,'Payee Ref'!A:A,'Payee Ref'!B:B,"unassigned",0,1)</f>
        <v>Travel</v>
      </c>
      <c r="E398" s="28" t="str">
        <f>_xlfn.XLOOKUP(B398,'Payee Ref'!A:A,'Payee Ref'!C:C,"unassigned",0,1)</f>
        <v>Luxury</v>
      </c>
      <c r="F398" s="28" t="s">
        <v>2208</v>
      </c>
    </row>
    <row r="399" spans="1:6" x14ac:dyDescent="0.2">
      <c r="A399" s="63">
        <v>45804</v>
      </c>
      <c r="B399" t="s">
        <v>2213</v>
      </c>
      <c r="C399">
        <v>-350.2</v>
      </c>
      <c r="D399" s="28" t="str">
        <f>_xlfn.XLOOKUP(B399,'Payee Ref'!A:A,'Payee Ref'!B:B,"unassigned",0,1)</f>
        <v>Travel</v>
      </c>
      <c r="E399" s="28" t="str">
        <f>_xlfn.XLOOKUP(B399,'Payee Ref'!A:A,'Payee Ref'!C:C,"unassigned",0,1)</f>
        <v>Luxury</v>
      </c>
      <c r="F399" s="28" t="s">
        <v>2208</v>
      </c>
    </row>
    <row r="400" spans="1:6" x14ac:dyDescent="0.2">
      <c r="A400" s="63">
        <v>45802</v>
      </c>
      <c r="B400" t="s">
        <v>2212</v>
      </c>
      <c r="C400">
        <v>77.19</v>
      </c>
      <c r="D400" s="28" t="str">
        <f>_xlfn.XLOOKUP(B400,'Payee Ref'!A:A,'Payee Ref'!B:B,"unassigned",0,1)</f>
        <v>Subscriptions / Digital</v>
      </c>
      <c r="E400" s="28" t="str">
        <f>_xlfn.XLOOKUP(B400,'Payee Ref'!A:A,'Payee Ref'!C:C,"unassigned",0,1)</f>
        <v>Luxury</v>
      </c>
      <c r="F400" s="28" t="s">
        <v>2208</v>
      </c>
    </row>
    <row r="401" spans="1:6" x14ac:dyDescent="0.2">
      <c r="A401" s="63">
        <v>45802</v>
      </c>
      <c r="B401" t="s">
        <v>2215</v>
      </c>
      <c r="C401">
        <v>27.57</v>
      </c>
      <c r="D401" s="28" t="str">
        <f>_xlfn.XLOOKUP(B401,'Payee Ref'!A:A,'Payee Ref'!B:B,"unassigned",0,1)</f>
        <v>Travel</v>
      </c>
      <c r="E401" s="28" t="str">
        <f>_xlfn.XLOOKUP(B401,'Payee Ref'!A:A,'Payee Ref'!C:C,"unassigned",0,1)</f>
        <v>Basic</v>
      </c>
      <c r="F401" s="28" t="s">
        <v>2208</v>
      </c>
    </row>
    <row r="402" spans="1:6" x14ac:dyDescent="0.2">
      <c r="A402" s="63">
        <v>45802</v>
      </c>
      <c r="B402" t="s">
        <v>2384</v>
      </c>
      <c r="C402">
        <v>58.37</v>
      </c>
      <c r="D402" s="28" t="str">
        <f>_xlfn.XLOOKUP(B402,'Payee Ref'!A:A,'Payee Ref'!B:B,"unassigned",0,1)</f>
        <v>Travel</v>
      </c>
      <c r="E402" s="28" t="str">
        <f>_xlfn.XLOOKUP(B402,'Payee Ref'!A:A,'Payee Ref'!C:C,"unassigned",0,1)</f>
        <v>Luxury</v>
      </c>
      <c r="F402" s="28" t="s">
        <v>2208</v>
      </c>
    </row>
    <row r="403" spans="1:6" x14ac:dyDescent="0.2">
      <c r="A403" s="63">
        <v>45802</v>
      </c>
      <c r="B403" t="s">
        <v>2213</v>
      </c>
      <c r="C403">
        <v>773.96</v>
      </c>
      <c r="D403" s="28" t="str">
        <f>_xlfn.XLOOKUP(B403,'Payee Ref'!A:A,'Payee Ref'!B:B,"unassigned",0,1)</f>
        <v>Travel</v>
      </c>
      <c r="E403" s="28" t="str">
        <f>_xlfn.XLOOKUP(B403,'Payee Ref'!A:A,'Payee Ref'!C:C,"unassigned",0,1)</f>
        <v>Luxury</v>
      </c>
      <c r="F403" s="28" t="s">
        <v>2208</v>
      </c>
    </row>
    <row r="404" spans="1:6" x14ac:dyDescent="0.2">
      <c r="A404" s="63">
        <v>45802</v>
      </c>
      <c r="B404" t="s">
        <v>2316</v>
      </c>
      <c r="C404">
        <v>18.02</v>
      </c>
      <c r="D404" s="28" t="str">
        <f>_xlfn.XLOOKUP(B404,'Payee Ref'!A:A,'Payee Ref'!B:B,"unassigned",0,1)</f>
        <v>Dining</v>
      </c>
      <c r="E404" s="28" t="str">
        <f>_xlfn.XLOOKUP(B404,'Payee Ref'!A:A,'Payee Ref'!C:C,"unassigned",0,1)</f>
        <v>Luxury</v>
      </c>
      <c r="F404" s="28" t="s">
        <v>2208</v>
      </c>
    </row>
    <row r="405" spans="1:6" x14ac:dyDescent="0.2">
      <c r="A405" s="63">
        <v>45802</v>
      </c>
      <c r="B405" t="s">
        <v>2373</v>
      </c>
      <c r="C405">
        <v>85.52</v>
      </c>
      <c r="D405" s="28" t="str">
        <f>_xlfn.XLOOKUP(B405,'Payee Ref'!A:A,'Payee Ref'!B:B,"unassigned",0,1)</f>
        <v>Auto</v>
      </c>
      <c r="E405" s="28" t="str">
        <f>_xlfn.XLOOKUP(B405,'Payee Ref'!A:A,'Payee Ref'!C:C,"unassigned",0,1)</f>
        <v>Basic</v>
      </c>
      <c r="F405" s="28" t="s">
        <v>2208</v>
      </c>
    </row>
    <row r="406" spans="1:6" x14ac:dyDescent="0.2">
      <c r="A406" s="63">
        <v>45801</v>
      </c>
      <c r="B406" t="s">
        <v>2326</v>
      </c>
      <c r="C406">
        <v>20.97</v>
      </c>
      <c r="D406" s="28" t="str">
        <f>_xlfn.XLOOKUP(B406,'Payee Ref'!A:A,'Payee Ref'!B:B,"unassigned",0,1)</f>
        <v>Hardware Technology</v>
      </c>
      <c r="E406" s="28" t="str">
        <f>_xlfn.XLOOKUP(B406,'Payee Ref'!A:A,'Payee Ref'!C:C,"unassigned",0,1)</f>
        <v>Basic</v>
      </c>
      <c r="F406" s="28" t="s">
        <v>2208</v>
      </c>
    </row>
    <row r="407" spans="1:6" x14ac:dyDescent="0.2">
      <c r="A407" s="63">
        <v>45801</v>
      </c>
      <c r="B407" t="s">
        <v>2253</v>
      </c>
      <c r="C407">
        <v>6.21</v>
      </c>
      <c r="D407" s="28" t="str">
        <f>_xlfn.XLOOKUP(B407,'Payee Ref'!A:A,'Payee Ref'!B:B,"unassigned",0,1)</f>
        <v>Dining</v>
      </c>
      <c r="E407" s="28" t="str">
        <f>_xlfn.XLOOKUP(B407,'Payee Ref'!A:A,'Payee Ref'!C:C,"unassigned",0,1)</f>
        <v>Luxury</v>
      </c>
      <c r="F407" s="28" t="s">
        <v>2208</v>
      </c>
    </row>
    <row r="408" spans="1:6" x14ac:dyDescent="0.2">
      <c r="A408" s="63">
        <v>45801</v>
      </c>
      <c r="B408" t="s">
        <v>557</v>
      </c>
      <c r="C408">
        <v>7.7</v>
      </c>
      <c r="D408" s="28" t="str">
        <f>_xlfn.XLOOKUP(B408,'Payee Ref'!A:A,'Payee Ref'!B:B,"unassigned",0,1)</f>
        <v>Groceries</v>
      </c>
      <c r="E408" s="28" t="str">
        <f>_xlfn.XLOOKUP(B408,'Payee Ref'!A:A,'Payee Ref'!C:C,"unassigned",0,1)</f>
        <v>Basic</v>
      </c>
      <c r="F408" s="28" t="s">
        <v>2208</v>
      </c>
    </row>
    <row r="409" spans="1:6" x14ac:dyDescent="0.2">
      <c r="A409" s="63">
        <v>45800</v>
      </c>
      <c r="B409" t="s">
        <v>2367</v>
      </c>
      <c r="C409">
        <v>42.14</v>
      </c>
      <c r="D409" s="28" t="str">
        <f>_xlfn.XLOOKUP(B409,'Payee Ref'!A:A,'Payee Ref'!B:B,"unassigned",0,1)</f>
        <v>Dining</v>
      </c>
      <c r="E409" s="28" t="str">
        <f>_xlfn.XLOOKUP(B409,'Payee Ref'!A:A,'Payee Ref'!C:C,"unassigned",0,1)</f>
        <v>Luxury</v>
      </c>
      <c r="F409" s="28" t="s">
        <v>2208</v>
      </c>
    </row>
    <row r="410" spans="1:6" x14ac:dyDescent="0.2">
      <c r="A410" s="63">
        <v>45800</v>
      </c>
      <c r="B410" t="s">
        <v>2215</v>
      </c>
      <c r="C410">
        <v>5.39</v>
      </c>
      <c r="D410" s="28" t="str">
        <f>_xlfn.XLOOKUP(B410,'Payee Ref'!A:A,'Payee Ref'!B:B,"unassigned",0,1)</f>
        <v>Travel</v>
      </c>
      <c r="E410" s="28" t="str">
        <f>_xlfn.XLOOKUP(B410,'Payee Ref'!A:A,'Payee Ref'!C:C,"unassigned",0,1)</f>
        <v>Basic</v>
      </c>
      <c r="F410" s="28" t="s">
        <v>2208</v>
      </c>
    </row>
    <row r="411" spans="1:6" x14ac:dyDescent="0.2">
      <c r="A411" s="63">
        <v>45800</v>
      </c>
      <c r="B411" t="s">
        <v>2348</v>
      </c>
      <c r="C411">
        <v>30</v>
      </c>
      <c r="D411" s="28" t="str">
        <f>_xlfn.XLOOKUP(B411,'Payee Ref'!A:A,'Payee Ref'!B:B,"unassigned",0,1)</f>
        <v>Dining</v>
      </c>
      <c r="E411" s="28" t="str">
        <f>_xlfn.XLOOKUP(B411,'Payee Ref'!A:A,'Payee Ref'!C:C,"unassigned",0,1)</f>
        <v>Luxury</v>
      </c>
      <c r="F411" s="28" t="s">
        <v>2208</v>
      </c>
    </row>
    <row r="412" spans="1:6" x14ac:dyDescent="0.2">
      <c r="A412" s="63">
        <v>45800</v>
      </c>
      <c r="B412" t="s">
        <v>861</v>
      </c>
      <c r="C412">
        <v>22.07</v>
      </c>
      <c r="D412" s="28" t="str">
        <f>_xlfn.XLOOKUP(B412,'Payee Ref'!A:A,'Payee Ref'!B:B,"unassigned",0,1)</f>
        <v>Travel</v>
      </c>
      <c r="E412" s="28" t="str">
        <f>_xlfn.XLOOKUP(B412,'Payee Ref'!A:A,'Payee Ref'!C:C,"unassigned",0,1)</f>
        <v>Luxury</v>
      </c>
      <c r="F412" s="28" t="s">
        <v>2208</v>
      </c>
    </row>
    <row r="413" spans="1:6" x14ac:dyDescent="0.2">
      <c r="A413" s="63">
        <v>45799</v>
      </c>
      <c r="B413" t="s">
        <v>2215</v>
      </c>
      <c r="C413">
        <v>111.95</v>
      </c>
      <c r="D413" s="28" t="str">
        <f>_xlfn.XLOOKUP(B413,'Payee Ref'!A:A,'Payee Ref'!B:B,"unassigned",0,1)</f>
        <v>Travel</v>
      </c>
      <c r="E413" s="28" t="str">
        <f>_xlfn.XLOOKUP(B413,'Payee Ref'!A:A,'Payee Ref'!C:C,"unassigned",0,1)</f>
        <v>Basic</v>
      </c>
      <c r="F413" s="28" t="s">
        <v>2208</v>
      </c>
    </row>
    <row r="414" spans="1:6" x14ac:dyDescent="0.2">
      <c r="A414" s="63">
        <v>45799</v>
      </c>
      <c r="B414" t="s">
        <v>2407</v>
      </c>
      <c r="C414">
        <v>107.6</v>
      </c>
      <c r="D414" s="28" t="str">
        <f>_xlfn.XLOOKUP(B414,'Payee Ref'!A:A,'Payee Ref'!B:B,"unassigned",0,1)</f>
        <v>Travel</v>
      </c>
      <c r="E414" s="28" t="str">
        <f>_xlfn.XLOOKUP(B414,'Payee Ref'!A:A,'Payee Ref'!C:C,"unassigned",0,1)</f>
        <v>Luxury</v>
      </c>
      <c r="F414" s="28" t="s">
        <v>2208</v>
      </c>
    </row>
    <row r="415" spans="1:6" x14ac:dyDescent="0.2">
      <c r="A415" s="63">
        <v>45799</v>
      </c>
      <c r="B415" t="s">
        <v>879</v>
      </c>
      <c r="C415">
        <v>220.7</v>
      </c>
      <c r="D415" s="28" t="str">
        <f>_xlfn.XLOOKUP(B415,'Payee Ref'!A:A,'Payee Ref'!B:B,"unassigned",0,1)</f>
        <v>Professional</v>
      </c>
      <c r="E415" s="28" t="str">
        <f>_xlfn.XLOOKUP(B415,'Payee Ref'!A:A,'Payee Ref'!C:C,"unassigned",0,1)</f>
        <v>Luxury</v>
      </c>
      <c r="F415" s="28" t="s">
        <v>2208</v>
      </c>
    </row>
    <row r="416" spans="1:6" x14ac:dyDescent="0.2">
      <c r="A416" s="63">
        <v>45797</v>
      </c>
      <c r="B416" t="s">
        <v>2335</v>
      </c>
      <c r="C416">
        <v>386.21</v>
      </c>
      <c r="D416" s="28" t="str">
        <f>_xlfn.XLOOKUP(B416,'Payee Ref'!A:A,'Payee Ref'!B:B,"unassigned",0,1)</f>
        <v>Hardware Technology</v>
      </c>
      <c r="E416" s="28" t="str">
        <f>_xlfn.XLOOKUP(B416,'Payee Ref'!A:A,'Payee Ref'!C:C,"unassigned",0,1)</f>
        <v>Basic</v>
      </c>
      <c r="F416" s="28" t="s">
        <v>2208</v>
      </c>
    </row>
    <row r="417" spans="1:6" x14ac:dyDescent="0.2">
      <c r="A417" s="63">
        <v>45797</v>
      </c>
      <c r="B417" t="s">
        <v>2329</v>
      </c>
      <c r="C417">
        <v>22</v>
      </c>
      <c r="D417" s="28">
        <f>_xlfn.XLOOKUP(B417,'Payee Ref'!A:A,'Payee Ref'!B:B,"unassigned",0,1)</f>
        <v>0</v>
      </c>
      <c r="E417" s="28">
        <f>_xlfn.XLOOKUP(B417,'Payee Ref'!A:A,'Payee Ref'!C:C,"unassigned",0,1)</f>
        <v>0</v>
      </c>
      <c r="F417" s="28" t="s">
        <v>2208</v>
      </c>
    </row>
    <row r="418" spans="1:6" x14ac:dyDescent="0.2">
      <c r="A418" s="63">
        <v>45796</v>
      </c>
      <c r="B418" t="s">
        <v>2335</v>
      </c>
      <c r="C418">
        <v>24.25</v>
      </c>
      <c r="D418" s="28" t="str">
        <f>_xlfn.XLOOKUP(B418,'Payee Ref'!A:A,'Payee Ref'!B:B,"unassigned",0,1)</f>
        <v>Hardware Technology</v>
      </c>
      <c r="E418" s="28" t="str">
        <f>_xlfn.XLOOKUP(B418,'Payee Ref'!A:A,'Payee Ref'!C:C,"unassigned",0,1)</f>
        <v>Basic</v>
      </c>
      <c r="F418" s="28" t="s">
        <v>2208</v>
      </c>
    </row>
    <row r="419" spans="1:6" x14ac:dyDescent="0.2">
      <c r="A419" s="63">
        <v>45796</v>
      </c>
      <c r="B419" t="s">
        <v>495</v>
      </c>
      <c r="C419">
        <v>13.22</v>
      </c>
      <c r="D419" s="28" t="str">
        <f>_xlfn.XLOOKUP(B419,'Payee Ref'!A:A,'Payee Ref'!B:B,"unassigned",0,1)</f>
        <v>Enrichment</v>
      </c>
      <c r="E419" s="28" t="str">
        <f>_xlfn.XLOOKUP(B419,'Payee Ref'!A:A,'Payee Ref'!C:C,"unassigned",0,1)</f>
        <v>Basic</v>
      </c>
      <c r="F419" s="28" t="s">
        <v>2208</v>
      </c>
    </row>
    <row r="420" spans="1:6" x14ac:dyDescent="0.2">
      <c r="A420" s="63">
        <v>45795</v>
      </c>
      <c r="B420" t="s">
        <v>2218</v>
      </c>
      <c r="C420">
        <v>0.01</v>
      </c>
      <c r="D420" s="28" t="str">
        <f>_xlfn.XLOOKUP(B420,'Payee Ref'!A:A,'Payee Ref'!B:B,"unassigned",0,1)</f>
        <v>Subscriptions / Digital</v>
      </c>
      <c r="E420" s="28" t="str">
        <f>_xlfn.XLOOKUP(B420,'Payee Ref'!A:A,'Payee Ref'!C:C,"unassigned",0,1)</f>
        <v>Luxury</v>
      </c>
      <c r="F420" s="28" t="s">
        <v>2208</v>
      </c>
    </row>
    <row r="421" spans="1:6" x14ac:dyDescent="0.2">
      <c r="A421" s="63">
        <v>45795</v>
      </c>
      <c r="B421" t="s">
        <v>2391</v>
      </c>
      <c r="C421">
        <v>64</v>
      </c>
      <c r="D421" s="28" t="str">
        <f>_xlfn.XLOOKUP(B421,'Payee Ref'!A:A,'Payee Ref'!B:B,"unassigned",0,1)</f>
        <v>Travel</v>
      </c>
      <c r="E421" s="28" t="str">
        <f>_xlfn.XLOOKUP(B421,'Payee Ref'!A:A,'Payee Ref'!C:C,"unassigned",0,1)</f>
        <v>Luxury</v>
      </c>
      <c r="F421" s="28" t="s">
        <v>2208</v>
      </c>
    </row>
    <row r="422" spans="1:6" x14ac:dyDescent="0.2">
      <c r="A422" s="63">
        <v>45794</v>
      </c>
      <c r="B422" t="s">
        <v>2215</v>
      </c>
      <c r="C422">
        <v>136.26</v>
      </c>
      <c r="D422" s="28" t="str">
        <f>_xlfn.XLOOKUP(B422,'Payee Ref'!A:A,'Payee Ref'!B:B,"unassigned",0,1)</f>
        <v>Travel</v>
      </c>
      <c r="E422" s="28" t="str">
        <f>_xlfn.XLOOKUP(B422,'Payee Ref'!A:A,'Payee Ref'!C:C,"unassigned",0,1)</f>
        <v>Basic</v>
      </c>
      <c r="F422" s="28" t="s">
        <v>2208</v>
      </c>
    </row>
    <row r="423" spans="1:6" x14ac:dyDescent="0.2">
      <c r="A423" s="63">
        <v>45794</v>
      </c>
      <c r="B423" t="s">
        <v>2229</v>
      </c>
      <c r="C423">
        <v>2.99</v>
      </c>
      <c r="D423" s="28" t="str">
        <f>_xlfn.XLOOKUP(B423,'Payee Ref'!A:A,'Payee Ref'!B:B,"unassigned",0,1)</f>
        <v>Groceries</v>
      </c>
      <c r="E423" s="28" t="str">
        <f>_xlfn.XLOOKUP(B423,'Payee Ref'!A:A,'Payee Ref'!C:C,"unassigned",0,1)</f>
        <v>Basic</v>
      </c>
      <c r="F423" s="28" t="s">
        <v>2208</v>
      </c>
    </row>
    <row r="424" spans="1:6" x14ac:dyDescent="0.2">
      <c r="A424" s="63">
        <v>45793</v>
      </c>
      <c r="B424" t="s">
        <v>2211</v>
      </c>
      <c r="C424">
        <v>2535.84</v>
      </c>
      <c r="D424" s="28" t="str">
        <f>_xlfn.XLOOKUP(B424,'Payee Ref'!A:A,'Payee Ref'!B:B,"unassigned",0,1)</f>
        <v>Subscriptions / Digital</v>
      </c>
      <c r="E424" s="28" t="str">
        <f>_xlfn.XLOOKUP(B424,'Payee Ref'!A:A,'Payee Ref'!C:C,"unassigned",0,1)</f>
        <v>Luxury</v>
      </c>
      <c r="F424" s="28" t="s">
        <v>2208</v>
      </c>
    </row>
    <row r="425" spans="1:6" x14ac:dyDescent="0.2">
      <c r="A425" s="63">
        <v>45793</v>
      </c>
      <c r="B425" t="s">
        <v>2353</v>
      </c>
      <c r="C425">
        <v>33.04</v>
      </c>
      <c r="D425" s="28" t="str">
        <f>_xlfn.XLOOKUP(B425,'Payee Ref'!A:A,'Payee Ref'!B:B,"unassigned",0,1)</f>
        <v>Groceries</v>
      </c>
      <c r="E425" s="28" t="str">
        <f>_xlfn.XLOOKUP(B425,'Payee Ref'!A:A,'Payee Ref'!C:C,"unassigned",0,1)</f>
        <v>Basic</v>
      </c>
      <c r="F425" s="28" t="s">
        <v>2208</v>
      </c>
    </row>
    <row r="426" spans="1:6" x14ac:dyDescent="0.2">
      <c r="A426" s="63">
        <v>45792</v>
      </c>
      <c r="B426" t="s">
        <v>2212</v>
      </c>
      <c r="C426">
        <v>-274.77</v>
      </c>
      <c r="D426" s="28" t="str">
        <f>_xlfn.XLOOKUP(B426,'Payee Ref'!A:A,'Payee Ref'!B:B,"unassigned",0,1)</f>
        <v>Subscriptions / Digital</v>
      </c>
      <c r="E426" s="28" t="str">
        <f>_xlfn.XLOOKUP(B426,'Payee Ref'!A:A,'Payee Ref'!C:C,"unassigned",0,1)</f>
        <v>Luxury</v>
      </c>
      <c r="F426" s="28" t="s">
        <v>2208</v>
      </c>
    </row>
    <row r="427" spans="1:6" x14ac:dyDescent="0.2">
      <c r="A427" s="63">
        <v>45792</v>
      </c>
      <c r="B427" t="s">
        <v>2212</v>
      </c>
      <c r="C427">
        <v>1543.8</v>
      </c>
      <c r="D427" s="28" t="str">
        <f>_xlfn.XLOOKUP(B427,'Payee Ref'!A:A,'Payee Ref'!B:B,"unassigned",0,1)</f>
        <v>Subscriptions / Digital</v>
      </c>
      <c r="E427" s="28" t="str">
        <f>_xlfn.XLOOKUP(B427,'Payee Ref'!A:A,'Payee Ref'!C:C,"unassigned",0,1)</f>
        <v>Luxury</v>
      </c>
      <c r="F427" s="28" t="s">
        <v>2208</v>
      </c>
    </row>
    <row r="428" spans="1:6" x14ac:dyDescent="0.2">
      <c r="A428" s="63">
        <v>45791</v>
      </c>
      <c r="B428" t="s">
        <v>2286</v>
      </c>
      <c r="C428">
        <v>11.92</v>
      </c>
      <c r="D428" s="28" t="str">
        <f>_xlfn.XLOOKUP(B428,'Payee Ref'!A:A,'Payee Ref'!B:B,"unassigned",0,1)</f>
        <v>Home &amp; Garden</v>
      </c>
      <c r="E428" s="28" t="str">
        <f>_xlfn.XLOOKUP(B428,'Payee Ref'!A:A,'Payee Ref'!C:C,"unassigned",0,1)</f>
        <v>Basic</v>
      </c>
      <c r="F428" s="28" t="s">
        <v>2208</v>
      </c>
    </row>
    <row r="429" spans="1:6" x14ac:dyDescent="0.2">
      <c r="A429" s="63">
        <v>45791</v>
      </c>
      <c r="B429" t="s">
        <v>2215</v>
      </c>
      <c r="C429">
        <v>137.04</v>
      </c>
      <c r="D429" s="28" t="str">
        <f>_xlfn.XLOOKUP(B429,'Payee Ref'!A:A,'Payee Ref'!B:B,"unassigned",0,1)</f>
        <v>Travel</v>
      </c>
      <c r="E429" s="28" t="str">
        <f>_xlfn.XLOOKUP(B429,'Payee Ref'!A:A,'Payee Ref'!C:C,"unassigned",0,1)</f>
        <v>Basic</v>
      </c>
      <c r="F429" s="28" t="s">
        <v>2208</v>
      </c>
    </row>
    <row r="430" spans="1:6" x14ac:dyDescent="0.2">
      <c r="A430" s="63">
        <v>45791</v>
      </c>
      <c r="B430" t="s">
        <v>946</v>
      </c>
      <c r="C430">
        <v>-2387.67</v>
      </c>
      <c r="D430" s="28" t="str">
        <f>_xlfn.XLOOKUP(B430,'Payee Ref'!A:A,'Payee Ref'!B:B,"unassigned",0,1)</f>
        <v>Transfer</v>
      </c>
      <c r="E430" s="28" t="str">
        <f>_xlfn.XLOOKUP(B430,'Payee Ref'!A:A,'Payee Ref'!C:C,"unassigned",0,1)</f>
        <v>Basic</v>
      </c>
      <c r="F430" s="28" t="s">
        <v>2208</v>
      </c>
    </row>
    <row r="431" spans="1:6" x14ac:dyDescent="0.2">
      <c r="A431" s="63">
        <v>45791</v>
      </c>
      <c r="B431" t="s">
        <v>946</v>
      </c>
      <c r="C431">
        <v>-2204.9</v>
      </c>
      <c r="D431" s="28" t="str">
        <f>_xlfn.XLOOKUP(B431,'Payee Ref'!A:A,'Payee Ref'!B:B,"unassigned",0,1)</f>
        <v>Transfer</v>
      </c>
      <c r="E431" s="28" t="str">
        <f>_xlfn.XLOOKUP(B431,'Payee Ref'!A:A,'Payee Ref'!C:C,"unassigned",0,1)</f>
        <v>Basic</v>
      </c>
      <c r="F431" s="28" t="s">
        <v>2208</v>
      </c>
    </row>
    <row r="432" spans="1:6" x14ac:dyDescent="0.2">
      <c r="A432" s="63">
        <v>45791</v>
      </c>
      <c r="B432" t="s">
        <v>495</v>
      </c>
      <c r="C432">
        <v>14.7</v>
      </c>
      <c r="D432" s="28" t="str">
        <f>_xlfn.XLOOKUP(B432,'Payee Ref'!A:A,'Payee Ref'!B:B,"unassigned",0,1)</f>
        <v>Enrichment</v>
      </c>
      <c r="E432" s="28" t="str">
        <f>_xlfn.XLOOKUP(B432,'Payee Ref'!A:A,'Payee Ref'!C:C,"unassigned",0,1)</f>
        <v>Basic</v>
      </c>
      <c r="F432" s="28" t="s">
        <v>2208</v>
      </c>
    </row>
    <row r="433" spans="1:6" x14ac:dyDescent="0.2">
      <c r="A433" s="63">
        <v>45790</v>
      </c>
      <c r="B433" t="s">
        <v>2433</v>
      </c>
      <c r="C433">
        <v>260</v>
      </c>
      <c r="D433" s="28" t="str">
        <f>_xlfn.XLOOKUP(B433,'Payee Ref'!A:A,'Payee Ref'!B:B,"unassigned",0,1)</f>
        <v>Travel</v>
      </c>
      <c r="E433" s="28" t="str">
        <f>_xlfn.XLOOKUP(B433,'Payee Ref'!A:A,'Payee Ref'!C:C,"unassigned",0,1)</f>
        <v>Luxury</v>
      </c>
      <c r="F433" s="28" t="s">
        <v>2208</v>
      </c>
    </row>
    <row r="434" spans="1:6" x14ac:dyDescent="0.2">
      <c r="A434" s="63">
        <v>45789</v>
      </c>
      <c r="B434" t="s">
        <v>495</v>
      </c>
      <c r="C434">
        <v>14.7</v>
      </c>
      <c r="D434" s="28" t="str">
        <f>_xlfn.XLOOKUP(B434,'Payee Ref'!A:A,'Payee Ref'!B:B,"unassigned",0,1)</f>
        <v>Enrichment</v>
      </c>
      <c r="E434" s="28" t="str">
        <f>_xlfn.XLOOKUP(B434,'Payee Ref'!A:A,'Payee Ref'!C:C,"unassigned",0,1)</f>
        <v>Basic</v>
      </c>
      <c r="F434" s="28" t="s">
        <v>2208</v>
      </c>
    </row>
    <row r="435" spans="1:6" x14ac:dyDescent="0.2">
      <c r="A435" s="63">
        <v>45787</v>
      </c>
      <c r="B435" t="s">
        <v>859</v>
      </c>
      <c r="C435">
        <v>220.7</v>
      </c>
      <c r="D435" s="28" t="str">
        <f>_xlfn.XLOOKUP(B435,'Payee Ref'!A:A,'Payee Ref'!B:B,"unassigned",0,1)</f>
        <v>Travel</v>
      </c>
      <c r="E435" s="28" t="str">
        <f>_xlfn.XLOOKUP(B435,'Payee Ref'!A:A,'Payee Ref'!C:C,"unassigned",0,1)</f>
        <v>Luxury</v>
      </c>
      <c r="F435" s="28" t="s">
        <v>2208</v>
      </c>
    </row>
    <row r="436" spans="1:6" x14ac:dyDescent="0.2">
      <c r="A436" s="63">
        <v>45785</v>
      </c>
      <c r="B436" t="s">
        <v>2280</v>
      </c>
      <c r="C436">
        <v>11.02</v>
      </c>
      <c r="D436" s="28" t="str">
        <f>_xlfn.XLOOKUP(B436,'Payee Ref'!A:A,'Payee Ref'!B:B,"unassigned",0,1)</f>
        <v>Travel</v>
      </c>
      <c r="E436" s="28" t="str">
        <f>_xlfn.XLOOKUP(B436,'Payee Ref'!A:A,'Payee Ref'!C:C,"unassigned",0,1)</f>
        <v>Luxury</v>
      </c>
      <c r="F436" s="28" t="s">
        <v>2208</v>
      </c>
    </row>
    <row r="437" spans="1:6" x14ac:dyDescent="0.2">
      <c r="A437" s="63">
        <v>45785</v>
      </c>
      <c r="B437" t="s">
        <v>2323</v>
      </c>
      <c r="C437">
        <v>22.07</v>
      </c>
      <c r="D437" s="28" t="str">
        <f>_xlfn.XLOOKUP(B437,'Payee Ref'!A:A,'Payee Ref'!B:B,"unassigned",0,1)</f>
        <v>Travel</v>
      </c>
      <c r="E437" s="28" t="str">
        <f>_xlfn.XLOOKUP(B437,'Payee Ref'!A:A,'Payee Ref'!C:C,"unassigned",0,1)</f>
        <v>Luxury</v>
      </c>
      <c r="F437" s="28" t="s">
        <v>2208</v>
      </c>
    </row>
    <row r="438" spans="1:6" x14ac:dyDescent="0.2">
      <c r="A438" s="63">
        <v>45784</v>
      </c>
      <c r="B438" t="s">
        <v>717</v>
      </c>
      <c r="C438">
        <v>721</v>
      </c>
      <c r="D438" s="28" t="str">
        <f>_xlfn.XLOOKUP(B438,'Payee Ref'!A:A,'Payee Ref'!B:B,"unassigned",0,1)</f>
        <v>Home &amp; Garden</v>
      </c>
      <c r="E438" s="28" t="str">
        <f>_xlfn.XLOOKUP(B438,'Payee Ref'!A:A,'Payee Ref'!C:C,"unassigned",0,1)</f>
        <v>Luxury</v>
      </c>
      <c r="F438" s="28" t="s">
        <v>2208</v>
      </c>
    </row>
    <row r="439" spans="1:6" x14ac:dyDescent="0.2">
      <c r="A439" s="63">
        <v>45784</v>
      </c>
      <c r="B439" t="s">
        <v>2336</v>
      </c>
      <c r="C439">
        <v>24.52</v>
      </c>
      <c r="D439" s="28" t="str">
        <f>_xlfn.XLOOKUP(B439,'Payee Ref'!A:A,'Payee Ref'!B:B,"unassigned",0,1)</f>
        <v>Clothing</v>
      </c>
      <c r="E439" s="28" t="str">
        <f>_xlfn.XLOOKUP(B439,'Payee Ref'!A:A,'Payee Ref'!C:C,"unassigned",0,1)</f>
        <v>Luxury</v>
      </c>
      <c r="F439" s="28" t="s">
        <v>2208</v>
      </c>
    </row>
    <row r="440" spans="1:6" x14ac:dyDescent="0.2">
      <c r="A440" s="63">
        <v>45784</v>
      </c>
      <c r="B440" t="s">
        <v>495</v>
      </c>
      <c r="C440">
        <v>13.22</v>
      </c>
      <c r="D440" s="28" t="str">
        <f>_xlfn.XLOOKUP(B440,'Payee Ref'!A:A,'Payee Ref'!B:B,"unassigned",0,1)</f>
        <v>Enrichment</v>
      </c>
      <c r="E440" s="28" t="str">
        <f>_xlfn.XLOOKUP(B440,'Payee Ref'!A:A,'Payee Ref'!C:C,"unassigned",0,1)</f>
        <v>Basic</v>
      </c>
      <c r="F440" s="28" t="s">
        <v>2208</v>
      </c>
    </row>
    <row r="441" spans="1:6" x14ac:dyDescent="0.2">
      <c r="A441" s="63">
        <v>45783</v>
      </c>
      <c r="B441" t="s">
        <v>2250</v>
      </c>
      <c r="C441">
        <v>5.99</v>
      </c>
      <c r="D441" s="28" t="str">
        <f>_xlfn.XLOOKUP(B441,'Payee Ref'!A:A,'Payee Ref'!B:B,"unassigned",0,1)</f>
        <v>Home &amp; Garden</v>
      </c>
      <c r="E441" s="28" t="str">
        <f>_xlfn.XLOOKUP(B441,'Payee Ref'!A:A,'Payee Ref'!C:C,"unassigned",0,1)</f>
        <v>Basic</v>
      </c>
      <c r="F441" s="28" t="s">
        <v>2208</v>
      </c>
    </row>
    <row r="442" spans="1:6" x14ac:dyDescent="0.2">
      <c r="A442" s="63">
        <v>45783</v>
      </c>
      <c r="B442" t="s">
        <v>511</v>
      </c>
      <c r="C442">
        <v>125</v>
      </c>
      <c r="D442" s="28" t="str">
        <f>_xlfn.XLOOKUP(B442,'Payee Ref'!A:A,'Payee Ref'!B:B,"unassigned",0,1)</f>
        <v>Gifts</v>
      </c>
      <c r="E442" s="28" t="str">
        <f>_xlfn.XLOOKUP(B442,'Payee Ref'!A:A,'Payee Ref'!C:C,"unassigned",0,1)</f>
        <v>Luxury</v>
      </c>
      <c r="F442" s="28" t="s">
        <v>2208</v>
      </c>
    </row>
    <row r="443" spans="1:6" x14ac:dyDescent="0.2">
      <c r="A443" s="63">
        <v>45783</v>
      </c>
      <c r="B443" t="s">
        <v>495</v>
      </c>
      <c r="C443">
        <v>12.13</v>
      </c>
      <c r="D443" s="28" t="str">
        <f>_xlfn.XLOOKUP(B443,'Payee Ref'!A:A,'Payee Ref'!B:B,"unassigned",0,1)</f>
        <v>Enrichment</v>
      </c>
      <c r="E443" s="28" t="str">
        <f>_xlfn.XLOOKUP(B443,'Payee Ref'!A:A,'Payee Ref'!C:C,"unassigned",0,1)</f>
        <v>Basic</v>
      </c>
      <c r="F443" s="28" t="s">
        <v>2208</v>
      </c>
    </row>
    <row r="444" spans="1:6" x14ac:dyDescent="0.2">
      <c r="A444" s="63">
        <v>45782</v>
      </c>
      <c r="B444" t="s">
        <v>2448</v>
      </c>
      <c r="C444">
        <v>1279.1600000000001</v>
      </c>
      <c r="D444" s="28" t="str">
        <f>_xlfn.XLOOKUP(B444,'Payee Ref'!A:A,'Payee Ref'!B:B,"unassigned",0,1)</f>
        <v>Travel</v>
      </c>
      <c r="E444" s="28" t="str">
        <f>_xlfn.XLOOKUP(B444,'Payee Ref'!A:A,'Payee Ref'!C:C,"unassigned",0,1)</f>
        <v>Luxury</v>
      </c>
      <c r="F444" s="28" t="s">
        <v>2208</v>
      </c>
    </row>
    <row r="445" spans="1:6" x14ac:dyDescent="0.2">
      <c r="A445" s="63">
        <v>45782</v>
      </c>
      <c r="B445" t="s">
        <v>2350</v>
      </c>
      <c r="C445">
        <v>30.67</v>
      </c>
      <c r="D445" s="28" t="str">
        <f>_xlfn.XLOOKUP(B445,'Payee Ref'!A:A,'Payee Ref'!B:B,"unassigned",0,1)</f>
        <v>Travel</v>
      </c>
      <c r="E445" s="28" t="str">
        <f>_xlfn.XLOOKUP(B445,'Payee Ref'!A:A,'Payee Ref'!C:C,"unassigned",0,1)</f>
        <v>Luxury</v>
      </c>
      <c r="F445" s="28" t="s">
        <v>2208</v>
      </c>
    </row>
    <row r="446" spans="1:6" x14ac:dyDescent="0.2">
      <c r="A446" s="63">
        <v>45782</v>
      </c>
      <c r="B446" t="s">
        <v>1372</v>
      </c>
      <c r="C446">
        <v>66.2</v>
      </c>
      <c r="D446" s="28" t="str">
        <f>_xlfn.XLOOKUP(B446,'Payee Ref'!A:A,'Payee Ref'!B:B,"unassigned",0,1)</f>
        <v>Professional</v>
      </c>
      <c r="E446" s="28" t="str">
        <f>_xlfn.XLOOKUP(B446,'Payee Ref'!A:A,'Payee Ref'!C:C,"unassigned",0,1)</f>
        <v>Basic</v>
      </c>
      <c r="F446" s="28" t="s">
        <v>2208</v>
      </c>
    </row>
    <row r="447" spans="1:6" x14ac:dyDescent="0.2">
      <c r="A447" s="63">
        <v>45782</v>
      </c>
      <c r="B447" t="s">
        <v>2339</v>
      </c>
      <c r="C447">
        <v>253.35</v>
      </c>
      <c r="D447" s="28" t="str">
        <f>_xlfn.XLOOKUP(B447,'Payee Ref'!A:A,'Payee Ref'!B:B,"unassigned",0,1)</f>
        <v>Enrichment</v>
      </c>
      <c r="E447" s="28" t="str">
        <f>_xlfn.XLOOKUP(B447,'Payee Ref'!A:A,'Payee Ref'!C:C,"unassigned",0,1)</f>
        <v>Luxury</v>
      </c>
      <c r="F447" s="28" t="s">
        <v>2208</v>
      </c>
    </row>
    <row r="448" spans="1:6" x14ac:dyDescent="0.2">
      <c r="A448" s="63">
        <v>45782</v>
      </c>
      <c r="B448" t="s">
        <v>495</v>
      </c>
      <c r="C448">
        <v>14.7</v>
      </c>
      <c r="D448" s="28" t="str">
        <f>_xlfn.XLOOKUP(B448,'Payee Ref'!A:A,'Payee Ref'!B:B,"unassigned",0,1)</f>
        <v>Enrichment</v>
      </c>
      <c r="E448" s="28" t="str">
        <f>_xlfn.XLOOKUP(B448,'Payee Ref'!A:A,'Payee Ref'!C:C,"unassigned",0,1)</f>
        <v>Basic</v>
      </c>
      <c r="F448" s="28" t="s">
        <v>2208</v>
      </c>
    </row>
    <row r="449" spans="1:6" x14ac:dyDescent="0.2">
      <c r="A449" s="63">
        <v>45781</v>
      </c>
      <c r="B449" t="s">
        <v>2226</v>
      </c>
      <c r="C449">
        <v>6.07</v>
      </c>
      <c r="D449" s="28" t="str">
        <f>_xlfn.XLOOKUP(B449,'Payee Ref'!A:A,'Payee Ref'!B:B,"unassigned",0,1)</f>
        <v>Auto</v>
      </c>
      <c r="E449" s="28" t="str">
        <f>_xlfn.XLOOKUP(B449,'Payee Ref'!A:A,'Payee Ref'!C:C,"unassigned",0,1)</f>
        <v>Basic</v>
      </c>
      <c r="F449" s="28" t="s">
        <v>2208</v>
      </c>
    </row>
    <row r="450" spans="1:6" x14ac:dyDescent="0.2">
      <c r="A450" s="63">
        <v>45780</v>
      </c>
      <c r="B450" t="s">
        <v>2226</v>
      </c>
      <c r="C450">
        <v>7.72</v>
      </c>
      <c r="D450" s="28" t="str">
        <f>_xlfn.XLOOKUP(B450,'Payee Ref'!A:A,'Payee Ref'!B:B,"unassigned",0,1)</f>
        <v>Auto</v>
      </c>
      <c r="E450" s="28" t="str">
        <f>_xlfn.XLOOKUP(B450,'Payee Ref'!A:A,'Payee Ref'!C:C,"unassigned",0,1)</f>
        <v>Basic</v>
      </c>
      <c r="F450" s="28" t="s">
        <v>2208</v>
      </c>
    </row>
    <row r="451" spans="1:6" x14ac:dyDescent="0.2">
      <c r="A451" s="63">
        <v>45779</v>
      </c>
      <c r="B451" t="s">
        <v>557</v>
      </c>
      <c r="C451">
        <v>77.709999999999994</v>
      </c>
      <c r="D451" s="28" t="str">
        <f>_xlfn.XLOOKUP(B451,'Payee Ref'!A:A,'Payee Ref'!B:B,"unassigned",0,1)</f>
        <v>Groceries</v>
      </c>
      <c r="E451" s="28" t="str">
        <f>_xlfn.XLOOKUP(B451,'Payee Ref'!A:A,'Payee Ref'!C:C,"unassigned",0,1)</f>
        <v>Basic</v>
      </c>
      <c r="F451" s="28" t="s">
        <v>2208</v>
      </c>
    </row>
    <row r="452" spans="1:6" x14ac:dyDescent="0.2">
      <c r="A452" s="63">
        <v>45779</v>
      </c>
      <c r="B452" t="s">
        <v>931</v>
      </c>
      <c r="C452">
        <v>3.3</v>
      </c>
      <c r="D452" s="28" t="str">
        <f>_xlfn.XLOOKUP(B452,'Payee Ref'!A:A,'Payee Ref'!B:B,"unassigned",0,1)</f>
        <v>Subscriptions / Digital</v>
      </c>
      <c r="E452" s="28" t="str">
        <f>_xlfn.XLOOKUP(B452,'Payee Ref'!A:A,'Payee Ref'!C:C,"unassigned",0,1)</f>
        <v>Basic</v>
      </c>
      <c r="F452" s="28" t="s">
        <v>2208</v>
      </c>
    </row>
    <row r="453" spans="1:6" x14ac:dyDescent="0.2">
      <c r="A453" s="63">
        <v>45778</v>
      </c>
      <c r="B453" t="s">
        <v>2291</v>
      </c>
      <c r="C453">
        <v>12.6</v>
      </c>
      <c r="D453" s="28" t="str">
        <f>_xlfn.XLOOKUP(B453,'Payee Ref'!A:A,'Payee Ref'!B:B,"unassigned",0,1)</f>
        <v>Home &amp; Garden</v>
      </c>
      <c r="E453" s="28" t="str">
        <f>_xlfn.XLOOKUP(B453,'Payee Ref'!A:A,'Payee Ref'!C:C,"unassigned",0,1)</f>
        <v>Basic</v>
      </c>
      <c r="F453" s="28" t="s">
        <v>2208</v>
      </c>
    </row>
    <row r="454" spans="1:6" x14ac:dyDescent="0.2">
      <c r="A454" s="63">
        <v>45777</v>
      </c>
      <c r="B454" t="s">
        <v>2372</v>
      </c>
      <c r="C454">
        <v>42.96</v>
      </c>
      <c r="D454" s="28" t="str">
        <f>_xlfn.XLOOKUP(B454,'Payee Ref'!A:A,'Payee Ref'!B:B,"unassigned",0,1)</f>
        <v>Subscriptions / Digital</v>
      </c>
      <c r="E454" s="28" t="str">
        <f>_xlfn.XLOOKUP(B454,'Payee Ref'!A:A,'Payee Ref'!C:C,"unassigned",0,1)</f>
        <v>Luxury</v>
      </c>
      <c r="F454" s="28" t="s">
        <v>2208</v>
      </c>
    </row>
    <row r="455" spans="1:6" x14ac:dyDescent="0.2">
      <c r="A455" s="63">
        <v>45776</v>
      </c>
      <c r="B455" t="s">
        <v>2301</v>
      </c>
      <c r="C455">
        <v>14.83</v>
      </c>
      <c r="D455" s="28" t="str">
        <f>_xlfn.XLOOKUP(B455,'Payee Ref'!A:A,'Payee Ref'!B:B,"unassigned",0,1)</f>
        <v>Dining</v>
      </c>
      <c r="E455" s="28" t="str">
        <f>_xlfn.XLOOKUP(B455,'Payee Ref'!A:A,'Payee Ref'!C:C,"unassigned",0,1)</f>
        <v>Luxury</v>
      </c>
      <c r="F455" s="28" t="s">
        <v>2208</v>
      </c>
    </row>
    <row r="456" spans="1:6" x14ac:dyDescent="0.2">
      <c r="A456" s="63">
        <v>45775</v>
      </c>
      <c r="B456" t="s">
        <v>557</v>
      </c>
      <c r="C456">
        <v>6.99</v>
      </c>
      <c r="D456" s="28" t="str">
        <f>_xlfn.XLOOKUP(B456,'Payee Ref'!A:A,'Payee Ref'!B:B,"unassigned",0,1)</f>
        <v>Groceries</v>
      </c>
      <c r="E456" s="28" t="str">
        <f>_xlfn.XLOOKUP(B456,'Payee Ref'!A:A,'Payee Ref'!C:C,"unassigned",0,1)</f>
        <v>Basic</v>
      </c>
      <c r="F456" s="28" t="s">
        <v>2208</v>
      </c>
    </row>
    <row r="457" spans="1:6" x14ac:dyDescent="0.2">
      <c r="A457" s="63">
        <v>45775</v>
      </c>
      <c r="B457" t="s">
        <v>495</v>
      </c>
      <c r="C457">
        <v>16.690000000000001</v>
      </c>
      <c r="D457" s="28" t="str">
        <f>_xlfn.XLOOKUP(B457,'Payee Ref'!A:A,'Payee Ref'!B:B,"unassigned",0,1)</f>
        <v>Enrichment</v>
      </c>
      <c r="E457" s="28" t="str">
        <f>_xlfn.XLOOKUP(B457,'Payee Ref'!A:A,'Payee Ref'!C:C,"unassigned",0,1)</f>
        <v>Basic</v>
      </c>
      <c r="F457" s="28" t="s">
        <v>2208</v>
      </c>
    </row>
    <row r="458" spans="1:6" x14ac:dyDescent="0.2">
      <c r="A458" s="63">
        <v>45774</v>
      </c>
      <c r="B458" t="s">
        <v>1349</v>
      </c>
      <c r="C458">
        <v>4.95</v>
      </c>
      <c r="D458" s="28" t="str">
        <f>_xlfn.XLOOKUP(B458,'Payee Ref'!A:A,'Payee Ref'!B:B,"unassigned",0,1)</f>
        <v>Bank Fees</v>
      </c>
      <c r="E458" s="28" t="str">
        <f>_xlfn.XLOOKUP(B458,'Payee Ref'!A:A,'Payee Ref'!C:C,"unassigned",0,1)</f>
        <v>Luxury</v>
      </c>
      <c r="F458" s="28" t="s">
        <v>2208</v>
      </c>
    </row>
    <row r="459" spans="1:6" x14ac:dyDescent="0.2">
      <c r="A459" s="63">
        <v>45773</v>
      </c>
      <c r="B459" t="s">
        <v>2321</v>
      </c>
      <c r="C459">
        <v>20</v>
      </c>
      <c r="D459" s="28" t="str">
        <f>_xlfn.XLOOKUP(B459,'Payee Ref'!A:A,'Payee Ref'!B:B,"unassigned",0,1)</f>
        <v>Travel</v>
      </c>
      <c r="E459" s="28" t="str">
        <f>_xlfn.XLOOKUP(B459,'Payee Ref'!A:A,'Payee Ref'!C:C,"unassigned",0,1)</f>
        <v>Luxury</v>
      </c>
      <c r="F459" s="28" t="s">
        <v>2208</v>
      </c>
    </row>
    <row r="460" spans="1:6" x14ac:dyDescent="0.2">
      <c r="A460" s="63">
        <v>45773</v>
      </c>
      <c r="B460" t="s">
        <v>2226</v>
      </c>
      <c r="C460">
        <v>6.62</v>
      </c>
      <c r="D460" s="28" t="str">
        <f>_xlfn.XLOOKUP(B460,'Payee Ref'!A:A,'Payee Ref'!B:B,"unassigned",0,1)</f>
        <v>Auto</v>
      </c>
      <c r="E460" s="28" t="str">
        <f>_xlfn.XLOOKUP(B460,'Payee Ref'!A:A,'Payee Ref'!C:C,"unassigned",0,1)</f>
        <v>Basic</v>
      </c>
      <c r="F460" s="28" t="s">
        <v>2208</v>
      </c>
    </row>
    <row r="461" spans="1:6" x14ac:dyDescent="0.2">
      <c r="A461" s="63">
        <v>45773</v>
      </c>
      <c r="B461" t="s">
        <v>2226</v>
      </c>
      <c r="C461">
        <v>12.14</v>
      </c>
      <c r="D461" s="28" t="str">
        <f>_xlfn.XLOOKUP(B461,'Payee Ref'!A:A,'Payee Ref'!B:B,"unassigned",0,1)</f>
        <v>Auto</v>
      </c>
      <c r="E461" s="28" t="str">
        <f>_xlfn.XLOOKUP(B461,'Payee Ref'!A:A,'Payee Ref'!C:C,"unassigned",0,1)</f>
        <v>Basic</v>
      </c>
      <c r="F461" s="28" t="s">
        <v>2208</v>
      </c>
    </row>
    <row r="462" spans="1:6" x14ac:dyDescent="0.2">
      <c r="A462" s="63">
        <v>45772</v>
      </c>
      <c r="B462" t="s">
        <v>2425</v>
      </c>
      <c r="C462">
        <v>284.7</v>
      </c>
      <c r="D462" s="28" t="str">
        <f>_xlfn.XLOOKUP(B462,'Payee Ref'!A:A,'Payee Ref'!B:B,"unassigned",0,1)</f>
        <v>Clothing</v>
      </c>
      <c r="E462" s="28" t="str">
        <f>_xlfn.XLOOKUP(B462,'Payee Ref'!A:A,'Payee Ref'!C:C,"unassigned",0,1)</f>
        <v>Basic</v>
      </c>
      <c r="F462" s="28" t="s">
        <v>2208</v>
      </c>
    </row>
    <row r="463" spans="1:6" x14ac:dyDescent="0.2">
      <c r="A463" s="63">
        <v>45772</v>
      </c>
      <c r="B463" t="s">
        <v>2439</v>
      </c>
      <c r="C463">
        <v>406.59</v>
      </c>
      <c r="D463" s="28" t="str">
        <f>_xlfn.XLOOKUP(B463,'Payee Ref'!A:A,'Payee Ref'!B:B,"unassigned",0,1)</f>
        <v>Travel</v>
      </c>
      <c r="E463" s="28" t="str">
        <f>_xlfn.XLOOKUP(B463,'Payee Ref'!A:A,'Payee Ref'!C:C,"unassigned",0,1)</f>
        <v>Luxury</v>
      </c>
      <c r="F463" s="28" t="s">
        <v>2208</v>
      </c>
    </row>
    <row r="464" spans="1:6" x14ac:dyDescent="0.2">
      <c r="A464" s="63">
        <v>45772</v>
      </c>
      <c r="B464" t="s">
        <v>2321</v>
      </c>
      <c r="C464">
        <v>20</v>
      </c>
      <c r="D464" s="28" t="str">
        <f>_xlfn.XLOOKUP(B464,'Payee Ref'!A:A,'Payee Ref'!B:B,"unassigned",0,1)</f>
        <v>Travel</v>
      </c>
      <c r="E464" s="28" t="str">
        <f>_xlfn.XLOOKUP(B464,'Payee Ref'!A:A,'Payee Ref'!C:C,"unassigned",0,1)</f>
        <v>Luxury</v>
      </c>
      <c r="F464" s="28" t="s">
        <v>2208</v>
      </c>
    </row>
    <row r="465" spans="1:6" x14ac:dyDescent="0.2">
      <c r="A465" s="63">
        <v>45772</v>
      </c>
      <c r="B465" t="s">
        <v>946</v>
      </c>
      <c r="C465">
        <v>-2585.5700000000002</v>
      </c>
      <c r="D465" s="28" t="str">
        <f>_xlfn.XLOOKUP(B465,'Payee Ref'!A:A,'Payee Ref'!B:B,"unassigned",0,1)</f>
        <v>Transfer</v>
      </c>
      <c r="E465" s="28" t="str">
        <f>_xlfn.XLOOKUP(B465,'Payee Ref'!A:A,'Payee Ref'!C:C,"unassigned",0,1)</f>
        <v>Basic</v>
      </c>
      <c r="F465" s="28" t="s">
        <v>2208</v>
      </c>
    </row>
    <row r="466" spans="1:6" x14ac:dyDescent="0.2">
      <c r="A466" s="63">
        <v>45772</v>
      </c>
      <c r="B466" t="s">
        <v>2226</v>
      </c>
      <c r="C466">
        <v>5.52</v>
      </c>
      <c r="D466" s="28" t="str">
        <f>_xlfn.XLOOKUP(B466,'Payee Ref'!A:A,'Payee Ref'!B:B,"unassigned",0,1)</f>
        <v>Auto</v>
      </c>
      <c r="E466" s="28" t="str">
        <f>_xlfn.XLOOKUP(B466,'Payee Ref'!A:A,'Payee Ref'!C:C,"unassigned",0,1)</f>
        <v>Basic</v>
      </c>
      <c r="F466" s="28" t="s">
        <v>2208</v>
      </c>
    </row>
    <row r="467" spans="1:6" x14ac:dyDescent="0.2">
      <c r="A467" s="63">
        <v>45771</v>
      </c>
      <c r="B467" t="s">
        <v>2321</v>
      </c>
      <c r="C467">
        <v>20</v>
      </c>
      <c r="D467" s="28" t="str">
        <f>_xlfn.XLOOKUP(B467,'Payee Ref'!A:A,'Payee Ref'!B:B,"unassigned",0,1)</f>
        <v>Travel</v>
      </c>
      <c r="E467" s="28" t="str">
        <f>_xlfn.XLOOKUP(B467,'Payee Ref'!A:A,'Payee Ref'!C:C,"unassigned",0,1)</f>
        <v>Luxury</v>
      </c>
      <c r="F467" s="28" t="s">
        <v>2208</v>
      </c>
    </row>
    <row r="468" spans="1:6" x14ac:dyDescent="0.2">
      <c r="A468" s="63">
        <v>45771</v>
      </c>
      <c r="B468" t="s">
        <v>2321</v>
      </c>
      <c r="C468">
        <v>20</v>
      </c>
      <c r="D468" s="28" t="str">
        <f>_xlfn.XLOOKUP(B468,'Payee Ref'!A:A,'Payee Ref'!B:B,"unassigned",0,1)</f>
        <v>Travel</v>
      </c>
      <c r="E468" s="28" t="str">
        <f>_xlfn.XLOOKUP(B468,'Payee Ref'!A:A,'Payee Ref'!C:C,"unassigned",0,1)</f>
        <v>Luxury</v>
      </c>
      <c r="F468" s="28" t="s">
        <v>2208</v>
      </c>
    </row>
    <row r="469" spans="1:6" x14ac:dyDescent="0.2">
      <c r="A469" s="63">
        <v>45771</v>
      </c>
      <c r="B469" t="s">
        <v>2428</v>
      </c>
      <c r="C469">
        <v>207</v>
      </c>
      <c r="D469" s="28" t="str">
        <f>_xlfn.XLOOKUP(B469,'Payee Ref'!A:A,'Payee Ref'!B:B,"unassigned",0,1)</f>
        <v>Clothing</v>
      </c>
      <c r="E469" s="28" t="str">
        <f>_xlfn.XLOOKUP(B469,'Payee Ref'!A:A,'Payee Ref'!C:C,"unassigned",0,1)</f>
        <v>Basic</v>
      </c>
      <c r="F469" s="28" t="s">
        <v>2208</v>
      </c>
    </row>
    <row r="470" spans="1:6" x14ac:dyDescent="0.2">
      <c r="A470" s="63">
        <v>45770</v>
      </c>
      <c r="B470" t="s">
        <v>2425</v>
      </c>
      <c r="C470">
        <v>193.11</v>
      </c>
      <c r="D470" s="28" t="str">
        <f>_xlfn.XLOOKUP(B470,'Payee Ref'!A:A,'Payee Ref'!B:B,"unassigned",0,1)</f>
        <v>Clothing</v>
      </c>
      <c r="E470" s="28" t="str">
        <f>_xlfn.XLOOKUP(B470,'Payee Ref'!A:A,'Payee Ref'!C:C,"unassigned",0,1)</f>
        <v>Basic</v>
      </c>
      <c r="F470" s="28" t="s">
        <v>2208</v>
      </c>
    </row>
    <row r="471" spans="1:6" x14ac:dyDescent="0.2">
      <c r="A471" s="63">
        <v>45770</v>
      </c>
      <c r="B471" t="s">
        <v>861</v>
      </c>
      <c r="C471">
        <v>20</v>
      </c>
      <c r="D471" s="28" t="str">
        <f>_xlfn.XLOOKUP(B471,'Payee Ref'!A:A,'Payee Ref'!B:B,"unassigned",0,1)</f>
        <v>Travel</v>
      </c>
      <c r="E471" s="28" t="str">
        <f>_xlfn.XLOOKUP(B471,'Payee Ref'!A:A,'Payee Ref'!C:C,"unassigned",0,1)</f>
        <v>Luxury</v>
      </c>
      <c r="F471" s="28" t="s">
        <v>2208</v>
      </c>
    </row>
    <row r="472" spans="1:6" x14ac:dyDescent="0.2">
      <c r="A472" s="63">
        <v>45770</v>
      </c>
      <c r="B472" t="s">
        <v>2305</v>
      </c>
      <c r="C472">
        <v>15.99</v>
      </c>
      <c r="D472" s="28">
        <f>_xlfn.XLOOKUP(B472,'Payee Ref'!A:A,'Payee Ref'!B:B,"unassigned",0,1)</f>
        <v>0</v>
      </c>
      <c r="E472" s="28">
        <f>_xlfn.XLOOKUP(B472,'Payee Ref'!A:A,'Payee Ref'!C:C,"unassigned",0,1)</f>
        <v>0</v>
      </c>
      <c r="F472" s="28" t="s">
        <v>2208</v>
      </c>
    </row>
    <row r="473" spans="1:6" x14ac:dyDescent="0.2">
      <c r="A473" s="63">
        <v>45770</v>
      </c>
      <c r="B473" t="s">
        <v>557</v>
      </c>
      <c r="C473">
        <v>7.11</v>
      </c>
      <c r="D473" s="28" t="str">
        <f>_xlfn.XLOOKUP(B473,'Payee Ref'!A:A,'Payee Ref'!B:B,"unassigned",0,1)</f>
        <v>Groceries</v>
      </c>
      <c r="E473" s="28" t="str">
        <f>_xlfn.XLOOKUP(B473,'Payee Ref'!A:A,'Payee Ref'!C:C,"unassigned",0,1)</f>
        <v>Basic</v>
      </c>
      <c r="F473" s="28" t="s">
        <v>2208</v>
      </c>
    </row>
    <row r="474" spans="1:6" x14ac:dyDescent="0.2">
      <c r="A474" s="63">
        <v>45770</v>
      </c>
      <c r="B474" t="s">
        <v>495</v>
      </c>
      <c r="C474">
        <v>13.22</v>
      </c>
      <c r="D474" s="28" t="str">
        <f>_xlfn.XLOOKUP(B474,'Payee Ref'!A:A,'Payee Ref'!B:B,"unassigned",0,1)</f>
        <v>Enrichment</v>
      </c>
      <c r="E474" s="28" t="str">
        <f>_xlfn.XLOOKUP(B474,'Payee Ref'!A:A,'Payee Ref'!C:C,"unassigned",0,1)</f>
        <v>Basic</v>
      </c>
      <c r="F474" s="28" t="s">
        <v>2208</v>
      </c>
    </row>
    <row r="475" spans="1:6" x14ac:dyDescent="0.2">
      <c r="A475" s="63">
        <v>45770</v>
      </c>
      <c r="B475" t="s">
        <v>2296</v>
      </c>
      <c r="C475">
        <v>13.71</v>
      </c>
      <c r="D475" s="28">
        <f>_xlfn.XLOOKUP(B475,'Payee Ref'!A:A,'Payee Ref'!B:B,"unassigned",0,1)</f>
        <v>0</v>
      </c>
      <c r="E475" s="28">
        <f>_xlfn.XLOOKUP(B475,'Payee Ref'!A:A,'Payee Ref'!C:C,"unassigned",0,1)</f>
        <v>0</v>
      </c>
      <c r="F475" s="28" t="s">
        <v>2208</v>
      </c>
    </row>
    <row r="476" spans="1:6" x14ac:dyDescent="0.2">
      <c r="A476" s="63">
        <v>45769</v>
      </c>
      <c r="B476" t="s">
        <v>2321</v>
      </c>
      <c r="C476">
        <v>20.010000000000002</v>
      </c>
      <c r="D476" s="28" t="str">
        <f>_xlfn.XLOOKUP(B476,'Payee Ref'!A:A,'Payee Ref'!B:B,"unassigned",0,1)</f>
        <v>Travel</v>
      </c>
      <c r="E476" s="28" t="str">
        <f>_xlfn.XLOOKUP(B476,'Payee Ref'!A:A,'Payee Ref'!C:C,"unassigned",0,1)</f>
        <v>Luxury</v>
      </c>
      <c r="F476" s="28" t="s">
        <v>2208</v>
      </c>
    </row>
    <row r="477" spans="1:6" x14ac:dyDescent="0.2">
      <c r="A477" s="63">
        <v>45769</v>
      </c>
      <c r="B477" t="s">
        <v>74</v>
      </c>
      <c r="C477">
        <v>40</v>
      </c>
      <c r="D477" s="28" t="str">
        <f>_xlfn.XLOOKUP(B477,'Payee Ref'!A:A,'Payee Ref'!B:B,"unassigned",0,1)</f>
        <v>Bank Fees</v>
      </c>
      <c r="E477" s="28" t="str">
        <f>_xlfn.XLOOKUP(B477,'Payee Ref'!A:A,'Payee Ref'!C:C,"unassigned",0,1)</f>
        <v>Luxury</v>
      </c>
      <c r="F477" s="28" t="s">
        <v>2208</v>
      </c>
    </row>
    <row r="478" spans="1:6" x14ac:dyDescent="0.2">
      <c r="A478" s="63">
        <v>45769</v>
      </c>
      <c r="B478" t="s">
        <v>879</v>
      </c>
      <c r="C478">
        <v>220.7</v>
      </c>
      <c r="D478" s="28" t="str">
        <f>_xlfn.XLOOKUP(B478,'Payee Ref'!A:A,'Payee Ref'!B:B,"unassigned",0,1)</f>
        <v>Professional</v>
      </c>
      <c r="E478" s="28" t="str">
        <f>_xlfn.XLOOKUP(B478,'Payee Ref'!A:A,'Payee Ref'!C:C,"unassigned",0,1)</f>
        <v>Luxury</v>
      </c>
      <c r="F478" s="28" t="s">
        <v>2208</v>
      </c>
    </row>
    <row r="479" spans="1:6" x14ac:dyDescent="0.2">
      <c r="A479" s="63">
        <v>45768</v>
      </c>
      <c r="B479" t="s">
        <v>2321</v>
      </c>
      <c r="C479">
        <v>20</v>
      </c>
      <c r="D479" s="28" t="str">
        <f>_xlfn.XLOOKUP(B479,'Payee Ref'!A:A,'Payee Ref'!B:B,"unassigned",0,1)</f>
        <v>Travel</v>
      </c>
      <c r="E479" s="28" t="str">
        <f>_xlfn.XLOOKUP(B479,'Payee Ref'!A:A,'Payee Ref'!C:C,"unassigned",0,1)</f>
        <v>Luxury</v>
      </c>
      <c r="F479" s="28" t="s">
        <v>2208</v>
      </c>
    </row>
    <row r="480" spans="1:6" x14ac:dyDescent="0.2">
      <c r="A480" s="63">
        <v>45768</v>
      </c>
      <c r="B480" t="s">
        <v>2321</v>
      </c>
      <c r="C480">
        <v>20</v>
      </c>
      <c r="D480" s="28" t="str">
        <f>_xlfn.XLOOKUP(B480,'Payee Ref'!A:A,'Payee Ref'!B:B,"unassigned",0,1)</f>
        <v>Travel</v>
      </c>
      <c r="E480" s="28" t="str">
        <f>_xlfn.XLOOKUP(B480,'Payee Ref'!A:A,'Payee Ref'!C:C,"unassigned",0,1)</f>
        <v>Luxury</v>
      </c>
      <c r="F480" s="28" t="s">
        <v>2208</v>
      </c>
    </row>
    <row r="481" spans="1:6" x14ac:dyDescent="0.2">
      <c r="A481" s="63">
        <v>45768</v>
      </c>
      <c r="B481" t="s">
        <v>557</v>
      </c>
      <c r="C481">
        <v>11.24</v>
      </c>
      <c r="D481" s="28" t="str">
        <f>_xlfn.XLOOKUP(B481,'Payee Ref'!A:A,'Payee Ref'!B:B,"unassigned",0,1)</f>
        <v>Groceries</v>
      </c>
      <c r="E481" s="28" t="str">
        <f>_xlfn.XLOOKUP(B481,'Payee Ref'!A:A,'Payee Ref'!C:C,"unassigned",0,1)</f>
        <v>Basic</v>
      </c>
      <c r="F481" s="28" t="s">
        <v>2208</v>
      </c>
    </row>
    <row r="482" spans="1:6" x14ac:dyDescent="0.2">
      <c r="A482" s="63">
        <v>45768</v>
      </c>
      <c r="B482" t="s">
        <v>495</v>
      </c>
      <c r="C482">
        <v>14.7</v>
      </c>
      <c r="D482" s="28" t="str">
        <f>_xlfn.XLOOKUP(B482,'Payee Ref'!A:A,'Payee Ref'!B:B,"unassigned",0,1)</f>
        <v>Enrichment</v>
      </c>
      <c r="E482" s="28" t="str">
        <f>_xlfn.XLOOKUP(B482,'Payee Ref'!A:A,'Payee Ref'!C:C,"unassigned",0,1)</f>
        <v>Basic</v>
      </c>
      <c r="F482" s="28" t="s">
        <v>2208</v>
      </c>
    </row>
    <row r="483" spans="1:6" x14ac:dyDescent="0.2">
      <c r="A483" s="63">
        <v>45767</v>
      </c>
      <c r="B483" t="s">
        <v>2407</v>
      </c>
      <c r="C483">
        <v>81.08</v>
      </c>
      <c r="D483" s="28" t="str">
        <f>_xlfn.XLOOKUP(B483,'Payee Ref'!A:A,'Payee Ref'!B:B,"unassigned",0,1)</f>
        <v>Travel</v>
      </c>
      <c r="E483" s="28" t="str">
        <f>_xlfn.XLOOKUP(B483,'Payee Ref'!A:A,'Payee Ref'!C:C,"unassigned",0,1)</f>
        <v>Luxury</v>
      </c>
      <c r="F483" s="28" t="s">
        <v>2208</v>
      </c>
    </row>
    <row r="484" spans="1:6" x14ac:dyDescent="0.2">
      <c r="A484" s="63">
        <v>45767</v>
      </c>
      <c r="B484" t="s">
        <v>2407</v>
      </c>
      <c r="C484">
        <v>119.58</v>
      </c>
      <c r="D484" s="28" t="str">
        <f>_xlfn.XLOOKUP(B484,'Payee Ref'!A:A,'Payee Ref'!B:B,"unassigned",0,1)</f>
        <v>Travel</v>
      </c>
      <c r="E484" s="28" t="str">
        <f>_xlfn.XLOOKUP(B484,'Payee Ref'!A:A,'Payee Ref'!C:C,"unassigned",0,1)</f>
        <v>Luxury</v>
      </c>
      <c r="F484" s="28" t="s">
        <v>2208</v>
      </c>
    </row>
    <row r="485" spans="1:6" x14ac:dyDescent="0.2">
      <c r="A485" s="63">
        <v>45766</v>
      </c>
      <c r="B485" t="s">
        <v>2212</v>
      </c>
      <c r="C485">
        <v>274.77</v>
      </c>
      <c r="D485" s="28" t="str">
        <f>_xlfn.XLOOKUP(B485,'Payee Ref'!A:A,'Payee Ref'!B:B,"unassigned",0,1)</f>
        <v>Subscriptions / Digital</v>
      </c>
      <c r="E485" s="28" t="str">
        <f>_xlfn.XLOOKUP(B485,'Payee Ref'!A:A,'Payee Ref'!C:C,"unassigned",0,1)</f>
        <v>Luxury</v>
      </c>
      <c r="F485" s="28" t="s">
        <v>2208</v>
      </c>
    </row>
    <row r="486" spans="1:6" x14ac:dyDescent="0.2">
      <c r="A486" s="63">
        <v>45766</v>
      </c>
      <c r="B486" t="s">
        <v>2215</v>
      </c>
      <c r="C486">
        <v>11.56</v>
      </c>
      <c r="D486" s="28" t="str">
        <f>_xlfn.XLOOKUP(B486,'Payee Ref'!A:A,'Payee Ref'!B:B,"unassigned",0,1)</f>
        <v>Travel</v>
      </c>
      <c r="E486" s="28" t="str">
        <f>_xlfn.XLOOKUP(B486,'Payee Ref'!A:A,'Payee Ref'!C:C,"unassigned",0,1)</f>
        <v>Basic</v>
      </c>
      <c r="F486" s="28" t="s">
        <v>2208</v>
      </c>
    </row>
    <row r="487" spans="1:6" x14ac:dyDescent="0.2">
      <c r="A487" s="63">
        <v>45765</v>
      </c>
      <c r="B487" t="s">
        <v>2215</v>
      </c>
      <c r="C487">
        <v>27.02</v>
      </c>
      <c r="D487" s="28" t="str">
        <f>_xlfn.XLOOKUP(B487,'Payee Ref'!A:A,'Payee Ref'!B:B,"unassigned",0,1)</f>
        <v>Travel</v>
      </c>
      <c r="E487" s="28" t="str">
        <f>_xlfn.XLOOKUP(B487,'Payee Ref'!A:A,'Payee Ref'!C:C,"unassigned",0,1)</f>
        <v>Basic</v>
      </c>
      <c r="F487" s="28" t="s">
        <v>2208</v>
      </c>
    </row>
    <row r="488" spans="1:6" x14ac:dyDescent="0.2">
      <c r="A488" s="63">
        <v>45765</v>
      </c>
      <c r="B488" t="s">
        <v>2337</v>
      </c>
      <c r="C488">
        <v>25.26</v>
      </c>
      <c r="D488" s="28" t="str">
        <f>_xlfn.XLOOKUP(B488,'Payee Ref'!A:A,'Payee Ref'!B:B,"unassigned",0,1)</f>
        <v>Dining</v>
      </c>
      <c r="E488" s="28" t="str">
        <f>_xlfn.XLOOKUP(B488,'Payee Ref'!A:A,'Payee Ref'!C:C,"unassigned",0,1)</f>
        <v>Luxury</v>
      </c>
      <c r="F488" s="28" t="s">
        <v>2208</v>
      </c>
    </row>
    <row r="489" spans="1:6" x14ac:dyDescent="0.2">
      <c r="A489" s="63">
        <v>45765</v>
      </c>
      <c r="B489" t="s">
        <v>2321</v>
      </c>
      <c r="C489">
        <v>20</v>
      </c>
      <c r="D489" s="28" t="str">
        <f>_xlfn.XLOOKUP(B489,'Payee Ref'!A:A,'Payee Ref'!B:B,"unassigned",0,1)</f>
        <v>Travel</v>
      </c>
      <c r="E489" s="28" t="str">
        <f>_xlfn.XLOOKUP(B489,'Payee Ref'!A:A,'Payee Ref'!C:C,"unassigned",0,1)</f>
        <v>Luxury</v>
      </c>
      <c r="F489" s="28" t="s">
        <v>2208</v>
      </c>
    </row>
    <row r="490" spans="1:6" x14ac:dyDescent="0.2">
      <c r="A490" s="63">
        <v>45765</v>
      </c>
      <c r="B490" t="s">
        <v>2321</v>
      </c>
      <c r="C490">
        <v>20</v>
      </c>
      <c r="D490" s="28" t="str">
        <f>_xlfn.XLOOKUP(B490,'Payee Ref'!A:A,'Payee Ref'!B:B,"unassigned",0,1)</f>
        <v>Travel</v>
      </c>
      <c r="E490" s="28" t="str">
        <f>_xlfn.XLOOKUP(B490,'Payee Ref'!A:A,'Payee Ref'!C:C,"unassigned",0,1)</f>
        <v>Luxury</v>
      </c>
      <c r="F490" s="28" t="s">
        <v>2208</v>
      </c>
    </row>
    <row r="491" spans="1:6" x14ac:dyDescent="0.2">
      <c r="A491" s="63">
        <v>45765</v>
      </c>
      <c r="B491" t="s">
        <v>2321</v>
      </c>
      <c r="C491">
        <v>20</v>
      </c>
      <c r="D491" s="28" t="str">
        <f>_xlfn.XLOOKUP(B491,'Payee Ref'!A:A,'Payee Ref'!B:B,"unassigned",0,1)</f>
        <v>Travel</v>
      </c>
      <c r="E491" s="28" t="str">
        <f>_xlfn.XLOOKUP(B491,'Payee Ref'!A:A,'Payee Ref'!C:C,"unassigned",0,1)</f>
        <v>Luxury</v>
      </c>
      <c r="F491" s="28" t="s">
        <v>2208</v>
      </c>
    </row>
    <row r="492" spans="1:6" x14ac:dyDescent="0.2">
      <c r="A492" s="63">
        <v>45765</v>
      </c>
      <c r="B492" t="s">
        <v>557</v>
      </c>
      <c r="C492">
        <v>31.29</v>
      </c>
      <c r="D492" s="28" t="str">
        <f>_xlfn.XLOOKUP(B492,'Payee Ref'!A:A,'Payee Ref'!B:B,"unassigned",0,1)</f>
        <v>Groceries</v>
      </c>
      <c r="E492" s="28" t="str">
        <f>_xlfn.XLOOKUP(B492,'Payee Ref'!A:A,'Payee Ref'!C:C,"unassigned",0,1)</f>
        <v>Basic</v>
      </c>
      <c r="F492" s="28" t="s">
        <v>2208</v>
      </c>
    </row>
    <row r="493" spans="1:6" x14ac:dyDescent="0.2">
      <c r="A493" s="63">
        <v>45763</v>
      </c>
      <c r="B493" t="s">
        <v>2441</v>
      </c>
      <c r="C493">
        <v>484</v>
      </c>
      <c r="D493" s="28">
        <f>_xlfn.XLOOKUP(B493,'Payee Ref'!A:A,'Payee Ref'!B:B,"unassigned",0,1)</f>
        <v>0</v>
      </c>
      <c r="E493" s="28">
        <f>_xlfn.XLOOKUP(B493,'Payee Ref'!A:A,'Payee Ref'!C:C,"unassigned",0,1)</f>
        <v>0</v>
      </c>
      <c r="F493" s="28" t="s">
        <v>2208</v>
      </c>
    </row>
    <row r="494" spans="1:6" x14ac:dyDescent="0.2">
      <c r="A494" s="63">
        <v>45763</v>
      </c>
      <c r="B494" t="s">
        <v>1385</v>
      </c>
      <c r="C494">
        <v>24.2</v>
      </c>
      <c r="D494" s="28" t="str">
        <f>_xlfn.XLOOKUP(B494,'Payee Ref'!A:A,'Payee Ref'!B:B,"unassigned",0,1)</f>
        <v>Bank Fees</v>
      </c>
      <c r="E494" s="28" t="str">
        <f>_xlfn.XLOOKUP(B494,'Payee Ref'!A:A,'Payee Ref'!C:C,"unassigned",0,1)</f>
        <v>Luxury</v>
      </c>
      <c r="F494" s="28" t="s">
        <v>2208</v>
      </c>
    </row>
    <row r="495" spans="1:6" x14ac:dyDescent="0.2">
      <c r="A495" s="63">
        <v>45763</v>
      </c>
      <c r="B495" t="s">
        <v>2321</v>
      </c>
      <c r="C495">
        <v>20</v>
      </c>
      <c r="D495" s="28" t="str">
        <f>_xlfn.XLOOKUP(B495,'Payee Ref'!A:A,'Payee Ref'!B:B,"unassigned",0,1)</f>
        <v>Travel</v>
      </c>
      <c r="E495" s="28" t="str">
        <f>_xlfn.XLOOKUP(B495,'Payee Ref'!A:A,'Payee Ref'!C:C,"unassigned",0,1)</f>
        <v>Luxury</v>
      </c>
      <c r="F495" s="28" t="s">
        <v>2208</v>
      </c>
    </row>
    <row r="496" spans="1:6" x14ac:dyDescent="0.2">
      <c r="A496" s="63">
        <v>45763</v>
      </c>
      <c r="B496" t="s">
        <v>511</v>
      </c>
      <c r="C496">
        <v>125</v>
      </c>
      <c r="D496" s="28" t="str">
        <f>_xlfn.XLOOKUP(B496,'Payee Ref'!A:A,'Payee Ref'!B:B,"unassigned",0,1)</f>
        <v>Gifts</v>
      </c>
      <c r="E496" s="28" t="str">
        <f>_xlfn.XLOOKUP(B496,'Payee Ref'!A:A,'Payee Ref'!C:C,"unassigned",0,1)</f>
        <v>Luxury</v>
      </c>
      <c r="F496" s="28" t="s">
        <v>2208</v>
      </c>
    </row>
    <row r="497" spans="1:6" x14ac:dyDescent="0.2">
      <c r="A497" s="63">
        <v>45763</v>
      </c>
      <c r="B497" t="s">
        <v>2216</v>
      </c>
      <c r="C497">
        <v>-8.48</v>
      </c>
      <c r="D497" s="28" t="str">
        <f>_xlfn.XLOOKUP(B497,'Payee Ref'!A:A,'Payee Ref'!B:B,"unassigned",0,1)</f>
        <v>Travel</v>
      </c>
      <c r="E497" s="28" t="str">
        <f>_xlfn.XLOOKUP(B497,'Payee Ref'!A:A,'Payee Ref'!C:C,"unassigned",0,1)</f>
        <v>Basic</v>
      </c>
      <c r="F497" s="28" t="s">
        <v>2208</v>
      </c>
    </row>
    <row r="498" spans="1:6" x14ac:dyDescent="0.2">
      <c r="A498" s="63">
        <v>45763</v>
      </c>
      <c r="B498" t="s">
        <v>495</v>
      </c>
      <c r="C498">
        <v>14.5</v>
      </c>
      <c r="D498" s="28" t="str">
        <f>_xlfn.XLOOKUP(B498,'Payee Ref'!A:A,'Payee Ref'!B:B,"unassigned",0,1)</f>
        <v>Enrichment</v>
      </c>
      <c r="E498" s="28" t="str">
        <f>_xlfn.XLOOKUP(B498,'Payee Ref'!A:A,'Payee Ref'!C:C,"unassigned",0,1)</f>
        <v>Basic</v>
      </c>
      <c r="F498" s="28" t="s">
        <v>2208</v>
      </c>
    </row>
    <row r="499" spans="1:6" x14ac:dyDescent="0.2">
      <c r="A499" s="63">
        <v>45762</v>
      </c>
      <c r="B499" t="s">
        <v>495</v>
      </c>
      <c r="C499">
        <v>9.0299999999999994</v>
      </c>
      <c r="D499" s="28" t="str">
        <f>_xlfn.XLOOKUP(B499,'Payee Ref'!A:A,'Payee Ref'!B:B,"unassigned",0,1)</f>
        <v>Enrichment</v>
      </c>
      <c r="E499" s="28" t="str">
        <f>_xlfn.XLOOKUP(B499,'Payee Ref'!A:A,'Payee Ref'!C:C,"unassigned",0,1)</f>
        <v>Basic</v>
      </c>
      <c r="F499" s="28" t="s">
        <v>2208</v>
      </c>
    </row>
    <row r="500" spans="1:6" x14ac:dyDescent="0.2">
      <c r="A500" s="63">
        <v>45762</v>
      </c>
      <c r="B500" t="s">
        <v>495</v>
      </c>
      <c r="C500">
        <v>12.08</v>
      </c>
      <c r="D500" s="28" t="str">
        <f>_xlfn.XLOOKUP(B500,'Payee Ref'!A:A,'Payee Ref'!B:B,"unassigned",0,1)</f>
        <v>Enrichment</v>
      </c>
      <c r="E500" s="28" t="str">
        <f>_xlfn.XLOOKUP(B500,'Payee Ref'!A:A,'Payee Ref'!C:C,"unassigned",0,1)</f>
        <v>Basic</v>
      </c>
      <c r="F500" s="28" t="s">
        <v>2208</v>
      </c>
    </row>
    <row r="501" spans="1:6" x14ac:dyDescent="0.2">
      <c r="A501" s="63">
        <v>45761</v>
      </c>
      <c r="B501" t="s">
        <v>2285</v>
      </c>
      <c r="C501">
        <v>11.82</v>
      </c>
      <c r="D501" s="28" t="str">
        <f>_xlfn.XLOOKUP(B501,'Payee Ref'!A:A,'Payee Ref'!B:B,"unassigned",0,1)</f>
        <v>Home &amp; Garden</v>
      </c>
      <c r="E501" s="28" t="str">
        <f>_xlfn.XLOOKUP(B501,'Payee Ref'!A:A,'Payee Ref'!C:C,"unassigned",0,1)</f>
        <v>Basic</v>
      </c>
      <c r="F501" s="28" t="s">
        <v>2208</v>
      </c>
    </row>
    <row r="502" spans="1:6" x14ac:dyDescent="0.2">
      <c r="A502" s="63">
        <v>45761</v>
      </c>
      <c r="B502" t="s">
        <v>2215</v>
      </c>
      <c r="C502">
        <v>-133.94999999999999</v>
      </c>
      <c r="D502" s="28" t="str">
        <f>_xlfn.XLOOKUP(B502,'Payee Ref'!A:A,'Payee Ref'!B:B,"unassigned",0,1)</f>
        <v>Travel</v>
      </c>
      <c r="E502" s="28" t="str">
        <f>_xlfn.XLOOKUP(B502,'Payee Ref'!A:A,'Payee Ref'!C:C,"unassigned",0,1)</f>
        <v>Basic</v>
      </c>
      <c r="F502" s="28" t="s">
        <v>2208</v>
      </c>
    </row>
    <row r="503" spans="1:6" x14ac:dyDescent="0.2">
      <c r="A503" s="63">
        <v>45761</v>
      </c>
      <c r="B503" t="s">
        <v>495</v>
      </c>
      <c r="C503">
        <v>13.22</v>
      </c>
      <c r="D503" s="28" t="str">
        <f>_xlfn.XLOOKUP(B503,'Payee Ref'!A:A,'Payee Ref'!B:B,"unassigned",0,1)</f>
        <v>Enrichment</v>
      </c>
      <c r="E503" s="28" t="str">
        <f>_xlfn.XLOOKUP(B503,'Payee Ref'!A:A,'Payee Ref'!C:C,"unassigned",0,1)</f>
        <v>Basic</v>
      </c>
      <c r="F503" s="28" t="s">
        <v>2208</v>
      </c>
    </row>
    <row r="504" spans="1:6" x14ac:dyDescent="0.2">
      <c r="A504" s="63">
        <v>45760</v>
      </c>
      <c r="B504" t="s">
        <v>2352</v>
      </c>
      <c r="C504">
        <v>32.979999999999997</v>
      </c>
      <c r="D504" s="28">
        <f>_xlfn.XLOOKUP(B504,'Payee Ref'!A:A,'Payee Ref'!B:B,"unassigned",0,1)</f>
        <v>0</v>
      </c>
      <c r="E504" s="28">
        <f>_xlfn.XLOOKUP(B504,'Payee Ref'!A:A,'Payee Ref'!C:C,"unassigned",0,1)</f>
        <v>0</v>
      </c>
      <c r="F504" s="28" t="s">
        <v>2208</v>
      </c>
    </row>
    <row r="505" spans="1:6" x14ac:dyDescent="0.2">
      <c r="A505" s="63">
        <v>45760</v>
      </c>
      <c r="B505" t="s">
        <v>2235</v>
      </c>
      <c r="C505">
        <v>3.79</v>
      </c>
      <c r="D505" s="28" t="str">
        <f>_xlfn.XLOOKUP(B505,'Payee Ref'!A:A,'Payee Ref'!B:B,"unassigned",0,1)</f>
        <v>Auto</v>
      </c>
      <c r="E505" s="28" t="str">
        <f>_xlfn.XLOOKUP(B505,'Payee Ref'!A:A,'Payee Ref'!C:C,"unassigned",0,1)</f>
        <v>Basic</v>
      </c>
      <c r="F505" s="28" t="s">
        <v>2208</v>
      </c>
    </row>
    <row r="506" spans="1:6" x14ac:dyDescent="0.2">
      <c r="A506" s="63">
        <v>45760</v>
      </c>
      <c r="B506" t="s">
        <v>2236</v>
      </c>
      <c r="C506">
        <v>12.89</v>
      </c>
      <c r="D506" s="28" t="str">
        <f>_xlfn.XLOOKUP(B506,'Payee Ref'!A:A,'Payee Ref'!B:B,"unassigned",0,1)</f>
        <v>Travel</v>
      </c>
      <c r="E506" s="28" t="str">
        <f>_xlfn.XLOOKUP(B506,'Payee Ref'!A:A,'Payee Ref'!C:C,"unassigned",0,1)</f>
        <v>Basic</v>
      </c>
      <c r="F506" s="28" t="s">
        <v>2208</v>
      </c>
    </row>
    <row r="507" spans="1:6" x14ac:dyDescent="0.2">
      <c r="A507" s="63">
        <v>45760</v>
      </c>
      <c r="B507" t="s">
        <v>2215</v>
      </c>
      <c r="C507">
        <v>133.94999999999999</v>
      </c>
      <c r="D507" s="28" t="str">
        <f>_xlfn.XLOOKUP(B507,'Payee Ref'!A:A,'Payee Ref'!B:B,"unassigned",0,1)</f>
        <v>Travel</v>
      </c>
      <c r="E507" s="28" t="str">
        <f>_xlfn.XLOOKUP(B507,'Payee Ref'!A:A,'Payee Ref'!C:C,"unassigned",0,1)</f>
        <v>Basic</v>
      </c>
      <c r="F507" s="28" t="s">
        <v>2208</v>
      </c>
    </row>
    <row r="508" spans="1:6" x14ac:dyDescent="0.2">
      <c r="A508" s="63">
        <v>45760</v>
      </c>
      <c r="B508" t="s">
        <v>2267</v>
      </c>
      <c r="C508">
        <v>17.920000000000002</v>
      </c>
      <c r="D508" s="28" t="str">
        <f>_xlfn.XLOOKUP(B508,'Payee Ref'!A:A,'Payee Ref'!B:B,"unassigned",0,1)</f>
        <v>Dining</v>
      </c>
      <c r="E508" s="28" t="str">
        <f>_xlfn.XLOOKUP(B508,'Payee Ref'!A:A,'Payee Ref'!C:C,"unassigned",0,1)</f>
        <v>Luxury</v>
      </c>
      <c r="F508" s="28" t="s">
        <v>2208</v>
      </c>
    </row>
    <row r="509" spans="1:6" x14ac:dyDescent="0.2">
      <c r="A509" s="63">
        <v>45760</v>
      </c>
      <c r="B509" t="s">
        <v>2321</v>
      </c>
      <c r="C509">
        <v>20</v>
      </c>
      <c r="D509" s="28" t="str">
        <f>_xlfn.XLOOKUP(B509,'Payee Ref'!A:A,'Payee Ref'!B:B,"unassigned",0,1)</f>
        <v>Travel</v>
      </c>
      <c r="E509" s="28" t="str">
        <f>_xlfn.XLOOKUP(B509,'Payee Ref'!A:A,'Payee Ref'!C:C,"unassigned",0,1)</f>
        <v>Luxury</v>
      </c>
      <c r="F509" s="28" t="s">
        <v>2208</v>
      </c>
    </row>
    <row r="510" spans="1:6" x14ac:dyDescent="0.2">
      <c r="A510" s="63">
        <v>45760</v>
      </c>
      <c r="B510" t="s">
        <v>2387</v>
      </c>
      <c r="C510">
        <v>58.81</v>
      </c>
      <c r="D510" s="28" t="str">
        <f>_xlfn.XLOOKUP(B510,'Payee Ref'!A:A,'Payee Ref'!B:B,"unassigned",0,1)</f>
        <v>Travel</v>
      </c>
      <c r="E510" s="28" t="str">
        <f>_xlfn.XLOOKUP(B510,'Payee Ref'!A:A,'Payee Ref'!C:C,"unassigned",0,1)</f>
        <v>Luxury</v>
      </c>
      <c r="F510" s="28" t="s">
        <v>2208</v>
      </c>
    </row>
    <row r="511" spans="1:6" x14ac:dyDescent="0.2">
      <c r="A511" s="63">
        <v>45760</v>
      </c>
      <c r="B511" t="s">
        <v>2420</v>
      </c>
      <c r="C511">
        <v>128.19</v>
      </c>
      <c r="D511" s="28" t="str">
        <f>_xlfn.XLOOKUP(B511,'Payee Ref'!A:A,'Payee Ref'!B:B,"unassigned",0,1)</f>
        <v>Travel</v>
      </c>
      <c r="E511" s="28" t="str">
        <f>_xlfn.XLOOKUP(B511,'Payee Ref'!A:A,'Payee Ref'!C:C,"unassigned",0,1)</f>
        <v>Basic</v>
      </c>
      <c r="F511" s="28" t="s">
        <v>2208</v>
      </c>
    </row>
    <row r="512" spans="1:6" x14ac:dyDescent="0.2">
      <c r="A512" s="63">
        <v>45760</v>
      </c>
      <c r="B512" t="s">
        <v>855</v>
      </c>
      <c r="C512">
        <v>46.68</v>
      </c>
      <c r="D512" s="28" t="str">
        <f>_xlfn.XLOOKUP(B512,'Payee Ref'!A:A,'Payee Ref'!B:B,"unassigned",0,1)</f>
        <v>Pharmacy</v>
      </c>
      <c r="E512" s="28" t="str">
        <f>_xlfn.XLOOKUP(B512,'Payee Ref'!A:A,'Payee Ref'!C:C,"unassigned",0,1)</f>
        <v>Basic</v>
      </c>
      <c r="F512" s="28" t="s">
        <v>2208</v>
      </c>
    </row>
    <row r="513" spans="1:6" x14ac:dyDescent="0.2">
      <c r="A513" s="63">
        <v>45760</v>
      </c>
      <c r="B513" t="s">
        <v>2219</v>
      </c>
      <c r="C513">
        <v>1.04</v>
      </c>
      <c r="D513" s="28">
        <f>_xlfn.XLOOKUP(B513,'Payee Ref'!A:A,'Payee Ref'!B:B,"unassigned",0,1)</f>
        <v>0</v>
      </c>
      <c r="E513" s="28">
        <f>_xlfn.XLOOKUP(B513,'Payee Ref'!A:A,'Payee Ref'!C:C,"unassigned",0,1)</f>
        <v>0</v>
      </c>
      <c r="F513" s="28" t="s">
        <v>2208</v>
      </c>
    </row>
    <row r="514" spans="1:6" x14ac:dyDescent="0.2">
      <c r="A514" s="63">
        <v>45759</v>
      </c>
      <c r="B514" t="s">
        <v>2236</v>
      </c>
      <c r="C514">
        <v>16.829999999999998</v>
      </c>
      <c r="D514" s="28" t="str">
        <f>_xlfn.XLOOKUP(B514,'Payee Ref'!A:A,'Payee Ref'!B:B,"unassigned",0,1)</f>
        <v>Travel</v>
      </c>
      <c r="E514" s="28" t="str">
        <f>_xlfn.XLOOKUP(B514,'Payee Ref'!A:A,'Payee Ref'!C:C,"unassigned",0,1)</f>
        <v>Basic</v>
      </c>
      <c r="F514" s="28" t="s">
        <v>2208</v>
      </c>
    </row>
    <row r="515" spans="1:6" x14ac:dyDescent="0.2">
      <c r="A515" s="63">
        <v>45759</v>
      </c>
      <c r="B515" t="s">
        <v>2396</v>
      </c>
      <c r="C515">
        <v>67.52</v>
      </c>
      <c r="D515" s="28" t="str">
        <f>_xlfn.XLOOKUP(B515,'Payee Ref'!A:A,'Payee Ref'!B:B,"unassigned",0,1)</f>
        <v>Auto</v>
      </c>
      <c r="E515" s="28" t="str">
        <f>_xlfn.XLOOKUP(B515,'Payee Ref'!A:A,'Payee Ref'!C:C,"unassigned",0,1)</f>
        <v>Basic</v>
      </c>
      <c r="F515" s="28" t="s">
        <v>2208</v>
      </c>
    </row>
    <row r="516" spans="1:6" x14ac:dyDescent="0.2">
      <c r="A516" s="63">
        <v>45759</v>
      </c>
      <c r="B516" t="s">
        <v>2319</v>
      </c>
      <c r="C516">
        <v>20.62</v>
      </c>
      <c r="D516" s="28">
        <f>_xlfn.XLOOKUP(B516,'Payee Ref'!A:A,'Payee Ref'!B:B,"unassigned",0,1)</f>
        <v>0</v>
      </c>
      <c r="E516" s="28">
        <f>_xlfn.XLOOKUP(B516,'Payee Ref'!A:A,'Payee Ref'!C:C,"unassigned",0,1)</f>
        <v>0</v>
      </c>
      <c r="F516" s="28" t="s">
        <v>2208</v>
      </c>
    </row>
    <row r="517" spans="1:6" x14ac:dyDescent="0.2">
      <c r="A517" s="63">
        <v>45758</v>
      </c>
      <c r="B517" t="s">
        <v>2215</v>
      </c>
      <c r="C517">
        <v>30.67</v>
      </c>
      <c r="D517" s="28" t="str">
        <f>_xlfn.XLOOKUP(B517,'Payee Ref'!A:A,'Payee Ref'!B:B,"unassigned",0,1)</f>
        <v>Travel</v>
      </c>
      <c r="E517" s="28" t="str">
        <f>_xlfn.XLOOKUP(B517,'Payee Ref'!A:A,'Payee Ref'!C:C,"unassigned",0,1)</f>
        <v>Basic</v>
      </c>
      <c r="F517" s="28" t="s">
        <v>2208</v>
      </c>
    </row>
    <row r="518" spans="1:6" x14ac:dyDescent="0.2">
      <c r="A518" s="63">
        <v>45758</v>
      </c>
      <c r="B518" t="s">
        <v>2409</v>
      </c>
      <c r="C518">
        <v>85.83</v>
      </c>
      <c r="D518" s="28" t="str">
        <f>_xlfn.XLOOKUP(B518,'Payee Ref'!A:A,'Payee Ref'!B:B,"unassigned",0,1)</f>
        <v>Travel</v>
      </c>
      <c r="E518" s="28" t="str">
        <f>_xlfn.XLOOKUP(B518,'Payee Ref'!A:A,'Payee Ref'!C:C,"unassigned",0,1)</f>
        <v>Basic</v>
      </c>
      <c r="F518" s="28" t="s">
        <v>2208</v>
      </c>
    </row>
    <row r="519" spans="1:6" x14ac:dyDescent="0.2">
      <c r="A519" s="63">
        <v>45758</v>
      </c>
      <c r="B519" t="s">
        <v>2321</v>
      </c>
      <c r="C519">
        <v>20</v>
      </c>
      <c r="D519" s="28" t="str">
        <f>_xlfn.XLOOKUP(B519,'Payee Ref'!A:A,'Payee Ref'!B:B,"unassigned",0,1)</f>
        <v>Travel</v>
      </c>
      <c r="E519" s="28" t="str">
        <f>_xlfn.XLOOKUP(B519,'Payee Ref'!A:A,'Payee Ref'!C:C,"unassigned",0,1)</f>
        <v>Luxury</v>
      </c>
      <c r="F519" s="28" t="s">
        <v>2208</v>
      </c>
    </row>
    <row r="520" spans="1:6" x14ac:dyDescent="0.2">
      <c r="A520" s="63">
        <v>45758</v>
      </c>
      <c r="B520" t="s">
        <v>2359</v>
      </c>
      <c r="C520">
        <v>37.31</v>
      </c>
      <c r="D520" s="28" t="str">
        <f>_xlfn.XLOOKUP(B520,'Payee Ref'!A:A,'Payee Ref'!B:B,"unassigned",0,1)</f>
        <v>Groceries</v>
      </c>
      <c r="E520" s="28" t="str">
        <f>_xlfn.XLOOKUP(B520,'Payee Ref'!A:A,'Payee Ref'!C:C,"unassigned",0,1)</f>
        <v>Basic</v>
      </c>
      <c r="F520" s="28" t="s">
        <v>2208</v>
      </c>
    </row>
    <row r="521" spans="1:6" x14ac:dyDescent="0.2">
      <c r="A521" s="63">
        <v>45758</v>
      </c>
      <c r="B521" t="s">
        <v>2413</v>
      </c>
      <c r="C521">
        <v>107.59</v>
      </c>
      <c r="D521" s="28" t="str">
        <f>_xlfn.XLOOKUP(B521,'Payee Ref'!A:A,'Payee Ref'!B:B,"unassigned",0,1)</f>
        <v>Auto</v>
      </c>
      <c r="E521" s="28" t="str">
        <f>_xlfn.XLOOKUP(B521,'Payee Ref'!A:A,'Payee Ref'!C:C,"unassigned",0,1)</f>
        <v>Basic</v>
      </c>
      <c r="F521" s="28" t="s">
        <v>2208</v>
      </c>
    </row>
    <row r="522" spans="1:6" x14ac:dyDescent="0.2">
      <c r="A522" s="63">
        <v>45757</v>
      </c>
      <c r="B522" t="s">
        <v>859</v>
      </c>
      <c r="C522">
        <v>95.42</v>
      </c>
      <c r="D522" s="28" t="str">
        <f>_xlfn.XLOOKUP(B522,'Payee Ref'!A:A,'Payee Ref'!B:B,"unassigned",0,1)</f>
        <v>Travel</v>
      </c>
      <c r="E522" s="28" t="str">
        <f>_xlfn.XLOOKUP(B522,'Payee Ref'!A:A,'Payee Ref'!C:C,"unassigned",0,1)</f>
        <v>Luxury</v>
      </c>
      <c r="F522" s="28" t="s">
        <v>2208</v>
      </c>
    </row>
    <row r="523" spans="1:6" x14ac:dyDescent="0.2">
      <c r="A523" s="63">
        <v>45757</v>
      </c>
      <c r="B523" t="s">
        <v>2405</v>
      </c>
      <c r="C523">
        <v>78.12</v>
      </c>
      <c r="D523" s="28" t="str">
        <f>_xlfn.XLOOKUP(B523,'Payee Ref'!A:A,'Payee Ref'!B:B,"unassigned",0,1)</f>
        <v>Dining</v>
      </c>
      <c r="E523" s="28" t="str">
        <f>_xlfn.XLOOKUP(B523,'Payee Ref'!A:A,'Payee Ref'!C:C,"unassigned",0,1)</f>
        <v>Luxury</v>
      </c>
      <c r="F523" s="28" t="s">
        <v>2208</v>
      </c>
    </row>
    <row r="524" spans="1:6" x14ac:dyDescent="0.2">
      <c r="A524" s="63">
        <v>45756</v>
      </c>
      <c r="B524" t="s">
        <v>2288</v>
      </c>
      <c r="C524">
        <v>12</v>
      </c>
      <c r="D524" s="28">
        <f>_xlfn.XLOOKUP(B524,'Payee Ref'!A:A,'Payee Ref'!B:B,"unassigned",0,1)</f>
        <v>0</v>
      </c>
      <c r="E524" s="28">
        <f>_xlfn.XLOOKUP(B524,'Payee Ref'!A:A,'Payee Ref'!C:C,"unassigned",0,1)</f>
        <v>0</v>
      </c>
      <c r="F524" s="28" t="s">
        <v>2208</v>
      </c>
    </row>
    <row r="525" spans="1:6" x14ac:dyDescent="0.2">
      <c r="A525" s="63">
        <v>45755</v>
      </c>
      <c r="B525" t="s">
        <v>1401</v>
      </c>
      <c r="C525">
        <v>-1400</v>
      </c>
      <c r="D525" s="28" t="str">
        <f>_xlfn.XLOOKUP(B525,'Payee Ref'!A:A,'Payee Ref'!B:B,"unassigned",0,1)</f>
        <v>Transfer</v>
      </c>
      <c r="E525" s="28" t="str">
        <f>_xlfn.XLOOKUP(B525,'Payee Ref'!A:A,'Payee Ref'!C:C,"unassigned",0,1)</f>
        <v>Basic</v>
      </c>
      <c r="F525" s="28" t="s">
        <v>2208</v>
      </c>
    </row>
    <row r="526" spans="1:6" x14ac:dyDescent="0.2">
      <c r="A526" s="63">
        <v>45755</v>
      </c>
      <c r="B526" t="s">
        <v>2331</v>
      </c>
      <c r="C526">
        <v>23.15</v>
      </c>
      <c r="D526" s="28" t="str">
        <f>_xlfn.XLOOKUP(B526,'Payee Ref'!A:A,'Payee Ref'!B:B,"unassigned",0,1)</f>
        <v>Dining</v>
      </c>
      <c r="E526" s="28" t="str">
        <f>_xlfn.XLOOKUP(B526,'Payee Ref'!A:A,'Payee Ref'!C:C,"unassigned",0,1)</f>
        <v>Luxury</v>
      </c>
      <c r="F526" s="28" t="s">
        <v>2208</v>
      </c>
    </row>
    <row r="527" spans="1:6" x14ac:dyDescent="0.2">
      <c r="A527" s="63">
        <v>45754</v>
      </c>
      <c r="B527" t="s">
        <v>2224</v>
      </c>
      <c r="C527">
        <v>2.09</v>
      </c>
      <c r="D527" s="28" t="str">
        <f>_xlfn.XLOOKUP(B527,'Payee Ref'!A:A,'Payee Ref'!B:B,"unassigned",0,1)</f>
        <v>Groceries</v>
      </c>
      <c r="E527" s="28" t="str">
        <f>_xlfn.XLOOKUP(B527,'Payee Ref'!A:A,'Payee Ref'!C:C,"unassigned",0,1)</f>
        <v>Basic</v>
      </c>
      <c r="F527" s="28" t="s">
        <v>2208</v>
      </c>
    </row>
    <row r="528" spans="1:6" x14ac:dyDescent="0.2">
      <c r="A528" s="63">
        <v>45754</v>
      </c>
      <c r="B528" t="s">
        <v>2224</v>
      </c>
      <c r="C528">
        <v>3.46</v>
      </c>
      <c r="D528" s="28" t="str">
        <f>_xlfn.XLOOKUP(B528,'Payee Ref'!A:A,'Payee Ref'!B:B,"unassigned",0,1)</f>
        <v>Groceries</v>
      </c>
      <c r="E528" s="28" t="str">
        <f>_xlfn.XLOOKUP(B528,'Payee Ref'!A:A,'Payee Ref'!C:C,"unassigned",0,1)</f>
        <v>Basic</v>
      </c>
      <c r="F528" s="28" t="s">
        <v>2208</v>
      </c>
    </row>
    <row r="529" spans="1:6" x14ac:dyDescent="0.2">
      <c r="A529" s="63">
        <v>45754</v>
      </c>
      <c r="B529" t="s">
        <v>2321</v>
      </c>
      <c r="C529">
        <v>20</v>
      </c>
      <c r="D529" s="28" t="str">
        <f>_xlfn.XLOOKUP(B529,'Payee Ref'!A:A,'Payee Ref'!B:B,"unassigned",0,1)</f>
        <v>Travel</v>
      </c>
      <c r="E529" s="28" t="str">
        <f>_xlfn.XLOOKUP(B529,'Payee Ref'!A:A,'Payee Ref'!C:C,"unassigned",0,1)</f>
        <v>Luxury</v>
      </c>
      <c r="F529" s="28" t="s">
        <v>2208</v>
      </c>
    </row>
    <row r="530" spans="1:6" x14ac:dyDescent="0.2">
      <c r="A530" s="63">
        <v>45754</v>
      </c>
      <c r="B530" t="s">
        <v>2263</v>
      </c>
      <c r="C530">
        <v>8</v>
      </c>
      <c r="D530" s="28" t="str">
        <f>_xlfn.XLOOKUP(B530,'Payee Ref'!A:A,'Payee Ref'!B:B,"unassigned",0,1)</f>
        <v>Subscriptions / Digital</v>
      </c>
      <c r="E530" s="28" t="str">
        <f>_xlfn.XLOOKUP(B530,'Payee Ref'!A:A,'Payee Ref'!C:C,"unassigned",0,1)</f>
        <v>Luxury</v>
      </c>
      <c r="F530" s="28" t="s">
        <v>2208</v>
      </c>
    </row>
    <row r="531" spans="1:6" x14ac:dyDescent="0.2">
      <c r="A531" s="63">
        <v>45754</v>
      </c>
      <c r="B531" t="s">
        <v>2241</v>
      </c>
      <c r="C531">
        <v>12.08</v>
      </c>
      <c r="D531" s="28" t="str">
        <f>_xlfn.XLOOKUP(B531,'Payee Ref'!A:A,'Payee Ref'!B:B,"unassigned",0,1)</f>
        <v>Dining</v>
      </c>
      <c r="E531" s="28" t="str">
        <f>_xlfn.XLOOKUP(B531,'Payee Ref'!A:A,'Payee Ref'!C:C,"unassigned",0,1)</f>
        <v>Luxury</v>
      </c>
      <c r="F531" s="28" t="s">
        <v>2208</v>
      </c>
    </row>
    <row r="532" spans="1:6" x14ac:dyDescent="0.2">
      <c r="A532" s="63">
        <v>45754</v>
      </c>
      <c r="B532" t="s">
        <v>2241</v>
      </c>
      <c r="C532">
        <v>13.22</v>
      </c>
      <c r="D532" s="28" t="str">
        <f>_xlfn.XLOOKUP(B532,'Payee Ref'!A:A,'Payee Ref'!B:B,"unassigned",0,1)</f>
        <v>Dining</v>
      </c>
      <c r="E532" s="28" t="str">
        <f>_xlfn.XLOOKUP(B532,'Payee Ref'!A:A,'Payee Ref'!C:C,"unassigned",0,1)</f>
        <v>Luxury</v>
      </c>
      <c r="F532" s="28" t="s">
        <v>2208</v>
      </c>
    </row>
    <row r="533" spans="1:6" x14ac:dyDescent="0.2">
      <c r="A533" s="63">
        <v>45753</v>
      </c>
      <c r="B533" t="s">
        <v>2249</v>
      </c>
      <c r="C533">
        <v>5.87</v>
      </c>
      <c r="D533" s="28" t="str">
        <f>_xlfn.XLOOKUP(B533,'Payee Ref'!A:A,'Payee Ref'!B:B,"unassigned",0,1)</f>
        <v>Home &amp; Garden</v>
      </c>
      <c r="E533" s="28" t="str">
        <f>_xlfn.XLOOKUP(B533,'Payee Ref'!A:A,'Payee Ref'!C:C,"unassigned",0,1)</f>
        <v>Basic</v>
      </c>
      <c r="F533" s="28" t="s">
        <v>2208</v>
      </c>
    </row>
    <row r="534" spans="1:6" x14ac:dyDescent="0.2">
      <c r="A534" s="63">
        <v>45752</v>
      </c>
      <c r="B534" t="s">
        <v>2311</v>
      </c>
      <c r="C534">
        <v>16.78</v>
      </c>
      <c r="D534" s="28" t="str">
        <f>_xlfn.XLOOKUP(B534,'Payee Ref'!A:A,'Payee Ref'!B:B,"unassigned",0,1)</f>
        <v>Travel</v>
      </c>
      <c r="E534" s="28" t="str">
        <f>_xlfn.XLOOKUP(B534,'Payee Ref'!A:A,'Payee Ref'!C:C,"unassigned",0,1)</f>
        <v>Luxury</v>
      </c>
      <c r="F534" s="28" t="s">
        <v>2208</v>
      </c>
    </row>
    <row r="535" spans="1:6" x14ac:dyDescent="0.2">
      <c r="A535" s="63">
        <v>45752</v>
      </c>
      <c r="B535" t="s">
        <v>1408</v>
      </c>
      <c r="C535">
        <v>66.2</v>
      </c>
      <c r="D535" s="28" t="str">
        <f>_xlfn.XLOOKUP(B535,'Payee Ref'!A:A,'Payee Ref'!B:B,"unassigned",0,1)</f>
        <v>Professional</v>
      </c>
      <c r="E535" s="28" t="str">
        <f>_xlfn.XLOOKUP(B535,'Payee Ref'!A:A,'Payee Ref'!C:C,"unassigned",0,1)</f>
        <v>Basic</v>
      </c>
      <c r="F535" s="28" t="s">
        <v>2208</v>
      </c>
    </row>
    <row r="536" spans="1:6" x14ac:dyDescent="0.2">
      <c r="A536" s="63">
        <v>45751</v>
      </c>
      <c r="B536" t="s">
        <v>2321</v>
      </c>
      <c r="C536">
        <v>20</v>
      </c>
      <c r="D536" s="28" t="str">
        <f>_xlfn.XLOOKUP(B536,'Payee Ref'!A:A,'Payee Ref'!B:B,"unassigned",0,1)</f>
        <v>Travel</v>
      </c>
      <c r="E536" s="28" t="str">
        <f>_xlfn.XLOOKUP(B536,'Payee Ref'!A:A,'Payee Ref'!C:C,"unassigned",0,1)</f>
        <v>Luxury</v>
      </c>
      <c r="F536" s="28" t="s">
        <v>2208</v>
      </c>
    </row>
    <row r="537" spans="1:6" x14ac:dyDescent="0.2">
      <c r="A537" s="63">
        <v>45751</v>
      </c>
      <c r="B537" t="s">
        <v>2241</v>
      </c>
      <c r="C537">
        <v>7.57</v>
      </c>
      <c r="D537" s="28" t="str">
        <f>_xlfn.XLOOKUP(B537,'Payee Ref'!A:A,'Payee Ref'!B:B,"unassigned",0,1)</f>
        <v>Dining</v>
      </c>
      <c r="E537" s="28" t="str">
        <f>_xlfn.XLOOKUP(B537,'Payee Ref'!A:A,'Payee Ref'!C:C,"unassigned",0,1)</f>
        <v>Luxury</v>
      </c>
      <c r="F537" s="28" t="s">
        <v>2208</v>
      </c>
    </row>
    <row r="538" spans="1:6" x14ac:dyDescent="0.2">
      <c r="A538" s="63">
        <v>45751</v>
      </c>
      <c r="B538" t="s">
        <v>2241</v>
      </c>
      <c r="C538">
        <v>12.13</v>
      </c>
      <c r="D538" s="28" t="str">
        <f>_xlfn.XLOOKUP(B538,'Payee Ref'!A:A,'Payee Ref'!B:B,"unassigned",0,1)</f>
        <v>Dining</v>
      </c>
      <c r="E538" s="28" t="str">
        <f>_xlfn.XLOOKUP(B538,'Payee Ref'!A:A,'Payee Ref'!C:C,"unassigned",0,1)</f>
        <v>Luxury</v>
      </c>
      <c r="F538" s="28" t="s">
        <v>2208</v>
      </c>
    </row>
    <row r="539" spans="1:6" x14ac:dyDescent="0.2">
      <c r="A539" s="63">
        <v>45750</v>
      </c>
      <c r="B539" t="s">
        <v>2321</v>
      </c>
      <c r="C539">
        <v>20</v>
      </c>
      <c r="D539" s="28" t="str">
        <f>_xlfn.XLOOKUP(B539,'Payee Ref'!A:A,'Payee Ref'!B:B,"unassigned",0,1)</f>
        <v>Travel</v>
      </c>
      <c r="E539" s="28" t="str">
        <f>_xlfn.XLOOKUP(B539,'Payee Ref'!A:A,'Payee Ref'!C:C,"unassigned",0,1)</f>
        <v>Luxury</v>
      </c>
      <c r="F539" s="28" t="s">
        <v>2208</v>
      </c>
    </row>
    <row r="540" spans="1:6" x14ac:dyDescent="0.2">
      <c r="A540" s="63">
        <v>45750</v>
      </c>
      <c r="B540" t="s">
        <v>2321</v>
      </c>
      <c r="C540">
        <v>20</v>
      </c>
      <c r="D540" s="28" t="str">
        <f>_xlfn.XLOOKUP(B540,'Payee Ref'!A:A,'Payee Ref'!B:B,"unassigned",0,1)</f>
        <v>Travel</v>
      </c>
      <c r="E540" s="28" t="str">
        <f>_xlfn.XLOOKUP(B540,'Payee Ref'!A:A,'Payee Ref'!C:C,"unassigned",0,1)</f>
        <v>Luxury</v>
      </c>
      <c r="F540" s="28" t="s">
        <v>2208</v>
      </c>
    </row>
    <row r="541" spans="1:6" x14ac:dyDescent="0.2">
      <c r="A541" s="63">
        <v>45749</v>
      </c>
      <c r="B541" t="s">
        <v>931</v>
      </c>
      <c r="C541">
        <v>3.3</v>
      </c>
      <c r="D541" s="28" t="str">
        <f>_xlfn.XLOOKUP(B541,'Payee Ref'!A:A,'Payee Ref'!B:B,"unassigned",0,1)</f>
        <v>Subscriptions / Digital</v>
      </c>
      <c r="E541" s="28" t="str">
        <f>_xlfn.XLOOKUP(B541,'Payee Ref'!A:A,'Payee Ref'!C:C,"unassigned",0,1)</f>
        <v>Basic</v>
      </c>
      <c r="F541" s="28" t="s">
        <v>2208</v>
      </c>
    </row>
    <row r="542" spans="1:6" x14ac:dyDescent="0.2">
      <c r="A542" s="63">
        <v>45748</v>
      </c>
      <c r="B542" t="s">
        <v>2226</v>
      </c>
      <c r="C542">
        <v>2.66</v>
      </c>
      <c r="D542" s="28" t="str">
        <f>_xlfn.XLOOKUP(B542,'Payee Ref'!A:A,'Payee Ref'!B:B,"unassigned",0,1)</f>
        <v>Auto</v>
      </c>
      <c r="E542" s="28" t="str">
        <f>_xlfn.XLOOKUP(B542,'Payee Ref'!A:A,'Payee Ref'!C:C,"unassigned",0,1)</f>
        <v>Basic</v>
      </c>
      <c r="F542" s="28" t="s">
        <v>2208</v>
      </c>
    </row>
    <row r="543" spans="1:6" x14ac:dyDescent="0.2">
      <c r="A543" s="63">
        <v>45747</v>
      </c>
      <c r="B543" t="s">
        <v>2273</v>
      </c>
      <c r="C543">
        <v>9.73</v>
      </c>
      <c r="D543" s="28" t="str">
        <f>_xlfn.XLOOKUP(B543,'Payee Ref'!A:A,'Payee Ref'!B:B,"unassigned",0,1)</f>
        <v>Travel</v>
      </c>
      <c r="E543" s="28" t="str">
        <f>_xlfn.XLOOKUP(B543,'Payee Ref'!A:A,'Payee Ref'!C:C,"unassigned",0,1)</f>
        <v>Basic</v>
      </c>
      <c r="F543" s="28" t="s">
        <v>2208</v>
      </c>
    </row>
    <row r="544" spans="1:6" x14ac:dyDescent="0.2">
      <c r="A544" s="63">
        <v>45747</v>
      </c>
      <c r="B544" t="s">
        <v>2272</v>
      </c>
      <c r="C544">
        <v>9.66</v>
      </c>
      <c r="D544" s="28" t="str">
        <f>_xlfn.XLOOKUP(B544,'Payee Ref'!A:A,'Payee Ref'!B:B,"unassigned",0,1)</f>
        <v>Groceries</v>
      </c>
      <c r="E544" s="28" t="str">
        <f>_xlfn.XLOOKUP(B544,'Payee Ref'!A:A,'Payee Ref'!C:C,"unassigned",0,1)</f>
        <v>Basic</v>
      </c>
      <c r="F544" s="28" t="s">
        <v>2208</v>
      </c>
    </row>
    <row r="545" spans="1:6" x14ac:dyDescent="0.2">
      <c r="A545" s="63">
        <v>45747</v>
      </c>
      <c r="B545" t="s">
        <v>2215</v>
      </c>
      <c r="C545">
        <v>22.83</v>
      </c>
      <c r="D545" s="28" t="str">
        <f>_xlfn.XLOOKUP(B545,'Payee Ref'!A:A,'Payee Ref'!B:B,"unassigned",0,1)</f>
        <v>Travel</v>
      </c>
      <c r="E545" s="28" t="str">
        <f>_xlfn.XLOOKUP(B545,'Payee Ref'!A:A,'Payee Ref'!C:C,"unassigned",0,1)</f>
        <v>Basic</v>
      </c>
      <c r="F545" s="28" t="s">
        <v>2208</v>
      </c>
    </row>
    <row r="546" spans="1:6" x14ac:dyDescent="0.2">
      <c r="A546" s="63">
        <v>45747</v>
      </c>
      <c r="B546" t="s">
        <v>859</v>
      </c>
      <c r="C546">
        <v>22.07</v>
      </c>
      <c r="D546" s="28" t="str">
        <f>_xlfn.XLOOKUP(B546,'Payee Ref'!A:A,'Payee Ref'!B:B,"unassigned",0,1)</f>
        <v>Travel</v>
      </c>
      <c r="E546" s="28" t="str">
        <f>_xlfn.XLOOKUP(B546,'Payee Ref'!A:A,'Payee Ref'!C:C,"unassigned",0,1)</f>
        <v>Luxury</v>
      </c>
      <c r="F546" s="28" t="s">
        <v>2208</v>
      </c>
    </row>
    <row r="547" spans="1:6" x14ac:dyDescent="0.2">
      <c r="A547" s="63">
        <v>45747</v>
      </c>
      <c r="B547" t="s">
        <v>2241</v>
      </c>
      <c r="C547">
        <v>12.21</v>
      </c>
      <c r="D547" s="28" t="str">
        <f>_xlfn.XLOOKUP(B547,'Payee Ref'!A:A,'Payee Ref'!B:B,"unassigned",0,1)</f>
        <v>Dining</v>
      </c>
      <c r="E547" s="28" t="str">
        <f>_xlfn.XLOOKUP(B547,'Payee Ref'!A:A,'Payee Ref'!C:C,"unassigned",0,1)</f>
        <v>Luxury</v>
      </c>
      <c r="F547" s="28" t="s">
        <v>2208</v>
      </c>
    </row>
    <row r="548" spans="1:6" x14ac:dyDescent="0.2">
      <c r="A548" s="63">
        <v>45747</v>
      </c>
      <c r="B548" t="s">
        <v>496</v>
      </c>
      <c r="C548">
        <v>33.03</v>
      </c>
      <c r="D548" s="28" t="str">
        <f>_xlfn.XLOOKUP(B548,'Payee Ref'!A:A,'Payee Ref'!B:B,"unassigned",0,1)</f>
        <v>Enrichment</v>
      </c>
      <c r="E548" s="28" t="str">
        <f>_xlfn.XLOOKUP(B548,'Payee Ref'!A:A,'Payee Ref'!C:C,"unassigned",0,1)</f>
        <v>Basic</v>
      </c>
      <c r="F548" s="28" t="s">
        <v>2208</v>
      </c>
    </row>
    <row r="549" spans="1:6" x14ac:dyDescent="0.2">
      <c r="A549" s="63">
        <v>45746</v>
      </c>
      <c r="B549" t="s">
        <v>2215</v>
      </c>
      <c r="C549">
        <v>6.3</v>
      </c>
      <c r="D549" s="28" t="str">
        <f>_xlfn.XLOOKUP(B549,'Payee Ref'!A:A,'Payee Ref'!B:B,"unassigned",0,1)</f>
        <v>Travel</v>
      </c>
      <c r="E549" s="28" t="str">
        <f>_xlfn.XLOOKUP(B549,'Payee Ref'!A:A,'Payee Ref'!C:C,"unassigned",0,1)</f>
        <v>Basic</v>
      </c>
      <c r="F549" s="28" t="s">
        <v>2208</v>
      </c>
    </row>
    <row r="550" spans="1:6" x14ac:dyDescent="0.2">
      <c r="A550" s="63">
        <v>45745</v>
      </c>
      <c r="B550" t="s">
        <v>2368</v>
      </c>
      <c r="C550">
        <v>41.07</v>
      </c>
      <c r="D550" s="28" t="str">
        <f>_xlfn.XLOOKUP(B550,'Payee Ref'!A:A,'Payee Ref'!B:B,"unassigned",0,1)</f>
        <v>Gifts</v>
      </c>
      <c r="E550" s="28" t="str">
        <f>_xlfn.XLOOKUP(B550,'Payee Ref'!A:A,'Payee Ref'!C:C,"unassigned",0,1)</f>
        <v>Luxury</v>
      </c>
      <c r="F550" s="28" t="s">
        <v>2208</v>
      </c>
    </row>
    <row r="551" spans="1:6" x14ac:dyDescent="0.2">
      <c r="A551" s="63">
        <v>45745</v>
      </c>
      <c r="B551" t="s">
        <v>2419</v>
      </c>
      <c r="C551">
        <v>126.19</v>
      </c>
      <c r="D551" s="28" t="str">
        <f>_xlfn.XLOOKUP(B551,'Payee Ref'!A:A,'Payee Ref'!B:B,"unassigned",0,1)</f>
        <v>Travel</v>
      </c>
      <c r="E551" s="28" t="str">
        <f>_xlfn.XLOOKUP(B551,'Payee Ref'!A:A,'Payee Ref'!C:C,"unassigned",0,1)</f>
        <v>Luxury</v>
      </c>
      <c r="F551" s="28" t="s">
        <v>2208</v>
      </c>
    </row>
    <row r="552" spans="1:6" x14ac:dyDescent="0.2">
      <c r="A552" s="63">
        <v>45745</v>
      </c>
      <c r="B552" t="s">
        <v>2325</v>
      </c>
      <c r="C552">
        <v>20.69</v>
      </c>
      <c r="D552" s="28" t="str">
        <f>_xlfn.XLOOKUP(B552,'Payee Ref'!A:A,'Payee Ref'!B:B,"unassigned",0,1)</f>
        <v>Travel</v>
      </c>
      <c r="E552" s="28" t="str">
        <f>_xlfn.XLOOKUP(B552,'Payee Ref'!A:A,'Payee Ref'!C:C,"unassigned",0,1)</f>
        <v>Luxury</v>
      </c>
      <c r="F552" s="28" t="s">
        <v>2208</v>
      </c>
    </row>
    <row r="553" spans="1:6" x14ac:dyDescent="0.2">
      <c r="A553" s="63">
        <v>45744</v>
      </c>
      <c r="B553" t="s">
        <v>2358</v>
      </c>
      <c r="C553">
        <v>34.549999999999997</v>
      </c>
      <c r="D553" s="28" t="str">
        <f>_xlfn.XLOOKUP(B553,'Payee Ref'!A:A,'Payee Ref'!B:B,"unassigned",0,1)</f>
        <v>Dining</v>
      </c>
      <c r="E553" s="28" t="str">
        <f>_xlfn.XLOOKUP(B553,'Payee Ref'!A:A,'Payee Ref'!C:C,"unassigned",0,1)</f>
        <v>Luxury</v>
      </c>
      <c r="F553" s="28" t="s">
        <v>2208</v>
      </c>
    </row>
    <row r="554" spans="1:6" x14ac:dyDescent="0.2">
      <c r="A554" s="63">
        <v>45744</v>
      </c>
      <c r="B554" t="s">
        <v>2304</v>
      </c>
      <c r="C554">
        <v>15.66</v>
      </c>
      <c r="D554" s="28" t="str">
        <f>_xlfn.XLOOKUP(B554,'Payee Ref'!A:A,'Payee Ref'!B:B,"unassigned",0,1)</f>
        <v>Health &amp; Medical</v>
      </c>
      <c r="E554" s="28" t="str">
        <f>_xlfn.XLOOKUP(B554,'Payee Ref'!A:A,'Payee Ref'!C:C,"unassigned",0,1)</f>
        <v>Basic</v>
      </c>
      <c r="F554" s="28" t="s">
        <v>2208</v>
      </c>
    </row>
    <row r="555" spans="1:6" x14ac:dyDescent="0.2">
      <c r="A555" s="63">
        <v>45744</v>
      </c>
      <c r="B555" t="s">
        <v>2370</v>
      </c>
      <c r="C555">
        <v>42.4</v>
      </c>
      <c r="D555" s="28" t="str">
        <f>_xlfn.XLOOKUP(B555,'Payee Ref'!A:A,'Payee Ref'!B:B,"unassigned",0,1)</f>
        <v>Dining</v>
      </c>
      <c r="E555" s="28" t="str">
        <f>_xlfn.XLOOKUP(B555,'Payee Ref'!A:A,'Payee Ref'!C:C,"unassigned",0,1)</f>
        <v>Luxury</v>
      </c>
      <c r="F555" s="28" t="s">
        <v>2208</v>
      </c>
    </row>
    <row r="556" spans="1:6" x14ac:dyDescent="0.2">
      <c r="A556" s="63">
        <v>45743</v>
      </c>
      <c r="B556" t="s">
        <v>2215</v>
      </c>
      <c r="C556">
        <v>29.47</v>
      </c>
      <c r="D556" s="28" t="str">
        <f>_xlfn.XLOOKUP(B556,'Payee Ref'!A:A,'Payee Ref'!B:B,"unassigned",0,1)</f>
        <v>Travel</v>
      </c>
      <c r="E556" s="28" t="str">
        <f>_xlfn.XLOOKUP(B556,'Payee Ref'!A:A,'Payee Ref'!C:C,"unassigned",0,1)</f>
        <v>Basic</v>
      </c>
      <c r="F556" s="28" t="s">
        <v>2208</v>
      </c>
    </row>
    <row r="557" spans="1:6" x14ac:dyDescent="0.2">
      <c r="A557" s="63">
        <v>45743</v>
      </c>
      <c r="B557" t="s">
        <v>2303</v>
      </c>
      <c r="C557">
        <v>15.4</v>
      </c>
      <c r="D557" s="28" t="str">
        <f>_xlfn.XLOOKUP(B557,'Payee Ref'!A:A,'Payee Ref'!B:B,"unassigned",0,1)</f>
        <v>Travel</v>
      </c>
      <c r="E557" s="28" t="str">
        <f>_xlfn.XLOOKUP(B557,'Payee Ref'!A:A,'Payee Ref'!C:C,"unassigned",0,1)</f>
        <v>Luxury</v>
      </c>
      <c r="F557" s="28" t="s">
        <v>2208</v>
      </c>
    </row>
    <row r="558" spans="1:6" x14ac:dyDescent="0.2">
      <c r="A558" s="63">
        <v>45742</v>
      </c>
      <c r="B558" t="s">
        <v>2424</v>
      </c>
      <c r="C558">
        <v>184.24</v>
      </c>
      <c r="D558" s="28" t="str">
        <f>_xlfn.XLOOKUP(B558,'Payee Ref'!A:A,'Payee Ref'!B:B,"unassigned",0,1)</f>
        <v>Travel</v>
      </c>
      <c r="E558" s="28" t="str">
        <f>_xlfn.XLOOKUP(B558,'Payee Ref'!A:A,'Payee Ref'!C:C,"unassigned",0,1)</f>
        <v>Luxury</v>
      </c>
      <c r="F558" s="28" t="s">
        <v>2208</v>
      </c>
    </row>
    <row r="559" spans="1:6" x14ac:dyDescent="0.2">
      <c r="A559" s="63">
        <v>45742</v>
      </c>
      <c r="B559" t="s">
        <v>2268</v>
      </c>
      <c r="C559">
        <v>8.92</v>
      </c>
      <c r="D559" s="28">
        <f>_xlfn.XLOOKUP(B559,'Payee Ref'!A:A,'Payee Ref'!B:B,"unassigned",0,1)</f>
        <v>0</v>
      </c>
      <c r="E559" s="28">
        <f>_xlfn.XLOOKUP(B559,'Payee Ref'!A:A,'Payee Ref'!C:C,"unassigned",0,1)</f>
        <v>0</v>
      </c>
      <c r="F559" s="28" t="s">
        <v>2208</v>
      </c>
    </row>
    <row r="560" spans="1:6" x14ac:dyDescent="0.2">
      <c r="A560" s="63">
        <v>45741</v>
      </c>
      <c r="B560" t="s">
        <v>2242</v>
      </c>
      <c r="C560">
        <v>5</v>
      </c>
      <c r="D560" s="28" t="str">
        <f>_xlfn.XLOOKUP(B560,'Payee Ref'!A:A,'Payee Ref'!B:B,"unassigned",0,1)</f>
        <v>Dining</v>
      </c>
      <c r="E560" s="28" t="str">
        <f>_xlfn.XLOOKUP(B560,'Payee Ref'!A:A,'Payee Ref'!C:C,"unassigned",0,1)</f>
        <v>Luxury</v>
      </c>
      <c r="F560" s="28" t="s">
        <v>2208</v>
      </c>
    </row>
    <row r="561" spans="1:6" x14ac:dyDescent="0.2">
      <c r="A561" s="63">
        <v>45741</v>
      </c>
      <c r="B561" t="s">
        <v>2339</v>
      </c>
      <c r="C561">
        <v>27.25</v>
      </c>
      <c r="D561" s="28" t="str">
        <f>_xlfn.XLOOKUP(B561,'Payee Ref'!A:A,'Payee Ref'!B:B,"unassigned",0,1)</f>
        <v>Enrichment</v>
      </c>
      <c r="E561" s="28" t="str">
        <f>_xlfn.XLOOKUP(B561,'Payee Ref'!A:A,'Payee Ref'!C:C,"unassigned",0,1)</f>
        <v>Luxury</v>
      </c>
      <c r="F561" s="28" t="s">
        <v>2208</v>
      </c>
    </row>
    <row r="562" spans="1:6" x14ac:dyDescent="0.2">
      <c r="A562" s="63">
        <v>45741</v>
      </c>
      <c r="B562" t="s">
        <v>1283</v>
      </c>
      <c r="C562">
        <v>-2415.38</v>
      </c>
      <c r="D562" s="28" t="str">
        <f>_xlfn.XLOOKUP(B562,'Payee Ref'!A:A,'Payee Ref'!B:B,"unassigned",0,1)</f>
        <v>Transfer</v>
      </c>
      <c r="E562" s="28" t="str">
        <f>_xlfn.XLOOKUP(B562,'Payee Ref'!A:A,'Payee Ref'!C:C,"unassigned",0,1)</f>
        <v>Basic</v>
      </c>
      <c r="F562" s="28" t="s">
        <v>2208</v>
      </c>
    </row>
    <row r="563" spans="1:6" x14ac:dyDescent="0.2">
      <c r="A563" s="63">
        <v>45741</v>
      </c>
      <c r="B563" t="s">
        <v>2422</v>
      </c>
      <c r="C563">
        <v>165.75</v>
      </c>
      <c r="D563" s="28">
        <f>_xlfn.XLOOKUP(B563,'Payee Ref'!A:A,'Payee Ref'!B:B,"unassigned",0,1)</f>
        <v>0</v>
      </c>
      <c r="E563" s="28">
        <f>_xlfn.XLOOKUP(B563,'Payee Ref'!A:A,'Payee Ref'!C:C,"unassigned",0,1)</f>
        <v>0</v>
      </c>
      <c r="F563" s="28" t="s">
        <v>2208</v>
      </c>
    </row>
    <row r="564" spans="1:6" x14ac:dyDescent="0.2">
      <c r="A564" s="63">
        <v>45740</v>
      </c>
      <c r="B564" t="s">
        <v>2243</v>
      </c>
      <c r="C564">
        <v>5.03</v>
      </c>
      <c r="D564" s="28" t="str">
        <f>_xlfn.XLOOKUP(B564,'Payee Ref'!A:A,'Payee Ref'!B:B,"unassigned",0,1)</f>
        <v>Travel</v>
      </c>
      <c r="E564" s="28" t="str">
        <f>_xlfn.XLOOKUP(B564,'Payee Ref'!A:A,'Payee Ref'!C:C,"unassigned",0,1)</f>
        <v>Luxury</v>
      </c>
      <c r="F564" s="28" t="s">
        <v>2208</v>
      </c>
    </row>
    <row r="565" spans="1:6" x14ac:dyDescent="0.2">
      <c r="A565" s="63">
        <v>45740</v>
      </c>
      <c r="B565" t="s">
        <v>942</v>
      </c>
      <c r="C565">
        <v>-1600</v>
      </c>
      <c r="D565" s="28" t="str">
        <f>_xlfn.XLOOKUP(B565,'Payee Ref'!A:A,'Payee Ref'!B:B,"unassigned",0,1)</f>
        <v>Travel</v>
      </c>
      <c r="E565" s="28" t="str">
        <f>_xlfn.XLOOKUP(B565,'Payee Ref'!A:A,'Payee Ref'!C:C,"unassigned",0,1)</f>
        <v>Luxury</v>
      </c>
      <c r="F565" s="28" t="s">
        <v>2208</v>
      </c>
    </row>
    <row r="566" spans="1:6" x14ac:dyDescent="0.2">
      <c r="A566" s="63">
        <v>45739</v>
      </c>
      <c r="B566" t="s">
        <v>2234</v>
      </c>
      <c r="C566">
        <v>3.72</v>
      </c>
      <c r="D566" s="28" t="str">
        <f>_xlfn.XLOOKUP(B566,'Payee Ref'!A:A,'Payee Ref'!B:B,"unassigned",0,1)</f>
        <v>Travel</v>
      </c>
      <c r="E566" s="28" t="str">
        <f>_xlfn.XLOOKUP(B566,'Payee Ref'!A:A,'Payee Ref'!C:C,"unassigned",0,1)</f>
        <v>Luxury</v>
      </c>
      <c r="F566" s="28" t="s">
        <v>2208</v>
      </c>
    </row>
    <row r="567" spans="1:6" x14ac:dyDescent="0.2">
      <c r="A567" s="63">
        <v>45739</v>
      </c>
      <c r="B567" t="s">
        <v>2423</v>
      </c>
      <c r="C567">
        <v>179.35</v>
      </c>
      <c r="D567" s="28" t="str">
        <f>_xlfn.XLOOKUP(B567,'Payee Ref'!A:A,'Payee Ref'!B:B,"unassigned",0,1)</f>
        <v>Dining</v>
      </c>
      <c r="E567" s="28" t="str">
        <f>_xlfn.XLOOKUP(B567,'Payee Ref'!A:A,'Payee Ref'!C:C,"unassigned",0,1)</f>
        <v>Luxury</v>
      </c>
      <c r="F567" s="28" t="s">
        <v>2208</v>
      </c>
    </row>
    <row r="568" spans="1:6" x14ac:dyDescent="0.2">
      <c r="A568" s="63">
        <v>45739</v>
      </c>
      <c r="B568" t="s">
        <v>2238</v>
      </c>
      <c r="C568">
        <v>4.34</v>
      </c>
      <c r="D568" s="28" t="str">
        <f>_xlfn.XLOOKUP(B568,'Payee Ref'!A:A,'Payee Ref'!B:B,"unassigned",0,1)</f>
        <v>Travel</v>
      </c>
      <c r="E568" s="28" t="str">
        <f>_xlfn.XLOOKUP(B568,'Payee Ref'!A:A,'Payee Ref'!C:C,"unassigned",0,1)</f>
        <v>Luxury</v>
      </c>
      <c r="F568" s="28" t="s">
        <v>2208</v>
      </c>
    </row>
    <row r="569" spans="1:6" x14ac:dyDescent="0.2">
      <c r="A569" s="63">
        <v>45739</v>
      </c>
      <c r="B569" t="s">
        <v>861</v>
      </c>
      <c r="C569">
        <v>20</v>
      </c>
      <c r="D569" s="28" t="str">
        <f>_xlfn.XLOOKUP(B569,'Payee Ref'!A:A,'Payee Ref'!B:B,"unassigned",0,1)</f>
        <v>Travel</v>
      </c>
      <c r="E569" s="28" t="str">
        <f>_xlfn.XLOOKUP(B569,'Payee Ref'!A:A,'Payee Ref'!C:C,"unassigned",0,1)</f>
        <v>Luxury</v>
      </c>
      <c r="F569" s="28" t="s">
        <v>2208</v>
      </c>
    </row>
    <row r="570" spans="1:6" x14ac:dyDescent="0.2">
      <c r="A570" s="63">
        <v>45739</v>
      </c>
      <c r="B570" t="s">
        <v>2381</v>
      </c>
      <c r="C570">
        <v>56.77</v>
      </c>
      <c r="D570" s="28" t="str">
        <f>_xlfn.XLOOKUP(B570,'Payee Ref'!A:A,'Payee Ref'!B:B,"unassigned",0,1)</f>
        <v>Travel</v>
      </c>
      <c r="E570" s="28" t="str">
        <f>_xlfn.XLOOKUP(B570,'Payee Ref'!A:A,'Payee Ref'!C:C,"unassigned",0,1)</f>
        <v>Luxury</v>
      </c>
      <c r="F570" s="28" t="s">
        <v>2208</v>
      </c>
    </row>
    <row r="571" spans="1:6" x14ac:dyDescent="0.2">
      <c r="A571" s="63">
        <v>45738</v>
      </c>
      <c r="B571" t="s">
        <v>2322</v>
      </c>
      <c r="C571">
        <v>20</v>
      </c>
      <c r="D571" s="28" t="str">
        <f>_xlfn.XLOOKUP(B571,'Payee Ref'!A:A,'Payee Ref'!B:B,"unassigned",0,1)</f>
        <v>Professional</v>
      </c>
      <c r="E571" s="28" t="str">
        <f>_xlfn.XLOOKUP(B571,'Payee Ref'!A:A,'Payee Ref'!C:C,"unassigned",0,1)</f>
        <v>Basic</v>
      </c>
      <c r="F571" s="28" t="s">
        <v>2208</v>
      </c>
    </row>
    <row r="572" spans="1:6" x14ac:dyDescent="0.2">
      <c r="A572" s="63">
        <v>45738</v>
      </c>
      <c r="B572" t="s">
        <v>74</v>
      </c>
      <c r="C572">
        <v>40</v>
      </c>
      <c r="D572" s="28" t="str">
        <f>_xlfn.XLOOKUP(B572,'Payee Ref'!A:A,'Payee Ref'!B:B,"unassigned",0,1)</f>
        <v>Bank Fees</v>
      </c>
      <c r="E572" s="28" t="str">
        <f>_xlfn.XLOOKUP(B572,'Payee Ref'!A:A,'Payee Ref'!C:C,"unassigned",0,1)</f>
        <v>Luxury</v>
      </c>
      <c r="F572" s="28" t="s">
        <v>2208</v>
      </c>
    </row>
    <row r="573" spans="1:6" x14ac:dyDescent="0.2">
      <c r="A573" s="63">
        <v>45737</v>
      </c>
      <c r="B573" t="s">
        <v>2376</v>
      </c>
      <c r="C573">
        <v>47.34</v>
      </c>
      <c r="D573" s="28" t="str">
        <f>_xlfn.XLOOKUP(B573,'Payee Ref'!A:A,'Payee Ref'!B:B,"unassigned",0,1)</f>
        <v>Dining</v>
      </c>
      <c r="E573" s="28" t="str">
        <f>_xlfn.XLOOKUP(B573,'Payee Ref'!A:A,'Payee Ref'!C:C,"unassigned",0,1)</f>
        <v>Luxury</v>
      </c>
      <c r="F573" s="28" t="s">
        <v>2208</v>
      </c>
    </row>
    <row r="574" spans="1:6" x14ac:dyDescent="0.2">
      <c r="A574" s="63">
        <v>45737</v>
      </c>
      <c r="B574" t="s">
        <v>2231</v>
      </c>
      <c r="C574">
        <v>3</v>
      </c>
      <c r="D574" s="28" t="str">
        <f>_xlfn.XLOOKUP(B574,'Payee Ref'!A:A,'Payee Ref'!B:B,"unassigned",0,1)</f>
        <v>Dining</v>
      </c>
      <c r="E574" s="28" t="str">
        <f>_xlfn.XLOOKUP(B574,'Payee Ref'!A:A,'Payee Ref'!C:C,"unassigned",0,1)</f>
        <v>Luxury</v>
      </c>
      <c r="F574" s="28" t="s">
        <v>2208</v>
      </c>
    </row>
    <row r="575" spans="1:6" x14ac:dyDescent="0.2">
      <c r="A575" s="63">
        <v>45737</v>
      </c>
      <c r="B575" t="s">
        <v>2425</v>
      </c>
      <c r="C575">
        <v>251.6</v>
      </c>
      <c r="D575" s="28" t="str">
        <f>_xlfn.XLOOKUP(B575,'Payee Ref'!A:A,'Payee Ref'!B:B,"unassigned",0,1)</f>
        <v>Clothing</v>
      </c>
      <c r="E575" s="28" t="str">
        <f>_xlfn.XLOOKUP(B575,'Payee Ref'!A:A,'Payee Ref'!C:C,"unassigned",0,1)</f>
        <v>Basic</v>
      </c>
      <c r="F575" s="28" t="s">
        <v>2208</v>
      </c>
    </row>
    <row r="576" spans="1:6" x14ac:dyDescent="0.2">
      <c r="A576" s="63">
        <v>45737</v>
      </c>
      <c r="B576" t="s">
        <v>2323</v>
      </c>
      <c r="C576">
        <v>20</v>
      </c>
      <c r="D576" s="28" t="str">
        <f>_xlfn.XLOOKUP(B576,'Payee Ref'!A:A,'Payee Ref'!B:B,"unassigned",0,1)</f>
        <v>Travel</v>
      </c>
      <c r="E576" s="28" t="str">
        <f>_xlfn.XLOOKUP(B576,'Payee Ref'!A:A,'Payee Ref'!C:C,"unassigned",0,1)</f>
        <v>Luxury</v>
      </c>
      <c r="F576" s="28" t="s">
        <v>2208</v>
      </c>
    </row>
    <row r="577" spans="1:6" x14ac:dyDescent="0.2">
      <c r="A577" s="63">
        <v>45737</v>
      </c>
      <c r="B577" t="s">
        <v>2323</v>
      </c>
      <c r="C577">
        <v>20</v>
      </c>
      <c r="D577" s="28" t="str">
        <f>_xlfn.XLOOKUP(B577,'Payee Ref'!A:A,'Payee Ref'!B:B,"unassigned",0,1)</f>
        <v>Travel</v>
      </c>
      <c r="E577" s="28" t="str">
        <f>_xlfn.XLOOKUP(B577,'Payee Ref'!A:A,'Payee Ref'!C:C,"unassigned",0,1)</f>
        <v>Luxury</v>
      </c>
      <c r="F577" s="28" t="s">
        <v>2208</v>
      </c>
    </row>
    <row r="578" spans="1:6" x14ac:dyDescent="0.2">
      <c r="A578" s="63">
        <v>45737</v>
      </c>
      <c r="B578" t="s">
        <v>2323</v>
      </c>
      <c r="C578">
        <v>20.03</v>
      </c>
      <c r="D578" s="28" t="str">
        <f>_xlfn.XLOOKUP(B578,'Payee Ref'!A:A,'Payee Ref'!B:B,"unassigned",0,1)</f>
        <v>Travel</v>
      </c>
      <c r="E578" s="28" t="str">
        <f>_xlfn.XLOOKUP(B578,'Payee Ref'!A:A,'Payee Ref'!C:C,"unassigned",0,1)</f>
        <v>Luxury</v>
      </c>
      <c r="F578" s="28" t="s">
        <v>2208</v>
      </c>
    </row>
    <row r="579" spans="1:6" x14ac:dyDescent="0.2">
      <c r="A579" s="63">
        <v>45737</v>
      </c>
      <c r="B579" t="s">
        <v>2378</v>
      </c>
      <c r="C579">
        <v>72.25</v>
      </c>
      <c r="D579" s="28" t="str">
        <f>_xlfn.XLOOKUP(B579,'Payee Ref'!A:A,'Payee Ref'!B:B,"unassigned",0,1)</f>
        <v>Auto</v>
      </c>
      <c r="E579" s="28" t="str">
        <f>_xlfn.XLOOKUP(B579,'Payee Ref'!A:A,'Payee Ref'!C:C,"unassigned",0,1)</f>
        <v>Basic</v>
      </c>
      <c r="F579" s="28" t="s">
        <v>2208</v>
      </c>
    </row>
    <row r="580" spans="1:6" x14ac:dyDescent="0.2">
      <c r="A580" s="63">
        <v>45736</v>
      </c>
      <c r="B580" t="s">
        <v>2226</v>
      </c>
      <c r="C580">
        <v>5.25</v>
      </c>
      <c r="D580" s="28" t="str">
        <f>_xlfn.XLOOKUP(B580,'Payee Ref'!A:A,'Payee Ref'!B:B,"unassigned",0,1)</f>
        <v>Auto</v>
      </c>
      <c r="E580" s="28" t="str">
        <f>_xlfn.XLOOKUP(B580,'Payee Ref'!A:A,'Payee Ref'!C:C,"unassigned",0,1)</f>
        <v>Basic</v>
      </c>
      <c r="F580" s="28" t="s">
        <v>2208</v>
      </c>
    </row>
    <row r="581" spans="1:6" x14ac:dyDescent="0.2">
      <c r="A581" s="63">
        <v>45735</v>
      </c>
      <c r="B581" t="s">
        <v>2444</v>
      </c>
      <c r="C581">
        <v>504.71</v>
      </c>
      <c r="D581" s="28" t="str">
        <f>_xlfn.XLOOKUP(B581,'Payee Ref'!A:A,'Payee Ref'!B:B,"unassigned",0,1)</f>
        <v>Enrichment</v>
      </c>
      <c r="E581" s="28" t="str">
        <f>_xlfn.XLOOKUP(B581,'Payee Ref'!A:A,'Payee Ref'!C:C,"unassigned",0,1)</f>
        <v>Basic</v>
      </c>
      <c r="F581" s="28" t="s">
        <v>2208</v>
      </c>
    </row>
    <row r="582" spans="1:6" x14ac:dyDescent="0.2">
      <c r="A582" s="63">
        <v>45735</v>
      </c>
      <c r="B582" t="s">
        <v>2319</v>
      </c>
      <c r="C582">
        <v>19.57</v>
      </c>
      <c r="D582" s="28">
        <f>_xlfn.XLOOKUP(B582,'Payee Ref'!A:A,'Payee Ref'!B:B,"unassigned",0,1)</f>
        <v>0</v>
      </c>
      <c r="E582" s="28">
        <f>_xlfn.XLOOKUP(B582,'Payee Ref'!A:A,'Payee Ref'!C:C,"unassigned",0,1)</f>
        <v>0</v>
      </c>
      <c r="F582" s="28" t="s">
        <v>2208</v>
      </c>
    </row>
    <row r="583" spans="1:6" x14ac:dyDescent="0.2">
      <c r="A583" s="63">
        <v>45734</v>
      </c>
      <c r="B583" t="s">
        <v>1193</v>
      </c>
      <c r="C583">
        <v>159</v>
      </c>
      <c r="D583" s="28" t="str">
        <f>_xlfn.XLOOKUP(B583,'Payee Ref'!A:A,'Payee Ref'!B:B,"unassigned",0,1)</f>
        <v>Travel</v>
      </c>
      <c r="E583" s="28" t="str">
        <f>_xlfn.XLOOKUP(B583,'Payee Ref'!A:A,'Payee Ref'!C:C,"unassigned",0,1)</f>
        <v>Luxury</v>
      </c>
      <c r="F583" s="28" t="s">
        <v>2208</v>
      </c>
    </row>
    <row r="584" spans="1:6" x14ac:dyDescent="0.2">
      <c r="A584" s="63">
        <v>45734</v>
      </c>
      <c r="B584" t="s">
        <v>2436</v>
      </c>
      <c r="C584">
        <v>988.11</v>
      </c>
      <c r="D584" s="28" t="str">
        <f>_xlfn.XLOOKUP(B584,'Payee Ref'!A:A,'Payee Ref'!B:B,"unassigned",0,1)</f>
        <v>Travel</v>
      </c>
      <c r="E584" s="28" t="str">
        <f>_xlfn.XLOOKUP(B584,'Payee Ref'!A:A,'Payee Ref'!C:C,"unassigned",0,1)</f>
        <v>Luxury</v>
      </c>
      <c r="F584" s="28" t="s">
        <v>2208</v>
      </c>
    </row>
    <row r="585" spans="1:6" x14ac:dyDescent="0.2">
      <c r="A585" s="63">
        <v>45734</v>
      </c>
      <c r="B585" t="s">
        <v>2264</v>
      </c>
      <c r="C585">
        <v>8</v>
      </c>
      <c r="D585" s="28" t="str">
        <f>_xlfn.XLOOKUP(B585,'Payee Ref'!A:A,'Payee Ref'!B:B,"unassigned",0,1)</f>
        <v>Auto</v>
      </c>
      <c r="E585" s="28" t="str">
        <f>_xlfn.XLOOKUP(B585,'Payee Ref'!A:A,'Payee Ref'!C:C,"unassigned",0,1)</f>
        <v>Basic</v>
      </c>
      <c r="F585" s="28" t="s">
        <v>2208</v>
      </c>
    </row>
    <row r="586" spans="1:6" x14ac:dyDescent="0.2">
      <c r="A586" s="63">
        <v>45734</v>
      </c>
      <c r="B586" t="s">
        <v>2294</v>
      </c>
      <c r="C586">
        <v>13.22</v>
      </c>
      <c r="D586" s="28" t="str">
        <f>_xlfn.XLOOKUP(B586,'Payee Ref'!A:A,'Payee Ref'!B:B,"unassigned",0,1)</f>
        <v>Dining</v>
      </c>
      <c r="E586" s="28" t="str">
        <f>_xlfn.XLOOKUP(B586,'Payee Ref'!A:A,'Payee Ref'!C:C,"unassigned",0,1)</f>
        <v>Luxury</v>
      </c>
      <c r="F586" s="28" t="s">
        <v>2208</v>
      </c>
    </row>
    <row r="587" spans="1:6" x14ac:dyDescent="0.2">
      <c r="A587" s="63">
        <v>45734</v>
      </c>
      <c r="B587" t="s">
        <v>2232</v>
      </c>
      <c r="C587">
        <v>9.15</v>
      </c>
      <c r="D587" s="28">
        <f>_xlfn.XLOOKUP(B587,'Payee Ref'!A:A,'Payee Ref'!B:B,"unassigned",0,1)</f>
        <v>0</v>
      </c>
      <c r="E587" s="28">
        <f>_xlfn.XLOOKUP(B587,'Payee Ref'!A:A,'Payee Ref'!C:C,"unassigned",0,1)</f>
        <v>0</v>
      </c>
      <c r="F587" s="28" t="s">
        <v>2208</v>
      </c>
    </row>
    <row r="588" spans="1:6" x14ac:dyDescent="0.2">
      <c r="A588" s="63">
        <v>45733</v>
      </c>
      <c r="B588" t="s">
        <v>2417</v>
      </c>
      <c r="C588">
        <v>1101.3499999999999</v>
      </c>
      <c r="D588" s="28" t="str">
        <f>_xlfn.XLOOKUP(B588,'Payee Ref'!A:A,'Payee Ref'!B:B,"unassigned",0,1)</f>
        <v>Enrichment</v>
      </c>
      <c r="E588" s="28" t="str">
        <f>_xlfn.XLOOKUP(B588,'Payee Ref'!A:A,'Payee Ref'!C:C,"unassigned",0,1)</f>
        <v>Luxury</v>
      </c>
      <c r="F588" s="28" t="s">
        <v>2208</v>
      </c>
    </row>
    <row r="589" spans="1:6" x14ac:dyDescent="0.2">
      <c r="A589" s="63">
        <v>45733</v>
      </c>
      <c r="B589" t="s">
        <v>2232</v>
      </c>
      <c r="C589">
        <v>3.27</v>
      </c>
      <c r="D589" s="28">
        <f>_xlfn.XLOOKUP(B589,'Payee Ref'!A:A,'Payee Ref'!B:B,"unassigned",0,1)</f>
        <v>0</v>
      </c>
      <c r="E589" s="28">
        <f>_xlfn.XLOOKUP(B589,'Payee Ref'!A:A,'Payee Ref'!C:C,"unassigned",0,1)</f>
        <v>0</v>
      </c>
      <c r="F589" s="28" t="s">
        <v>2208</v>
      </c>
    </row>
    <row r="590" spans="1:6" x14ac:dyDescent="0.2">
      <c r="A590" s="63">
        <v>45732</v>
      </c>
      <c r="B590" t="s">
        <v>2323</v>
      </c>
      <c r="C590">
        <v>20.04</v>
      </c>
      <c r="D590" s="28" t="str">
        <f>_xlfn.XLOOKUP(B590,'Payee Ref'!A:A,'Payee Ref'!B:B,"unassigned",0,1)</f>
        <v>Travel</v>
      </c>
      <c r="E590" s="28" t="str">
        <f>_xlfn.XLOOKUP(B590,'Payee Ref'!A:A,'Payee Ref'!C:C,"unassigned",0,1)</f>
        <v>Luxury</v>
      </c>
      <c r="F590" s="28" t="s">
        <v>2208</v>
      </c>
    </row>
    <row r="591" spans="1:6" x14ac:dyDescent="0.2">
      <c r="A591" s="63">
        <v>45732</v>
      </c>
      <c r="B591" t="s">
        <v>350</v>
      </c>
      <c r="C591">
        <v>15.69</v>
      </c>
      <c r="D591" s="28" t="str">
        <f>_xlfn.XLOOKUP(B591,'Payee Ref'!A:A,'Payee Ref'!B:B,"unassigned",0,1)</f>
        <v>Dining</v>
      </c>
      <c r="E591" s="28" t="str">
        <f>_xlfn.XLOOKUP(B591,'Payee Ref'!A:A,'Payee Ref'!C:C,"unassigned",0,1)</f>
        <v>Luxury</v>
      </c>
      <c r="F591" s="28" t="s">
        <v>2208</v>
      </c>
    </row>
    <row r="592" spans="1:6" x14ac:dyDescent="0.2">
      <c r="A592" s="63">
        <v>45731</v>
      </c>
      <c r="B592" t="s">
        <v>2297</v>
      </c>
      <c r="C592">
        <v>73.290000000000006</v>
      </c>
      <c r="D592" s="28" t="str">
        <f>_xlfn.XLOOKUP(B592,'Payee Ref'!A:A,'Payee Ref'!B:B,"unassigned",0,1)</f>
        <v>Auto</v>
      </c>
      <c r="E592" s="28" t="str">
        <f>_xlfn.XLOOKUP(B592,'Payee Ref'!A:A,'Payee Ref'!C:C,"unassigned",0,1)</f>
        <v>Basic</v>
      </c>
      <c r="F592" s="28" t="s">
        <v>2208</v>
      </c>
    </row>
    <row r="593" spans="1:6" x14ac:dyDescent="0.2">
      <c r="A593" s="63">
        <v>45730</v>
      </c>
      <c r="B593" t="s">
        <v>2284</v>
      </c>
      <c r="C593">
        <v>11.66</v>
      </c>
      <c r="D593" s="28" t="str">
        <f>_xlfn.XLOOKUP(B593,'Payee Ref'!A:A,'Payee Ref'!B:B,"unassigned",0,1)</f>
        <v>Home &amp; Garden</v>
      </c>
      <c r="E593" s="28" t="str">
        <f>_xlfn.XLOOKUP(B593,'Payee Ref'!A:A,'Payee Ref'!C:C,"unassigned",0,1)</f>
        <v>Basic</v>
      </c>
      <c r="F593" s="28" t="s">
        <v>2208</v>
      </c>
    </row>
    <row r="594" spans="1:6" x14ac:dyDescent="0.2">
      <c r="A594" s="63">
        <v>45730</v>
      </c>
      <c r="B594" t="s">
        <v>2355</v>
      </c>
      <c r="C594">
        <v>33.82</v>
      </c>
      <c r="D594" s="28">
        <f>_xlfn.XLOOKUP(B594,'Payee Ref'!A:A,'Payee Ref'!B:B,"unassigned",0,1)</f>
        <v>0</v>
      </c>
      <c r="E594" s="28">
        <f>_xlfn.XLOOKUP(B594,'Payee Ref'!A:A,'Payee Ref'!C:C,"unassigned",0,1)</f>
        <v>0</v>
      </c>
      <c r="F594" s="28" t="s">
        <v>2208</v>
      </c>
    </row>
    <row r="595" spans="1:6" x14ac:dyDescent="0.2">
      <c r="A595" s="63">
        <v>45729</v>
      </c>
      <c r="B595" t="s">
        <v>879</v>
      </c>
      <c r="C595">
        <v>220.7</v>
      </c>
      <c r="D595" s="28" t="str">
        <f>_xlfn.XLOOKUP(B595,'Payee Ref'!A:A,'Payee Ref'!B:B,"unassigned",0,1)</f>
        <v>Professional</v>
      </c>
      <c r="E595" s="28" t="str">
        <f>_xlfn.XLOOKUP(B595,'Payee Ref'!A:A,'Payee Ref'!C:C,"unassigned",0,1)</f>
        <v>Luxury</v>
      </c>
      <c r="F595" s="28" t="s">
        <v>2208</v>
      </c>
    </row>
    <row r="596" spans="1:6" x14ac:dyDescent="0.2">
      <c r="A596" s="63">
        <v>45729</v>
      </c>
      <c r="B596" t="s">
        <v>2415</v>
      </c>
      <c r="C596">
        <v>121.08</v>
      </c>
      <c r="D596" s="28" t="str">
        <f>_xlfn.XLOOKUP(B596,'Payee Ref'!A:A,'Payee Ref'!B:B,"unassigned",0,1)</f>
        <v>Travel</v>
      </c>
      <c r="E596" s="28" t="str">
        <f>_xlfn.XLOOKUP(B596,'Payee Ref'!A:A,'Payee Ref'!C:C,"unassigned",0,1)</f>
        <v>Luxury</v>
      </c>
      <c r="F596" s="28" t="s">
        <v>2208</v>
      </c>
    </row>
    <row r="597" spans="1:6" x14ac:dyDescent="0.2">
      <c r="A597" s="63">
        <v>45729</v>
      </c>
      <c r="B597" t="s">
        <v>2241</v>
      </c>
      <c r="C597">
        <v>17.2</v>
      </c>
      <c r="D597" s="28" t="str">
        <f>_xlfn.XLOOKUP(B597,'Payee Ref'!A:A,'Payee Ref'!B:B,"unassigned",0,1)</f>
        <v>Dining</v>
      </c>
      <c r="E597" s="28" t="str">
        <f>_xlfn.XLOOKUP(B597,'Payee Ref'!A:A,'Payee Ref'!C:C,"unassigned",0,1)</f>
        <v>Luxury</v>
      </c>
      <c r="F597" s="28" t="s">
        <v>2208</v>
      </c>
    </row>
    <row r="598" spans="1:6" x14ac:dyDescent="0.2">
      <c r="A598" s="63">
        <v>45727</v>
      </c>
      <c r="B598" t="s">
        <v>511</v>
      </c>
      <c r="C598">
        <v>125</v>
      </c>
      <c r="D598" s="28" t="str">
        <f>_xlfn.XLOOKUP(B598,'Payee Ref'!A:A,'Payee Ref'!B:B,"unassigned",0,1)</f>
        <v>Gifts</v>
      </c>
      <c r="E598" s="28" t="str">
        <f>_xlfn.XLOOKUP(B598,'Payee Ref'!A:A,'Payee Ref'!C:C,"unassigned",0,1)</f>
        <v>Luxury</v>
      </c>
      <c r="F598" s="28" t="s">
        <v>2208</v>
      </c>
    </row>
    <row r="599" spans="1:6" x14ac:dyDescent="0.2">
      <c r="A599" s="63">
        <v>45726</v>
      </c>
      <c r="B599" t="s">
        <v>2366</v>
      </c>
      <c r="C599">
        <v>39.700000000000003</v>
      </c>
      <c r="D599" s="28" t="str">
        <f>_xlfn.XLOOKUP(B599,'Payee Ref'!A:A,'Payee Ref'!B:B,"unassigned",0,1)</f>
        <v>Groceries</v>
      </c>
      <c r="E599" s="28" t="str">
        <f>_xlfn.XLOOKUP(B599,'Payee Ref'!A:A,'Payee Ref'!C:C,"unassigned",0,1)</f>
        <v>Basic</v>
      </c>
      <c r="F599" s="28" t="s">
        <v>2208</v>
      </c>
    </row>
    <row r="600" spans="1:6" x14ac:dyDescent="0.2">
      <c r="A600" s="63">
        <v>45725</v>
      </c>
      <c r="B600" t="s">
        <v>857</v>
      </c>
      <c r="C600">
        <v>55.18</v>
      </c>
      <c r="D600" s="28" t="str">
        <f>_xlfn.XLOOKUP(B600,'Payee Ref'!A:A,'Payee Ref'!B:B,"unassigned",0,1)</f>
        <v>Professional</v>
      </c>
      <c r="E600" s="28" t="str">
        <f>_xlfn.XLOOKUP(B600,'Payee Ref'!A:A,'Payee Ref'!C:C,"unassigned",0,1)</f>
        <v>Luxury</v>
      </c>
      <c r="F600" s="28" t="s">
        <v>2208</v>
      </c>
    </row>
    <row r="601" spans="1:6" x14ac:dyDescent="0.2">
      <c r="A601" s="63">
        <v>45725</v>
      </c>
      <c r="B601" t="s">
        <v>2255</v>
      </c>
      <c r="C601">
        <v>6.68</v>
      </c>
      <c r="D601" s="28" t="str">
        <f>_xlfn.XLOOKUP(B601,'Payee Ref'!A:A,'Payee Ref'!B:B,"unassigned",0,1)</f>
        <v>Dining</v>
      </c>
      <c r="E601" s="28" t="str">
        <f>_xlfn.XLOOKUP(B601,'Payee Ref'!A:A,'Payee Ref'!C:C,"unassigned",0,1)</f>
        <v>Luxury</v>
      </c>
      <c r="F601" s="28" t="s">
        <v>2208</v>
      </c>
    </row>
    <row r="602" spans="1:6" x14ac:dyDescent="0.2">
      <c r="A602" s="63">
        <v>45725</v>
      </c>
      <c r="B602" t="s">
        <v>2300</v>
      </c>
      <c r="C602">
        <v>14.65</v>
      </c>
      <c r="D602" s="28" t="str">
        <f>_xlfn.XLOOKUP(B602,'Payee Ref'!A:A,'Payee Ref'!B:B,"unassigned",0,1)</f>
        <v>Dining</v>
      </c>
      <c r="E602" s="28" t="str">
        <f>_xlfn.XLOOKUP(B602,'Payee Ref'!A:A,'Payee Ref'!C:C,"unassigned",0,1)</f>
        <v>Luxury</v>
      </c>
      <c r="F602" s="28" t="s">
        <v>2208</v>
      </c>
    </row>
    <row r="603" spans="1:6" x14ac:dyDescent="0.2">
      <c r="A603" s="63">
        <v>45724</v>
      </c>
      <c r="B603" t="s">
        <v>2215</v>
      </c>
      <c r="C603">
        <v>157.56</v>
      </c>
      <c r="D603" s="28" t="str">
        <f>_xlfn.XLOOKUP(B603,'Payee Ref'!A:A,'Payee Ref'!B:B,"unassigned",0,1)</f>
        <v>Travel</v>
      </c>
      <c r="E603" s="28" t="str">
        <f>_xlfn.XLOOKUP(B603,'Payee Ref'!A:A,'Payee Ref'!C:C,"unassigned",0,1)</f>
        <v>Basic</v>
      </c>
      <c r="F603" s="28" t="s">
        <v>2208</v>
      </c>
    </row>
    <row r="604" spans="1:6" x14ac:dyDescent="0.2">
      <c r="A604" s="63">
        <v>45724</v>
      </c>
      <c r="B604" t="s">
        <v>2297</v>
      </c>
      <c r="C604">
        <v>14.05</v>
      </c>
      <c r="D604" s="28" t="str">
        <f>_xlfn.XLOOKUP(B604,'Payee Ref'!A:A,'Payee Ref'!B:B,"unassigned",0,1)</f>
        <v>Auto</v>
      </c>
      <c r="E604" s="28" t="str">
        <f>_xlfn.XLOOKUP(B604,'Payee Ref'!A:A,'Payee Ref'!C:C,"unassigned",0,1)</f>
        <v>Basic</v>
      </c>
      <c r="F604" s="28" t="s">
        <v>2208</v>
      </c>
    </row>
    <row r="605" spans="1:6" x14ac:dyDescent="0.2">
      <c r="A605" s="63">
        <v>45723</v>
      </c>
      <c r="B605" t="s">
        <v>2214</v>
      </c>
      <c r="C605">
        <v>-256.20999999999998</v>
      </c>
      <c r="D605" s="28" t="str">
        <f>_xlfn.XLOOKUP(B605,'Payee Ref'!A:A,'Payee Ref'!B:B,"unassigned",0,1)</f>
        <v>Travel</v>
      </c>
      <c r="E605" s="28" t="str">
        <f>_xlfn.XLOOKUP(B605,'Payee Ref'!A:A,'Payee Ref'!C:C,"unassigned",0,1)</f>
        <v>Luxury</v>
      </c>
      <c r="F605" s="28" t="s">
        <v>2208</v>
      </c>
    </row>
    <row r="606" spans="1:6" x14ac:dyDescent="0.2">
      <c r="A606" s="63">
        <v>45723</v>
      </c>
      <c r="B606" t="s">
        <v>2402</v>
      </c>
      <c r="C606">
        <v>73.22</v>
      </c>
      <c r="D606" s="28" t="str">
        <f>_xlfn.XLOOKUP(B606,'Payee Ref'!A:A,'Payee Ref'!B:B,"unassigned",0,1)</f>
        <v>Groceries</v>
      </c>
      <c r="E606" s="28" t="str">
        <f>_xlfn.XLOOKUP(B606,'Payee Ref'!A:A,'Payee Ref'!C:C,"unassigned",0,1)</f>
        <v>Basic</v>
      </c>
      <c r="F606" s="28" t="s">
        <v>2208</v>
      </c>
    </row>
    <row r="607" spans="1:6" x14ac:dyDescent="0.2">
      <c r="A607" s="63">
        <v>45723</v>
      </c>
      <c r="B607" t="s">
        <v>2297</v>
      </c>
      <c r="C607">
        <v>53.32</v>
      </c>
      <c r="D607" s="28" t="str">
        <f>_xlfn.XLOOKUP(B607,'Payee Ref'!A:A,'Payee Ref'!B:B,"unassigned",0,1)</f>
        <v>Auto</v>
      </c>
      <c r="E607" s="28" t="str">
        <f>_xlfn.XLOOKUP(B607,'Payee Ref'!A:A,'Payee Ref'!C:C,"unassigned",0,1)</f>
        <v>Basic</v>
      </c>
      <c r="F607" s="28" t="s">
        <v>2208</v>
      </c>
    </row>
    <row r="608" spans="1:6" x14ac:dyDescent="0.2">
      <c r="A608" s="63">
        <v>45723</v>
      </c>
      <c r="B608" t="s">
        <v>2263</v>
      </c>
      <c r="C608">
        <v>8</v>
      </c>
      <c r="D608" s="28" t="str">
        <f>_xlfn.XLOOKUP(B608,'Payee Ref'!A:A,'Payee Ref'!B:B,"unassigned",0,1)</f>
        <v>Subscriptions / Digital</v>
      </c>
      <c r="E608" s="28" t="str">
        <f>_xlfn.XLOOKUP(B608,'Payee Ref'!A:A,'Payee Ref'!C:C,"unassigned",0,1)</f>
        <v>Luxury</v>
      </c>
      <c r="F608" s="28" t="s">
        <v>2208</v>
      </c>
    </row>
    <row r="609" spans="1:6" x14ac:dyDescent="0.2">
      <c r="A609" s="63">
        <v>45723</v>
      </c>
      <c r="B609" t="s">
        <v>2262</v>
      </c>
      <c r="C609">
        <v>7.85</v>
      </c>
      <c r="D609" s="28" t="str">
        <f>_xlfn.XLOOKUP(B609,'Payee Ref'!A:A,'Payee Ref'!B:B,"unassigned",0,1)</f>
        <v>Auto</v>
      </c>
      <c r="E609" s="28" t="str">
        <f>_xlfn.XLOOKUP(B609,'Payee Ref'!A:A,'Payee Ref'!C:C,"unassigned",0,1)</f>
        <v>Basic</v>
      </c>
      <c r="F609" s="28" t="s">
        <v>2208</v>
      </c>
    </row>
    <row r="610" spans="1:6" x14ac:dyDescent="0.2">
      <c r="A610" s="63">
        <v>45722</v>
      </c>
      <c r="B610" t="s">
        <v>2248</v>
      </c>
      <c r="C610">
        <v>5.78</v>
      </c>
      <c r="D610" s="28" t="str">
        <f>_xlfn.XLOOKUP(B610,'Payee Ref'!A:A,'Payee Ref'!B:B,"unassigned",0,1)</f>
        <v>Home &amp; Garden</v>
      </c>
      <c r="E610" s="28" t="str">
        <f>_xlfn.XLOOKUP(B610,'Payee Ref'!A:A,'Payee Ref'!C:C,"unassigned",0,1)</f>
        <v>Basic</v>
      </c>
      <c r="F610" s="28" t="s">
        <v>2208</v>
      </c>
    </row>
    <row r="611" spans="1:6" x14ac:dyDescent="0.2">
      <c r="A611" s="63">
        <v>45722</v>
      </c>
      <c r="B611" t="s">
        <v>2375</v>
      </c>
      <c r="C611">
        <v>46.85</v>
      </c>
      <c r="D611" s="28" t="str">
        <f>_xlfn.XLOOKUP(B611,'Payee Ref'!A:A,'Payee Ref'!B:B,"unassigned",0,1)</f>
        <v>Auto</v>
      </c>
      <c r="E611" s="28" t="str">
        <f>_xlfn.XLOOKUP(B611,'Payee Ref'!A:A,'Payee Ref'!C:C,"unassigned",0,1)</f>
        <v>Basic</v>
      </c>
      <c r="F611" s="28" t="s">
        <v>2208</v>
      </c>
    </row>
    <row r="612" spans="1:6" x14ac:dyDescent="0.2">
      <c r="A612" s="63">
        <v>45721</v>
      </c>
      <c r="B612" t="s">
        <v>2393</v>
      </c>
      <c r="C612">
        <v>66.2</v>
      </c>
      <c r="D612" s="28" t="str">
        <f>_xlfn.XLOOKUP(B612,'Payee Ref'!A:A,'Payee Ref'!B:B,"unassigned",0,1)</f>
        <v>Professional</v>
      </c>
      <c r="E612" s="28" t="str">
        <f>_xlfn.XLOOKUP(B612,'Payee Ref'!A:A,'Payee Ref'!C:C,"unassigned",0,1)</f>
        <v>Basic</v>
      </c>
      <c r="F612" s="28" t="s">
        <v>2208</v>
      </c>
    </row>
    <row r="613" spans="1:6" x14ac:dyDescent="0.2">
      <c r="A613" s="63">
        <v>45720</v>
      </c>
      <c r="B613" t="s">
        <v>2323</v>
      </c>
      <c r="C613">
        <v>20.04</v>
      </c>
      <c r="D613" s="28" t="str">
        <f>_xlfn.XLOOKUP(B613,'Payee Ref'!A:A,'Payee Ref'!B:B,"unassigned",0,1)</f>
        <v>Travel</v>
      </c>
      <c r="E613" s="28" t="str">
        <f>_xlfn.XLOOKUP(B613,'Payee Ref'!A:A,'Payee Ref'!C:C,"unassigned",0,1)</f>
        <v>Luxury</v>
      </c>
      <c r="F613" s="28" t="s">
        <v>2208</v>
      </c>
    </row>
    <row r="614" spans="1:6" x14ac:dyDescent="0.2">
      <c r="A614" s="63">
        <v>45719</v>
      </c>
      <c r="B614" t="s">
        <v>2247</v>
      </c>
      <c r="C614">
        <v>5.68</v>
      </c>
      <c r="D614" s="28" t="str">
        <f>_xlfn.XLOOKUP(B614,'Payee Ref'!A:A,'Payee Ref'!B:B,"unassigned",0,1)</f>
        <v>Travel</v>
      </c>
      <c r="E614" s="28" t="str">
        <f>_xlfn.XLOOKUP(B614,'Payee Ref'!A:A,'Payee Ref'!C:C,"unassigned",0,1)</f>
        <v>Luxury</v>
      </c>
      <c r="F614" s="28" t="s">
        <v>2208</v>
      </c>
    </row>
    <row r="615" spans="1:6" x14ac:dyDescent="0.2">
      <c r="A615" s="63">
        <v>45718</v>
      </c>
      <c r="B615" t="s">
        <v>931</v>
      </c>
      <c r="C615">
        <v>3.3</v>
      </c>
      <c r="D615" s="28" t="str">
        <f>_xlfn.XLOOKUP(B615,'Payee Ref'!A:A,'Payee Ref'!B:B,"unassigned",0,1)</f>
        <v>Subscriptions / Digital</v>
      </c>
      <c r="E615" s="28" t="str">
        <f>_xlfn.XLOOKUP(B615,'Payee Ref'!A:A,'Payee Ref'!C:C,"unassigned",0,1)</f>
        <v>Basic</v>
      </c>
      <c r="F615" s="28" t="s">
        <v>2208</v>
      </c>
    </row>
    <row r="616" spans="1:6" x14ac:dyDescent="0.2">
      <c r="A616" s="63">
        <v>45718</v>
      </c>
      <c r="B616" t="s">
        <v>2293</v>
      </c>
      <c r="C616">
        <v>12.76</v>
      </c>
      <c r="D616" s="28" t="str">
        <f>_xlfn.XLOOKUP(B616,'Payee Ref'!A:A,'Payee Ref'!B:B,"unassigned",0,1)</f>
        <v>Travel</v>
      </c>
      <c r="E616" s="28" t="str">
        <f>_xlfn.XLOOKUP(B616,'Payee Ref'!A:A,'Payee Ref'!C:C,"unassigned",0,1)</f>
        <v>Luxury</v>
      </c>
      <c r="F616" s="28" t="s">
        <v>2208</v>
      </c>
    </row>
    <row r="617" spans="1:6" x14ac:dyDescent="0.2">
      <c r="A617" s="63">
        <v>45718</v>
      </c>
      <c r="B617" t="s">
        <v>350</v>
      </c>
      <c r="C617">
        <v>17.05</v>
      </c>
      <c r="D617" s="28" t="str">
        <f>_xlfn.XLOOKUP(B617,'Payee Ref'!A:A,'Payee Ref'!B:B,"unassigned",0,1)</f>
        <v>Dining</v>
      </c>
      <c r="E617" s="28" t="str">
        <f>_xlfn.XLOOKUP(B617,'Payee Ref'!A:A,'Payee Ref'!C:C,"unassigned",0,1)</f>
        <v>Luxury</v>
      </c>
      <c r="F617" s="28" t="s">
        <v>2208</v>
      </c>
    </row>
    <row r="618" spans="1:6" x14ac:dyDescent="0.2">
      <c r="A618" s="63">
        <v>45718</v>
      </c>
      <c r="B618" t="s">
        <v>2297</v>
      </c>
      <c r="C618">
        <v>38.950000000000003</v>
      </c>
      <c r="D618" s="28" t="str">
        <f>_xlfn.XLOOKUP(B618,'Payee Ref'!A:A,'Payee Ref'!B:B,"unassigned",0,1)</f>
        <v>Auto</v>
      </c>
      <c r="E618" s="28" t="str">
        <f>_xlfn.XLOOKUP(B618,'Payee Ref'!A:A,'Payee Ref'!C:C,"unassigned",0,1)</f>
        <v>Basic</v>
      </c>
      <c r="F618" s="28" t="s">
        <v>2208</v>
      </c>
    </row>
    <row r="619" spans="1:6" x14ac:dyDescent="0.2">
      <c r="A619" s="63">
        <v>45716</v>
      </c>
      <c r="B619" t="s">
        <v>2330</v>
      </c>
      <c r="C619">
        <v>22.07</v>
      </c>
      <c r="D619" s="28" t="str">
        <f>_xlfn.XLOOKUP(B619,'Payee Ref'!A:A,'Payee Ref'!B:B,"unassigned",0,1)</f>
        <v>Travel</v>
      </c>
      <c r="E619" s="28" t="str">
        <f>_xlfn.XLOOKUP(B619,'Payee Ref'!A:A,'Payee Ref'!C:C,"unassigned",0,1)</f>
        <v>Luxury</v>
      </c>
      <c r="F619" s="28" t="s">
        <v>2208</v>
      </c>
    </row>
    <row r="620" spans="1:6" x14ac:dyDescent="0.2">
      <c r="A620" s="63">
        <v>45714</v>
      </c>
      <c r="B620" t="s">
        <v>2389</v>
      </c>
      <c r="C620">
        <v>60</v>
      </c>
      <c r="D620" s="28" t="str">
        <f>_xlfn.XLOOKUP(B620,'Payee Ref'!A:A,'Payee Ref'!B:B,"unassigned",0,1)</f>
        <v>Health &amp; Medical</v>
      </c>
      <c r="E620" s="28" t="str">
        <f>_xlfn.XLOOKUP(B620,'Payee Ref'!A:A,'Payee Ref'!C:C,"unassigned",0,1)</f>
        <v>Basic</v>
      </c>
      <c r="F620" s="28" t="s">
        <v>2208</v>
      </c>
    </row>
    <row r="621" spans="1:6" x14ac:dyDescent="0.2">
      <c r="A621" s="63">
        <v>45714</v>
      </c>
      <c r="B621" t="s">
        <v>2430</v>
      </c>
      <c r="C621">
        <v>218</v>
      </c>
      <c r="D621" s="28" t="str">
        <f>_xlfn.XLOOKUP(B621,'Payee Ref'!A:A,'Payee Ref'!B:B,"unassigned",0,1)</f>
        <v>Travel</v>
      </c>
      <c r="E621" s="28" t="str">
        <f>_xlfn.XLOOKUP(B621,'Payee Ref'!A:A,'Payee Ref'!C:C,"unassigned",0,1)</f>
        <v>Luxury</v>
      </c>
      <c r="F621" s="28" t="s">
        <v>2208</v>
      </c>
    </row>
    <row r="622" spans="1:6" x14ac:dyDescent="0.2">
      <c r="A622" s="63">
        <v>45713</v>
      </c>
      <c r="B622" t="s">
        <v>2385</v>
      </c>
      <c r="C622">
        <v>58.61</v>
      </c>
      <c r="D622" s="28" t="str">
        <f>_xlfn.XLOOKUP(B622,'Payee Ref'!A:A,'Payee Ref'!B:B,"unassigned",0,1)</f>
        <v>Health &amp; Medical</v>
      </c>
      <c r="E622" s="28" t="str">
        <f>_xlfn.XLOOKUP(B622,'Payee Ref'!A:A,'Payee Ref'!C:C,"unassigned",0,1)</f>
        <v>Basic</v>
      </c>
      <c r="F622" s="28" t="s">
        <v>2208</v>
      </c>
    </row>
    <row r="623" spans="1:6" x14ac:dyDescent="0.2">
      <c r="A623" s="63">
        <v>45713</v>
      </c>
      <c r="B623" t="s">
        <v>2378</v>
      </c>
      <c r="C623">
        <v>81.33</v>
      </c>
      <c r="D623" s="28" t="str">
        <f>_xlfn.XLOOKUP(B623,'Payee Ref'!A:A,'Payee Ref'!B:B,"unassigned",0,1)</f>
        <v>Auto</v>
      </c>
      <c r="E623" s="28" t="str">
        <f>_xlfn.XLOOKUP(B623,'Payee Ref'!A:A,'Payee Ref'!C:C,"unassigned",0,1)</f>
        <v>Basic</v>
      </c>
      <c r="F623" s="28" t="s">
        <v>2208</v>
      </c>
    </row>
    <row r="624" spans="1:6" x14ac:dyDescent="0.2">
      <c r="A624" s="63">
        <v>45711</v>
      </c>
      <c r="B624" t="s">
        <v>861</v>
      </c>
      <c r="C624">
        <v>20</v>
      </c>
      <c r="D624" s="28" t="str">
        <f>_xlfn.XLOOKUP(B624,'Payee Ref'!A:A,'Payee Ref'!B:B,"unassigned",0,1)</f>
        <v>Travel</v>
      </c>
      <c r="E624" s="28" t="str">
        <f>_xlfn.XLOOKUP(B624,'Payee Ref'!A:A,'Payee Ref'!C:C,"unassigned",0,1)</f>
        <v>Luxury</v>
      </c>
      <c r="F624" s="28" t="s">
        <v>2208</v>
      </c>
    </row>
    <row r="625" spans="1:6" x14ac:dyDescent="0.2">
      <c r="A625" s="63">
        <v>45711</v>
      </c>
      <c r="B625" t="s">
        <v>2269</v>
      </c>
      <c r="C625">
        <v>35.08</v>
      </c>
      <c r="D625" s="28" t="str">
        <f>_xlfn.XLOOKUP(B625,'Payee Ref'!A:A,'Payee Ref'!B:B,"unassigned",0,1)</f>
        <v>Dining</v>
      </c>
      <c r="E625" s="28" t="str">
        <f>_xlfn.XLOOKUP(B625,'Payee Ref'!A:A,'Payee Ref'!C:C,"unassigned",0,1)</f>
        <v>Luxury</v>
      </c>
      <c r="F625" s="28" t="s">
        <v>2208</v>
      </c>
    </row>
    <row r="626" spans="1:6" x14ac:dyDescent="0.2">
      <c r="A626" s="63">
        <v>45711</v>
      </c>
      <c r="B626" t="s">
        <v>350</v>
      </c>
      <c r="C626">
        <v>15.69</v>
      </c>
      <c r="D626" s="28" t="str">
        <f>_xlfn.XLOOKUP(B626,'Payee Ref'!A:A,'Payee Ref'!B:B,"unassigned",0,1)</f>
        <v>Dining</v>
      </c>
      <c r="E626" s="28" t="str">
        <f>_xlfn.XLOOKUP(B626,'Payee Ref'!A:A,'Payee Ref'!C:C,"unassigned",0,1)</f>
        <v>Luxury</v>
      </c>
      <c r="F626" s="28" t="s">
        <v>2208</v>
      </c>
    </row>
    <row r="627" spans="1:6" x14ac:dyDescent="0.2">
      <c r="A627" s="63">
        <v>45710</v>
      </c>
      <c r="B627" t="s">
        <v>2322</v>
      </c>
      <c r="C627">
        <v>20</v>
      </c>
      <c r="D627" s="28" t="str">
        <f>_xlfn.XLOOKUP(B627,'Payee Ref'!A:A,'Payee Ref'!B:B,"unassigned",0,1)</f>
        <v>Professional</v>
      </c>
      <c r="E627" s="28" t="str">
        <f>_xlfn.XLOOKUP(B627,'Payee Ref'!A:A,'Payee Ref'!C:C,"unassigned",0,1)</f>
        <v>Basic</v>
      </c>
      <c r="F627" s="28" t="s">
        <v>2208</v>
      </c>
    </row>
    <row r="628" spans="1:6" x14ac:dyDescent="0.2">
      <c r="A628" s="63">
        <v>45710</v>
      </c>
      <c r="B628" t="s">
        <v>2227</v>
      </c>
      <c r="C628">
        <v>10.97</v>
      </c>
      <c r="D628" s="28" t="str">
        <f>_xlfn.XLOOKUP(B628,'Payee Ref'!A:A,'Payee Ref'!B:B,"unassigned",0,1)</f>
        <v>Dining</v>
      </c>
      <c r="E628" s="28" t="str">
        <f>_xlfn.XLOOKUP(B628,'Payee Ref'!A:A,'Payee Ref'!C:C,"unassigned",0,1)</f>
        <v>Luxury</v>
      </c>
      <c r="F628" s="28" t="s">
        <v>2208</v>
      </c>
    </row>
    <row r="629" spans="1:6" x14ac:dyDescent="0.2">
      <c r="A629" s="63">
        <v>45710</v>
      </c>
      <c r="B629" t="s">
        <v>946</v>
      </c>
      <c r="C629">
        <v>-22456.46</v>
      </c>
      <c r="D629" s="28" t="str">
        <f>_xlfn.XLOOKUP(B629,'Payee Ref'!A:A,'Payee Ref'!B:B,"unassigned",0,1)</f>
        <v>Transfer</v>
      </c>
      <c r="E629" s="28" t="str">
        <f>_xlfn.XLOOKUP(B629,'Payee Ref'!A:A,'Payee Ref'!C:C,"unassigned",0,1)</f>
        <v>Basic</v>
      </c>
      <c r="F629" s="28" t="s">
        <v>2208</v>
      </c>
    </row>
    <row r="630" spans="1:6" x14ac:dyDescent="0.2">
      <c r="A630" s="63">
        <v>45710</v>
      </c>
      <c r="B630" t="s">
        <v>946</v>
      </c>
      <c r="C630">
        <v>-1972.14</v>
      </c>
      <c r="D630" s="28" t="str">
        <f>_xlfn.XLOOKUP(B630,'Payee Ref'!A:A,'Payee Ref'!B:B,"unassigned",0,1)</f>
        <v>Transfer</v>
      </c>
      <c r="E630" s="28" t="str">
        <f>_xlfn.XLOOKUP(B630,'Payee Ref'!A:A,'Payee Ref'!C:C,"unassigned",0,1)</f>
        <v>Basic</v>
      </c>
      <c r="F630" s="28" t="s">
        <v>2208</v>
      </c>
    </row>
    <row r="631" spans="1:6" x14ac:dyDescent="0.2">
      <c r="A631" s="63">
        <v>45709</v>
      </c>
      <c r="B631" t="s">
        <v>2241</v>
      </c>
      <c r="C631">
        <v>12.13</v>
      </c>
      <c r="D631" s="28" t="str">
        <f>_xlfn.XLOOKUP(B631,'Payee Ref'!A:A,'Payee Ref'!B:B,"unassigned",0,1)</f>
        <v>Dining</v>
      </c>
      <c r="E631" s="28" t="str">
        <f>_xlfn.XLOOKUP(B631,'Payee Ref'!A:A,'Payee Ref'!C:C,"unassigned",0,1)</f>
        <v>Luxury</v>
      </c>
      <c r="F631" s="28" t="s">
        <v>2208</v>
      </c>
    </row>
    <row r="632" spans="1:6" x14ac:dyDescent="0.2">
      <c r="A632" s="63">
        <v>45708</v>
      </c>
      <c r="B632" t="s">
        <v>2410</v>
      </c>
      <c r="C632">
        <v>95</v>
      </c>
      <c r="D632" s="28" t="str">
        <f>_xlfn.XLOOKUP(B632,'Payee Ref'!A:A,'Payee Ref'!B:B,"unassigned",0,1)</f>
        <v>Clothing</v>
      </c>
      <c r="E632" s="28" t="str">
        <f>_xlfn.XLOOKUP(B632,'Payee Ref'!A:A,'Payee Ref'!C:C,"unassigned",0,1)</f>
        <v>Basic</v>
      </c>
      <c r="F632" s="28" t="s">
        <v>2208</v>
      </c>
    </row>
    <row r="633" spans="1:6" x14ac:dyDescent="0.2">
      <c r="A633" s="63">
        <v>45708</v>
      </c>
      <c r="B633" t="s">
        <v>2410</v>
      </c>
      <c r="C633">
        <v>150</v>
      </c>
      <c r="D633" s="28" t="str">
        <f>_xlfn.XLOOKUP(B633,'Payee Ref'!A:A,'Payee Ref'!B:B,"unassigned",0,1)</f>
        <v>Clothing</v>
      </c>
      <c r="E633" s="28" t="str">
        <f>_xlfn.XLOOKUP(B633,'Payee Ref'!A:A,'Payee Ref'!C:C,"unassigned",0,1)</f>
        <v>Basic</v>
      </c>
      <c r="F633" s="28" t="s">
        <v>2208</v>
      </c>
    </row>
    <row r="634" spans="1:6" x14ac:dyDescent="0.2">
      <c r="A634" s="63">
        <v>45708</v>
      </c>
      <c r="B634" t="s">
        <v>2388</v>
      </c>
      <c r="C634">
        <v>59.93</v>
      </c>
      <c r="D634" s="28" t="str">
        <f>_xlfn.XLOOKUP(B634,'Payee Ref'!A:A,'Payee Ref'!B:B,"unassigned",0,1)</f>
        <v>Auto</v>
      </c>
      <c r="E634" s="28" t="str">
        <f>_xlfn.XLOOKUP(B634,'Payee Ref'!A:A,'Payee Ref'!C:C,"unassigned",0,1)</f>
        <v>Basic</v>
      </c>
      <c r="F634" s="28" t="s">
        <v>2208</v>
      </c>
    </row>
    <row r="635" spans="1:6" x14ac:dyDescent="0.2">
      <c r="A635" s="63">
        <v>45705</v>
      </c>
      <c r="B635" t="s">
        <v>802</v>
      </c>
      <c r="C635">
        <v>300</v>
      </c>
      <c r="D635" s="28" t="str">
        <f>_xlfn.XLOOKUP(B635,'Payee Ref'!A:A,'Payee Ref'!B:B,"unassigned",0,1)</f>
        <v>Membership</v>
      </c>
      <c r="E635" s="28" t="str">
        <f>_xlfn.XLOOKUP(B635,'Payee Ref'!A:A,'Payee Ref'!C:C,"unassigned",0,1)</f>
        <v>Luxury</v>
      </c>
      <c r="F635" s="28" t="s">
        <v>2208</v>
      </c>
    </row>
    <row r="636" spans="1:6" x14ac:dyDescent="0.2">
      <c r="A636" s="63">
        <v>45704</v>
      </c>
      <c r="B636" t="s">
        <v>2227</v>
      </c>
      <c r="C636">
        <v>5.68</v>
      </c>
      <c r="D636" s="28" t="str">
        <f>_xlfn.XLOOKUP(B636,'Payee Ref'!A:A,'Payee Ref'!B:B,"unassigned",0,1)</f>
        <v>Dining</v>
      </c>
      <c r="E636" s="28" t="str">
        <f>_xlfn.XLOOKUP(B636,'Payee Ref'!A:A,'Payee Ref'!C:C,"unassigned",0,1)</f>
        <v>Luxury</v>
      </c>
      <c r="F636" s="28" t="s">
        <v>2208</v>
      </c>
    </row>
    <row r="637" spans="1:6" x14ac:dyDescent="0.2">
      <c r="A637" s="63">
        <v>45704</v>
      </c>
      <c r="B637" t="s">
        <v>2276</v>
      </c>
      <c r="C637">
        <v>9.98</v>
      </c>
      <c r="D637" s="28">
        <f>_xlfn.XLOOKUP(B637,'Payee Ref'!A:A,'Payee Ref'!B:B,"unassigned",0,1)</f>
        <v>0</v>
      </c>
      <c r="E637" s="28">
        <f>_xlfn.XLOOKUP(B637,'Payee Ref'!A:A,'Payee Ref'!C:C,"unassigned",0,1)</f>
        <v>0</v>
      </c>
      <c r="F637" s="28" t="s">
        <v>2208</v>
      </c>
    </row>
    <row r="638" spans="1:6" x14ac:dyDescent="0.2">
      <c r="A638" s="63">
        <v>45703</v>
      </c>
      <c r="B638" t="s">
        <v>2412</v>
      </c>
      <c r="C638">
        <v>106.28</v>
      </c>
      <c r="D638" s="28" t="str">
        <f>_xlfn.XLOOKUP(B638,'Payee Ref'!A:A,'Payee Ref'!B:B,"unassigned",0,1)</f>
        <v>Auto</v>
      </c>
      <c r="E638" s="28" t="str">
        <f>_xlfn.XLOOKUP(B638,'Payee Ref'!A:A,'Payee Ref'!C:C,"unassigned",0,1)</f>
        <v>Basic</v>
      </c>
      <c r="F638" s="28" t="s">
        <v>2208</v>
      </c>
    </row>
    <row r="639" spans="1:6" x14ac:dyDescent="0.2">
      <c r="A639" s="63">
        <v>45703</v>
      </c>
      <c r="B639" t="s">
        <v>2342</v>
      </c>
      <c r="C639">
        <v>27.92</v>
      </c>
      <c r="D639" s="28" t="str">
        <f>_xlfn.XLOOKUP(B639,'Payee Ref'!A:A,'Payee Ref'!B:B,"unassigned",0,1)</f>
        <v>Dining</v>
      </c>
      <c r="E639" s="28" t="str">
        <f>_xlfn.XLOOKUP(B639,'Payee Ref'!A:A,'Payee Ref'!C:C,"unassigned",0,1)</f>
        <v>Luxury</v>
      </c>
      <c r="F639" s="28" t="s">
        <v>2208</v>
      </c>
    </row>
    <row r="640" spans="1:6" x14ac:dyDescent="0.2">
      <c r="A640" s="63">
        <v>45702</v>
      </c>
      <c r="B640" t="s">
        <v>1461</v>
      </c>
      <c r="C640">
        <v>57.94</v>
      </c>
      <c r="D640" s="28" t="str">
        <f>_xlfn.XLOOKUP(B640,'Payee Ref'!A:A,'Payee Ref'!B:B,"unassigned",0,1)</f>
        <v>Home &amp; Garden</v>
      </c>
      <c r="E640" s="28" t="str">
        <f>_xlfn.XLOOKUP(B640,'Payee Ref'!A:A,'Payee Ref'!C:C,"unassigned",0,1)</f>
        <v>Basic</v>
      </c>
      <c r="F640" s="28" t="s">
        <v>2208</v>
      </c>
    </row>
    <row r="641" spans="1:6" x14ac:dyDescent="0.2">
      <c r="A641" s="63">
        <v>45702</v>
      </c>
      <c r="B641" t="s">
        <v>2283</v>
      </c>
      <c r="C641">
        <v>11.36</v>
      </c>
      <c r="D641" s="28" t="str">
        <f>_xlfn.XLOOKUP(B641,'Payee Ref'!A:A,'Payee Ref'!B:B,"unassigned",0,1)</f>
        <v>Home &amp; Garden</v>
      </c>
      <c r="E641" s="28" t="str">
        <f>_xlfn.XLOOKUP(B641,'Payee Ref'!A:A,'Payee Ref'!C:C,"unassigned",0,1)</f>
        <v>Basic</v>
      </c>
      <c r="F641" s="28" t="s">
        <v>2208</v>
      </c>
    </row>
    <row r="642" spans="1:6" x14ac:dyDescent="0.2">
      <c r="A642" s="63">
        <v>45701</v>
      </c>
      <c r="B642" t="s">
        <v>1461</v>
      </c>
      <c r="C642">
        <v>28.69</v>
      </c>
      <c r="D642" s="28" t="str">
        <f>_xlfn.XLOOKUP(B642,'Payee Ref'!A:A,'Payee Ref'!B:B,"unassigned",0,1)</f>
        <v>Home &amp; Garden</v>
      </c>
      <c r="E642" s="28" t="str">
        <f>_xlfn.XLOOKUP(B642,'Payee Ref'!A:A,'Payee Ref'!C:C,"unassigned",0,1)</f>
        <v>Basic</v>
      </c>
      <c r="F642" s="28" t="s">
        <v>2208</v>
      </c>
    </row>
    <row r="643" spans="1:6" x14ac:dyDescent="0.2">
      <c r="A643" s="63">
        <v>45701</v>
      </c>
      <c r="B643" t="s">
        <v>855</v>
      </c>
      <c r="C643">
        <v>46.68</v>
      </c>
      <c r="D643" s="28" t="str">
        <f>_xlfn.XLOOKUP(B643,'Payee Ref'!A:A,'Payee Ref'!B:B,"unassigned",0,1)</f>
        <v>Pharmacy</v>
      </c>
      <c r="E643" s="28" t="str">
        <f>_xlfn.XLOOKUP(B643,'Payee Ref'!A:A,'Payee Ref'!C:C,"unassigned",0,1)</f>
        <v>Basic</v>
      </c>
      <c r="F643" s="28" t="s">
        <v>2208</v>
      </c>
    </row>
    <row r="644" spans="1:6" x14ac:dyDescent="0.2">
      <c r="A644" s="63">
        <v>45700</v>
      </c>
      <c r="B644" t="s">
        <v>879</v>
      </c>
      <c r="C644">
        <v>220.7</v>
      </c>
      <c r="D644" s="28" t="str">
        <f>_xlfn.XLOOKUP(B644,'Payee Ref'!A:A,'Payee Ref'!B:B,"unassigned",0,1)</f>
        <v>Professional</v>
      </c>
      <c r="E644" s="28" t="str">
        <f>_xlfn.XLOOKUP(B644,'Payee Ref'!A:A,'Payee Ref'!C:C,"unassigned",0,1)</f>
        <v>Luxury</v>
      </c>
      <c r="F644" s="28" t="s">
        <v>2208</v>
      </c>
    </row>
    <row r="645" spans="1:6" x14ac:dyDescent="0.2">
      <c r="A645" s="63">
        <v>45699</v>
      </c>
      <c r="B645" t="s">
        <v>511</v>
      </c>
      <c r="C645">
        <v>125</v>
      </c>
      <c r="D645" s="28" t="str">
        <f>_xlfn.XLOOKUP(B645,'Payee Ref'!A:A,'Payee Ref'!B:B,"unassigned",0,1)</f>
        <v>Gifts</v>
      </c>
      <c r="E645" s="28" t="str">
        <f>_xlfn.XLOOKUP(B645,'Payee Ref'!A:A,'Payee Ref'!C:C,"unassigned",0,1)</f>
        <v>Luxury</v>
      </c>
      <c r="F645" s="28" t="s">
        <v>2208</v>
      </c>
    </row>
    <row r="646" spans="1:6" x14ac:dyDescent="0.2">
      <c r="A646" s="63">
        <v>45695</v>
      </c>
      <c r="B646" t="s">
        <v>728</v>
      </c>
      <c r="C646">
        <v>93.14</v>
      </c>
      <c r="D646" s="28" t="str">
        <f>_xlfn.XLOOKUP(B646,'Payee Ref'!A:A,'Payee Ref'!B:B,"unassigned",0,1)</f>
        <v>Home &amp; Garden</v>
      </c>
      <c r="E646" s="28" t="str">
        <f>_xlfn.XLOOKUP(B646,'Payee Ref'!A:A,'Payee Ref'!C:C,"unassigned",0,1)</f>
        <v>Basic</v>
      </c>
      <c r="F646" s="28" t="s">
        <v>2208</v>
      </c>
    </row>
    <row r="647" spans="1:6" x14ac:dyDescent="0.2">
      <c r="A647" s="63">
        <v>45695</v>
      </c>
      <c r="B647" t="s">
        <v>2354</v>
      </c>
      <c r="C647">
        <v>33.11</v>
      </c>
      <c r="D647" s="28" t="str">
        <f>_xlfn.XLOOKUP(B647,'Payee Ref'!A:A,'Payee Ref'!B:B,"unassigned",0,1)</f>
        <v>Enrichment</v>
      </c>
      <c r="E647" s="28" t="str">
        <f>_xlfn.XLOOKUP(B647,'Payee Ref'!A:A,'Payee Ref'!C:C,"unassigned",0,1)</f>
        <v>Basic</v>
      </c>
      <c r="F647" s="28" t="s">
        <v>2208</v>
      </c>
    </row>
    <row r="648" spans="1:6" x14ac:dyDescent="0.2">
      <c r="A648" s="63">
        <v>45695</v>
      </c>
      <c r="B648" t="s">
        <v>2263</v>
      </c>
      <c r="C648">
        <v>8</v>
      </c>
      <c r="D648" s="28" t="str">
        <f>_xlfn.XLOOKUP(B648,'Payee Ref'!A:A,'Payee Ref'!B:B,"unassigned",0,1)</f>
        <v>Subscriptions / Digital</v>
      </c>
      <c r="E648" s="28" t="str">
        <f>_xlfn.XLOOKUP(B648,'Payee Ref'!A:A,'Payee Ref'!C:C,"unassigned",0,1)</f>
        <v>Luxury</v>
      </c>
      <c r="F648" s="28" t="s">
        <v>2208</v>
      </c>
    </row>
    <row r="649" spans="1:6" x14ac:dyDescent="0.2">
      <c r="A649" s="63">
        <v>45695</v>
      </c>
      <c r="B649" t="s">
        <v>2262</v>
      </c>
      <c r="C649">
        <v>7.85</v>
      </c>
      <c r="D649" s="28" t="str">
        <f>_xlfn.XLOOKUP(B649,'Payee Ref'!A:A,'Payee Ref'!B:B,"unassigned",0,1)</f>
        <v>Auto</v>
      </c>
      <c r="E649" s="28" t="str">
        <f>_xlfn.XLOOKUP(B649,'Payee Ref'!A:A,'Payee Ref'!C:C,"unassigned",0,1)</f>
        <v>Basic</v>
      </c>
      <c r="F649" s="28" t="s">
        <v>2208</v>
      </c>
    </row>
    <row r="650" spans="1:6" x14ac:dyDescent="0.2">
      <c r="A650" s="63">
        <v>45694</v>
      </c>
      <c r="B650" t="s">
        <v>2246</v>
      </c>
      <c r="C650">
        <v>5.64</v>
      </c>
      <c r="D650" s="28" t="str">
        <f>_xlfn.XLOOKUP(B650,'Payee Ref'!A:A,'Payee Ref'!B:B,"unassigned",0,1)</f>
        <v>Home &amp; Garden</v>
      </c>
      <c r="E650" s="28" t="str">
        <f>_xlfn.XLOOKUP(B650,'Payee Ref'!A:A,'Payee Ref'!C:C,"unassigned",0,1)</f>
        <v>Basic</v>
      </c>
      <c r="F650" s="28" t="s">
        <v>2208</v>
      </c>
    </row>
    <row r="651" spans="1:6" x14ac:dyDescent="0.2">
      <c r="A651" s="63">
        <v>45694</v>
      </c>
      <c r="B651" t="s">
        <v>857</v>
      </c>
      <c r="C651">
        <v>27.59</v>
      </c>
      <c r="D651" s="28" t="str">
        <f>_xlfn.XLOOKUP(B651,'Payee Ref'!A:A,'Payee Ref'!B:B,"unassigned",0,1)</f>
        <v>Professional</v>
      </c>
      <c r="E651" s="28" t="str">
        <f>_xlfn.XLOOKUP(B651,'Payee Ref'!A:A,'Payee Ref'!C:C,"unassigned",0,1)</f>
        <v>Luxury</v>
      </c>
      <c r="F651" s="28" t="s">
        <v>2208</v>
      </c>
    </row>
    <row r="652" spans="1:6" x14ac:dyDescent="0.2">
      <c r="A652" s="63">
        <v>45694</v>
      </c>
      <c r="B652" t="s">
        <v>857</v>
      </c>
      <c r="C652">
        <v>27.59</v>
      </c>
      <c r="D652" s="28" t="str">
        <f>_xlfn.XLOOKUP(B652,'Payee Ref'!A:A,'Payee Ref'!B:B,"unassigned",0,1)</f>
        <v>Professional</v>
      </c>
      <c r="E652" s="28" t="str">
        <f>_xlfn.XLOOKUP(B652,'Payee Ref'!A:A,'Payee Ref'!C:C,"unassigned",0,1)</f>
        <v>Luxury</v>
      </c>
      <c r="F652" s="28" t="s">
        <v>2208</v>
      </c>
    </row>
    <row r="653" spans="1:6" x14ac:dyDescent="0.2">
      <c r="A653" s="63">
        <v>45694</v>
      </c>
      <c r="B653" t="s">
        <v>2241</v>
      </c>
      <c r="C653">
        <v>13.22</v>
      </c>
      <c r="D653" s="28" t="str">
        <f>_xlfn.XLOOKUP(B653,'Payee Ref'!A:A,'Payee Ref'!B:B,"unassigned",0,1)</f>
        <v>Dining</v>
      </c>
      <c r="E653" s="28" t="str">
        <f>_xlfn.XLOOKUP(B653,'Payee Ref'!A:A,'Payee Ref'!C:C,"unassigned",0,1)</f>
        <v>Luxury</v>
      </c>
      <c r="F653" s="28" t="s">
        <v>2208</v>
      </c>
    </row>
    <row r="654" spans="1:6" x14ac:dyDescent="0.2">
      <c r="A654" s="63">
        <v>45693</v>
      </c>
      <c r="B654" t="s">
        <v>2394</v>
      </c>
      <c r="C654">
        <v>66.2</v>
      </c>
      <c r="D654" s="28" t="str">
        <f>_xlfn.XLOOKUP(B654,'Payee Ref'!A:A,'Payee Ref'!B:B,"unassigned",0,1)</f>
        <v>Professional</v>
      </c>
      <c r="E654" s="28" t="str">
        <f>_xlfn.XLOOKUP(B654,'Payee Ref'!A:A,'Payee Ref'!C:C,"unassigned",0,1)</f>
        <v>Basic</v>
      </c>
      <c r="F654" s="28" t="s">
        <v>2208</v>
      </c>
    </row>
    <row r="655" spans="1:6" x14ac:dyDescent="0.2">
      <c r="A655" s="63">
        <v>45693</v>
      </c>
      <c r="B655" t="s">
        <v>2229</v>
      </c>
      <c r="C655">
        <v>59.46</v>
      </c>
      <c r="D655" s="28" t="str">
        <f>_xlfn.XLOOKUP(B655,'Payee Ref'!A:A,'Payee Ref'!B:B,"unassigned",0,1)</f>
        <v>Groceries</v>
      </c>
      <c r="E655" s="28" t="str">
        <f>_xlfn.XLOOKUP(B655,'Payee Ref'!A:A,'Payee Ref'!C:C,"unassigned",0,1)</f>
        <v>Basic</v>
      </c>
      <c r="F655" s="28" t="s">
        <v>2208</v>
      </c>
    </row>
    <row r="656" spans="1:6" x14ac:dyDescent="0.2">
      <c r="A656" s="63">
        <v>45692</v>
      </c>
      <c r="B656" t="s">
        <v>2328</v>
      </c>
      <c r="C656">
        <v>21.77</v>
      </c>
      <c r="D656" s="28" t="str">
        <f>_xlfn.XLOOKUP(B656,'Payee Ref'!A:A,'Payee Ref'!B:B,"unassigned",0,1)</f>
        <v>Travel</v>
      </c>
      <c r="E656" s="28" t="str">
        <f>_xlfn.XLOOKUP(B656,'Payee Ref'!A:A,'Payee Ref'!C:C,"unassigned",0,1)</f>
        <v>Luxury</v>
      </c>
      <c r="F656" s="28" t="s">
        <v>2208</v>
      </c>
    </row>
    <row r="657" spans="1:6" x14ac:dyDescent="0.2">
      <c r="A657" s="63">
        <v>45692</v>
      </c>
      <c r="B657" t="s">
        <v>2244</v>
      </c>
      <c r="C657">
        <v>5.15</v>
      </c>
      <c r="D657" s="28">
        <f>_xlfn.XLOOKUP(B657,'Payee Ref'!A:A,'Payee Ref'!B:B,"unassigned",0,1)</f>
        <v>0</v>
      </c>
      <c r="E657" s="28">
        <f>_xlfn.XLOOKUP(B657,'Payee Ref'!A:A,'Payee Ref'!C:C,"unassigned",0,1)</f>
        <v>0</v>
      </c>
      <c r="F657" s="28" t="s">
        <v>2208</v>
      </c>
    </row>
    <row r="658" spans="1:6" x14ac:dyDescent="0.2">
      <c r="A658" s="63">
        <v>45691</v>
      </c>
      <c r="B658" t="s">
        <v>1461</v>
      </c>
      <c r="C658">
        <v>15.99</v>
      </c>
      <c r="D658" s="28" t="str">
        <f>_xlfn.XLOOKUP(B658,'Payee Ref'!A:A,'Payee Ref'!B:B,"unassigned",0,1)</f>
        <v>Home &amp; Garden</v>
      </c>
      <c r="E658" s="28" t="str">
        <f>_xlfn.XLOOKUP(B658,'Payee Ref'!A:A,'Payee Ref'!C:C,"unassigned",0,1)</f>
        <v>Basic</v>
      </c>
      <c r="F658" s="28" t="s">
        <v>2208</v>
      </c>
    </row>
    <row r="659" spans="1:6" x14ac:dyDescent="0.2">
      <c r="A659" s="63">
        <v>45691</v>
      </c>
      <c r="B659" t="s">
        <v>1461</v>
      </c>
      <c r="C659">
        <v>36.39</v>
      </c>
      <c r="D659" s="28" t="str">
        <f>_xlfn.XLOOKUP(B659,'Payee Ref'!A:A,'Payee Ref'!B:B,"unassigned",0,1)</f>
        <v>Home &amp; Garden</v>
      </c>
      <c r="E659" s="28" t="str">
        <f>_xlfn.XLOOKUP(B659,'Payee Ref'!A:A,'Payee Ref'!C:C,"unassigned",0,1)</f>
        <v>Basic</v>
      </c>
      <c r="F659" s="28" t="s">
        <v>2208</v>
      </c>
    </row>
    <row r="660" spans="1:6" x14ac:dyDescent="0.2">
      <c r="A660" s="63">
        <v>45691</v>
      </c>
      <c r="B660" t="s">
        <v>2239</v>
      </c>
      <c r="C660">
        <v>4.4000000000000004</v>
      </c>
      <c r="D660" s="28" t="str">
        <f>_xlfn.XLOOKUP(B660,'Payee Ref'!A:A,'Payee Ref'!B:B,"unassigned",0,1)</f>
        <v>Travel</v>
      </c>
      <c r="E660" s="28" t="str">
        <f>_xlfn.XLOOKUP(B660,'Payee Ref'!A:A,'Payee Ref'!C:C,"unassigned",0,1)</f>
        <v>Luxury</v>
      </c>
      <c r="F660" s="28" t="s">
        <v>2208</v>
      </c>
    </row>
    <row r="661" spans="1:6" x14ac:dyDescent="0.2">
      <c r="A661" s="63">
        <v>45691</v>
      </c>
      <c r="B661" t="s">
        <v>2438</v>
      </c>
      <c r="C661">
        <v>405.98</v>
      </c>
      <c r="D661" s="28" t="str">
        <f>_xlfn.XLOOKUP(B661,'Payee Ref'!A:A,'Payee Ref'!B:B,"unassigned",0,1)</f>
        <v>Travel</v>
      </c>
      <c r="E661" s="28" t="str">
        <f>_xlfn.XLOOKUP(B661,'Payee Ref'!A:A,'Payee Ref'!C:C,"unassigned",0,1)</f>
        <v>Basic</v>
      </c>
      <c r="F661" s="28" t="s">
        <v>2208</v>
      </c>
    </row>
    <row r="662" spans="1:6" x14ac:dyDescent="0.2">
      <c r="A662" s="63">
        <v>45690</v>
      </c>
      <c r="B662" t="s">
        <v>2224</v>
      </c>
      <c r="C662">
        <v>13.13</v>
      </c>
      <c r="D662" s="28" t="str">
        <f>_xlfn.XLOOKUP(B662,'Payee Ref'!A:A,'Payee Ref'!B:B,"unassigned",0,1)</f>
        <v>Groceries</v>
      </c>
      <c r="E662" s="28" t="str">
        <f>_xlfn.XLOOKUP(B662,'Payee Ref'!A:A,'Payee Ref'!C:C,"unassigned",0,1)</f>
        <v>Basic</v>
      </c>
      <c r="F662" s="28" t="s">
        <v>2208</v>
      </c>
    </row>
    <row r="663" spans="1:6" x14ac:dyDescent="0.2">
      <c r="A663" s="63">
        <v>45690</v>
      </c>
      <c r="B663" t="s">
        <v>931</v>
      </c>
      <c r="C663">
        <v>3.3</v>
      </c>
      <c r="D663" s="28" t="str">
        <f>_xlfn.XLOOKUP(B663,'Payee Ref'!A:A,'Payee Ref'!B:B,"unassigned",0,1)</f>
        <v>Subscriptions / Digital</v>
      </c>
      <c r="E663" s="28" t="str">
        <f>_xlfn.XLOOKUP(B663,'Payee Ref'!A:A,'Payee Ref'!C:C,"unassigned",0,1)</f>
        <v>Basic</v>
      </c>
      <c r="F663" s="28" t="s">
        <v>2208</v>
      </c>
    </row>
    <row r="664" spans="1:6" x14ac:dyDescent="0.2">
      <c r="A664" s="63">
        <v>45690</v>
      </c>
      <c r="B664" t="s">
        <v>350</v>
      </c>
      <c r="C664">
        <v>14.66</v>
      </c>
      <c r="D664" s="28" t="str">
        <f>_xlfn.XLOOKUP(B664,'Payee Ref'!A:A,'Payee Ref'!B:B,"unassigned",0,1)</f>
        <v>Dining</v>
      </c>
      <c r="E664" s="28" t="str">
        <f>_xlfn.XLOOKUP(B664,'Payee Ref'!A:A,'Payee Ref'!C:C,"unassigned",0,1)</f>
        <v>Luxury</v>
      </c>
      <c r="F664" s="28" t="s">
        <v>2208</v>
      </c>
    </row>
    <row r="665" spans="1:6" x14ac:dyDescent="0.2">
      <c r="A665" s="63">
        <v>45689</v>
      </c>
      <c r="B665" t="s">
        <v>2327</v>
      </c>
      <c r="C665">
        <v>35.67</v>
      </c>
      <c r="D665" s="28" t="str">
        <f>_xlfn.XLOOKUP(B665,'Payee Ref'!A:A,'Payee Ref'!B:B,"unassigned",0,1)</f>
        <v>Groceries</v>
      </c>
      <c r="E665" s="28" t="str">
        <f>_xlfn.XLOOKUP(B665,'Payee Ref'!A:A,'Payee Ref'!C:C,"unassigned",0,1)</f>
        <v>Basic</v>
      </c>
      <c r="F665" s="28" t="s">
        <v>2208</v>
      </c>
    </row>
    <row r="666" spans="1:6" x14ac:dyDescent="0.2">
      <c r="A666" s="63">
        <v>45689</v>
      </c>
      <c r="B666" t="s">
        <v>2383</v>
      </c>
      <c r="C666">
        <v>74.77</v>
      </c>
      <c r="D666" s="28" t="str">
        <f>_xlfn.XLOOKUP(B666,'Payee Ref'!A:A,'Payee Ref'!B:B,"unassigned",0,1)</f>
        <v>Auto</v>
      </c>
      <c r="E666" s="28" t="str">
        <f>_xlfn.XLOOKUP(B666,'Payee Ref'!A:A,'Payee Ref'!C:C,"unassigned",0,1)</f>
        <v>Basic</v>
      </c>
      <c r="F666" s="28" t="s">
        <v>2208</v>
      </c>
    </row>
    <row r="667" spans="1:6" x14ac:dyDescent="0.2">
      <c r="A667" s="63">
        <v>45688</v>
      </c>
      <c r="B667" t="s">
        <v>859</v>
      </c>
      <c r="C667">
        <v>22.07</v>
      </c>
      <c r="D667" s="28" t="str">
        <f>_xlfn.XLOOKUP(B667,'Payee Ref'!A:A,'Payee Ref'!B:B,"unassigned",0,1)</f>
        <v>Travel</v>
      </c>
      <c r="E667" s="28" t="str">
        <f>_xlfn.XLOOKUP(B667,'Payee Ref'!A:A,'Payee Ref'!C:C,"unassigned",0,1)</f>
        <v>Luxury</v>
      </c>
      <c r="F667" s="28" t="s">
        <v>2208</v>
      </c>
    </row>
    <row r="668" spans="1:6" x14ac:dyDescent="0.2">
      <c r="A668" s="63">
        <v>45687</v>
      </c>
      <c r="B668" t="s">
        <v>2432</v>
      </c>
      <c r="C668">
        <v>225</v>
      </c>
      <c r="D668" s="28" t="str">
        <f>_xlfn.XLOOKUP(B668,'Payee Ref'!A:A,'Payee Ref'!B:B,"unassigned",0,1)</f>
        <v>Health &amp; Medical</v>
      </c>
      <c r="E668" s="28" t="str">
        <f>_xlfn.XLOOKUP(B668,'Payee Ref'!A:A,'Payee Ref'!C:C,"unassigned",0,1)</f>
        <v>Basic</v>
      </c>
      <c r="F668" s="28" t="s">
        <v>2208</v>
      </c>
    </row>
    <row r="669" spans="1:6" x14ac:dyDescent="0.2">
      <c r="A669" s="63">
        <v>45686</v>
      </c>
      <c r="B669" t="s">
        <v>2341</v>
      </c>
      <c r="C669">
        <v>33.869999999999997</v>
      </c>
      <c r="D669" s="28" t="str">
        <f>_xlfn.XLOOKUP(B669,'Payee Ref'!A:A,'Payee Ref'!B:B,"unassigned",0,1)</f>
        <v>Home &amp; Garden</v>
      </c>
      <c r="E669" s="28" t="str">
        <f>_xlfn.XLOOKUP(B669,'Payee Ref'!A:A,'Payee Ref'!C:C,"unassigned",0,1)</f>
        <v>Basic</v>
      </c>
      <c r="F669" s="28" t="s">
        <v>2208</v>
      </c>
    </row>
    <row r="670" spans="1:6" x14ac:dyDescent="0.2">
      <c r="A670" s="63">
        <v>45683</v>
      </c>
      <c r="B670" t="s">
        <v>2318</v>
      </c>
      <c r="C670">
        <v>19.48</v>
      </c>
      <c r="D670" s="28" t="str">
        <f>_xlfn.XLOOKUP(B670,'Payee Ref'!A:A,'Payee Ref'!B:B,"unassigned",0,1)</f>
        <v>Travel</v>
      </c>
      <c r="E670" s="28" t="str">
        <f>_xlfn.XLOOKUP(B670,'Payee Ref'!A:A,'Payee Ref'!C:C,"unassigned",0,1)</f>
        <v>Basic</v>
      </c>
      <c r="F670" s="28" t="s">
        <v>2208</v>
      </c>
    </row>
    <row r="671" spans="1:6" x14ac:dyDescent="0.2">
      <c r="A671" s="63">
        <v>45683</v>
      </c>
      <c r="B671" t="s">
        <v>2215</v>
      </c>
      <c r="C671">
        <v>95.97</v>
      </c>
      <c r="D671" s="28" t="str">
        <f>_xlfn.XLOOKUP(B671,'Payee Ref'!A:A,'Payee Ref'!B:B,"unassigned",0,1)</f>
        <v>Travel</v>
      </c>
      <c r="E671" s="28" t="str">
        <f>_xlfn.XLOOKUP(B671,'Payee Ref'!A:A,'Payee Ref'!C:C,"unassigned",0,1)</f>
        <v>Basic</v>
      </c>
      <c r="F671" s="28" t="s">
        <v>2208</v>
      </c>
    </row>
    <row r="672" spans="1:6" x14ac:dyDescent="0.2">
      <c r="A672" s="63">
        <v>45683</v>
      </c>
      <c r="B672" t="s">
        <v>2267</v>
      </c>
      <c r="C672">
        <v>8.6999999999999993</v>
      </c>
      <c r="D672" s="28" t="str">
        <f>_xlfn.XLOOKUP(B672,'Payee Ref'!A:A,'Payee Ref'!B:B,"unassigned",0,1)</f>
        <v>Dining</v>
      </c>
      <c r="E672" s="28" t="str">
        <f>_xlfn.XLOOKUP(B672,'Payee Ref'!A:A,'Payee Ref'!C:C,"unassigned",0,1)</f>
        <v>Luxury</v>
      </c>
      <c r="F672" s="28" t="s">
        <v>2208</v>
      </c>
    </row>
    <row r="673" spans="1:6" x14ac:dyDescent="0.2">
      <c r="A673" s="63">
        <v>45683</v>
      </c>
      <c r="B673" t="s">
        <v>350</v>
      </c>
      <c r="C673">
        <v>22.16</v>
      </c>
      <c r="D673" s="28" t="str">
        <f>_xlfn.XLOOKUP(B673,'Payee Ref'!A:A,'Payee Ref'!B:B,"unassigned",0,1)</f>
        <v>Dining</v>
      </c>
      <c r="E673" s="28" t="str">
        <f>_xlfn.XLOOKUP(B673,'Payee Ref'!A:A,'Payee Ref'!C:C,"unassigned",0,1)</f>
        <v>Luxury</v>
      </c>
      <c r="F673" s="28" t="s">
        <v>2208</v>
      </c>
    </row>
    <row r="674" spans="1:6" x14ac:dyDescent="0.2">
      <c r="A674" s="63">
        <v>45682</v>
      </c>
      <c r="B674" t="s">
        <v>946</v>
      </c>
      <c r="C674">
        <v>-17443.98</v>
      </c>
      <c r="D674" s="28" t="str">
        <f>_xlfn.XLOOKUP(B674,'Payee Ref'!A:A,'Payee Ref'!B:B,"unassigned",0,1)</f>
        <v>Transfer</v>
      </c>
      <c r="E674" s="28" t="str">
        <f>_xlfn.XLOOKUP(B674,'Payee Ref'!A:A,'Payee Ref'!C:C,"unassigned",0,1)</f>
        <v>Basic</v>
      </c>
      <c r="F674" s="28" t="s">
        <v>2208</v>
      </c>
    </row>
    <row r="675" spans="1:6" x14ac:dyDescent="0.2">
      <c r="A675" s="63">
        <v>45682</v>
      </c>
      <c r="B675" t="s">
        <v>2327</v>
      </c>
      <c r="C675">
        <v>20.98</v>
      </c>
      <c r="D675" s="28" t="str">
        <f>_xlfn.XLOOKUP(B675,'Payee Ref'!A:A,'Payee Ref'!B:B,"unassigned",0,1)</f>
        <v>Groceries</v>
      </c>
      <c r="E675" s="28" t="str">
        <f>_xlfn.XLOOKUP(B675,'Payee Ref'!A:A,'Payee Ref'!C:C,"unassigned",0,1)</f>
        <v>Basic</v>
      </c>
      <c r="F675" s="28" t="s">
        <v>2208</v>
      </c>
    </row>
    <row r="676" spans="1:6" x14ac:dyDescent="0.2">
      <c r="A676" s="63">
        <v>45681</v>
      </c>
      <c r="B676" t="s">
        <v>2236</v>
      </c>
      <c r="C676">
        <v>13.11</v>
      </c>
      <c r="D676" s="28" t="str">
        <f>_xlfn.XLOOKUP(B676,'Payee Ref'!A:A,'Payee Ref'!B:B,"unassigned",0,1)</f>
        <v>Travel</v>
      </c>
      <c r="E676" s="28" t="str">
        <f>_xlfn.XLOOKUP(B676,'Payee Ref'!A:A,'Payee Ref'!C:C,"unassigned",0,1)</f>
        <v>Basic</v>
      </c>
      <c r="F676" s="28" t="s">
        <v>2208</v>
      </c>
    </row>
    <row r="677" spans="1:6" x14ac:dyDescent="0.2">
      <c r="A677" s="63">
        <v>45681</v>
      </c>
      <c r="B677" t="s">
        <v>2215</v>
      </c>
      <c r="C677">
        <v>-89.66</v>
      </c>
      <c r="D677" s="28" t="str">
        <f>_xlfn.XLOOKUP(B677,'Payee Ref'!A:A,'Payee Ref'!B:B,"unassigned",0,1)</f>
        <v>Travel</v>
      </c>
      <c r="E677" s="28" t="str">
        <f>_xlfn.XLOOKUP(B677,'Payee Ref'!A:A,'Payee Ref'!C:C,"unassigned",0,1)</f>
        <v>Basic</v>
      </c>
      <c r="F677" s="28" t="s">
        <v>2208</v>
      </c>
    </row>
    <row r="678" spans="1:6" x14ac:dyDescent="0.2">
      <c r="A678" s="63">
        <v>45681</v>
      </c>
      <c r="B678" t="s">
        <v>2215</v>
      </c>
      <c r="C678">
        <v>91.59</v>
      </c>
      <c r="D678" s="28" t="str">
        <f>_xlfn.XLOOKUP(B678,'Payee Ref'!A:A,'Payee Ref'!B:B,"unassigned",0,1)</f>
        <v>Travel</v>
      </c>
      <c r="E678" s="28" t="str">
        <f>_xlfn.XLOOKUP(B678,'Payee Ref'!A:A,'Payee Ref'!C:C,"unassigned",0,1)</f>
        <v>Basic</v>
      </c>
      <c r="F678" s="28" t="s">
        <v>2208</v>
      </c>
    </row>
    <row r="679" spans="1:6" x14ac:dyDescent="0.2">
      <c r="A679" s="63">
        <v>45681</v>
      </c>
      <c r="B679" t="s">
        <v>2267</v>
      </c>
      <c r="C679">
        <v>24.05</v>
      </c>
      <c r="D679" s="28" t="str">
        <f>_xlfn.XLOOKUP(B679,'Payee Ref'!A:A,'Payee Ref'!B:B,"unassigned",0,1)</f>
        <v>Dining</v>
      </c>
      <c r="E679" s="28" t="str">
        <f>_xlfn.XLOOKUP(B679,'Payee Ref'!A:A,'Payee Ref'!C:C,"unassigned",0,1)</f>
        <v>Luxury</v>
      </c>
      <c r="F679" s="28" t="s">
        <v>2208</v>
      </c>
    </row>
    <row r="680" spans="1:6" x14ac:dyDescent="0.2">
      <c r="A680" s="63">
        <v>45681</v>
      </c>
      <c r="B680" t="s">
        <v>924</v>
      </c>
      <c r="C680">
        <v>229.99</v>
      </c>
      <c r="D680" s="28" t="str">
        <f>_xlfn.XLOOKUP(B680,'Payee Ref'!A:A,'Payee Ref'!B:B,"unassigned",0,1)</f>
        <v>Subscriptions / Digital</v>
      </c>
      <c r="E680" s="28" t="str">
        <f>_xlfn.XLOOKUP(B680,'Payee Ref'!A:A,'Payee Ref'!C:C,"unassigned",0,1)</f>
        <v>Luxury</v>
      </c>
      <c r="F680" s="28" t="s">
        <v>2208</v>
      </c>
    </row>
    <row r="681" spans="1:6" x14ac:dyDescent="0.2">
      <c r="A681" s="63">
        <v>45681</v>
      </c>
      <c r="B681" t="s">
        <v>879</v>
      </c>
      <c r="C681">
        <v>220.7</v>
      </c>
      <c r="D681" s="28" t="str">
        <f>_xlfn.XLOOKUP(B681,'Payee Ref'!A:A,'Payee Ref'!B:B,"unassigned",0,1)</f>
        <v>Professional</v>
      </c>
      <c r="E681" s="28" t="str">
        <f>_xlfn.XLOOKUP(B681,'Payee Ref'!A:A,'Payee Ref'!C:C,"unassigned",0,1)</f>
        <v>Luxury</v>
      </c>
      <c r="F681" s="28" t="s">
        <v>2208</v>
      </c>
    </row>
    <row r="682" spans="1:6" x14ac:dyDescent="0.2">
      <c r="A682" s="63">
        <v>45680</v>
      </c>
      <c r="B682" t="s">
        <v>2215</v>
      </c>
      <c r="C682">
        <v>94.16</v>
      </c>
      <c r="D682" s="28" t="str">
        <f>_xlfn.XLOOKUP(B682,'Payee Ref'!A:A,'Payee Ref'!B:B,"unassigned",0,1)</f>
        <v>Travel</v>
      </c>
      <c r="E682" s="28" t="str">
        <f>_xlfn.XLOOKUP(B682,'Payee Ref'!A:A,'Payee Ref'!C:C,"unassigned",0,1)</f>
        <v>Basic</v>
      </c>
      <c r="F682" s="28" t="s">
        <v>2208</v>
      </c>
    </row>
    <row r="683" spans="1:6" x14ac:dyDescent="0.2">
      <c r="A683" s="63">
        <v>45680</v>
      </c>
      <c r="B683" t="s">
        <v>30</v>
      </c>
      <c r="C683">
        <v>80.91</v>
      </c>
      <c r="D683" s="28" t="str">
        <f>_xlfn.XLOOKUP(B683,'Payee Ref'!A:A,'Payee Ref'!B:B,"unassigned",0,1)</f>
        <v>Travel</v>
      </c>
      <c r="E683" s="28" t="str">
        <f>_xlfn.XLOOKUP(B683,'Payee Ref'!A:A,'Payee Ref'!C:C,"unassigned",0,1)</f>
        <v>Luxury</v>
      </c>
      <c r="F683" s="28" t="s">
        <v>2208</v>
      </c>
    </row>
    <row r="684" spans="1:6" x14ac:dyDescent="0.2">
      <c r="A684" s="63">
        <v>45680</v>
      </c>
      <c r="B684" t="s">
        <v>861</v>
      </c>
      <c r="C684">
        <v>20</v>
      </c>
      <c r="D684" s="28" t="str">
        <f>_xlfn.XLOOKUP(B684,'Payee Ref'!A:A,'Payee Ref'!B:B,"unassigned",0,1)</f>
        <v>Travel</v>
      </c>
      <c r="E684" s="28" t="str">
        <f>_xlfn.XLOOKUP(B684,'Payee Ref'!A:A,'Payee Ref'!C:C,"unassigned",0,1)</f>
        <v>Luxury</v>
      </c>
      <c r="F684" s="28" t="s">
        <v>2208</v>
      </c>
    </row>
    <row r="685" spans="1:6" x14ac:dyDescent="0.2">
      <c r="A685" s="63">
        <v>45680</v>
      </c>
      <c r="B685" t="s">
        <v>1284</v>
      </c>
      <c r="C685">
        <v>2.5299999999999998</v>
      </c>
      <c r="D685" s="28" t="str">
        <f>_xlfn.XLOOKUP(B685,'Payee Ref'!A:A,'Payee Ref'!B:B,"unassigned",0,1)</f>
        <v>Auto</v>
      </c>
      <c r="E685" s="28" t="str">
        <f>_xlfn.XLOOKUP(B685,'Payee Ref'!A:A,'Payee Ref'!C:C,"unassigned",0,1)</f>
        <v>Basic</v>
      </c>
      <c r="F685" s="28" t="s">
        <v>2208</v>
      </c>
    </row>
    <row r="686" spans="1:6" x14ac:dyDescent="0.2">
      <c r="A686" s="63">
        <v>45679</v>
      </c>
      <c r="B686" t="s">
        <v>2308</v>
      </c>
      <c r="C686">
        <v>16.09</v>
      </c>
      <c r="D686" s="28" t="str">
        <f>_xlfn.XLOOKUP(B686,'Payee Ref'!A:A,'Payee Ref'!B:B,"unassigned",0,1)</f>
        <v>Travel</v>
      </c>
      <c r="E686" s="28" t="str">
        <f>_xlfn.XLOOKUP(B686,'Payee Ref'!A:A,'Payee Ref'!C:C,"unassigned",0,1)</f>
        <v>Luxury</v>
      </c>
      <c r="F686" s="28" t="s">
        <v>2208</v>
      </c>
    </row>
    <row r="687" spans="1:6" x14ac:dyDescent="0.2">
      <c r="A687" s="63">
        <v>45679</v>
      </c>
      <c r="B687" t="s">
        <v>2332</v>
      </c>
      <c r="C687">
        <v>23.16</v>
      </c>
      <c r="D687" s="28" t="str">
        <f>_xlfn.XLOOKUP(B687,'Payee Ref'!A:A,'Payee Ref'!B:B,"unassigned",0,1)</f>
        <v>Groceries</v>
      </c>
      <c r="E687" s="28" t="str">
        <f>_xlfn.XLOOKUP(B687,'Payee Ref'!A:A,'Payee Ref'!C:C,"unassigned",0,1)</f>
        <v>Basic</v>
      </c>
      <c r="F687" s="28" t="s">
        <v>2208</v>
      </c>
    </row>
    <row r="688" spans="1:6" x14ac:dyDescent="0.2">
      <c r="A688" s="63">
        <v>45679</v>
      </c>
      <c r="B688" t="s">
        <v>2309</v>
      </c>
      <c r="C688">
        <v>16.13</v>
      </c>
      <c r="D688" s="28" t="str">
        <f>_xlfn.XLOOKUP(B688,'Payee Ref'!A:A,'Payee Ref'!B:B,"unassigned",0,1)</f>
        <v>Dining</v>
      </c>
      <c r="E688" s="28" t="str">
        <f>_xlfn.XLOOKUP(B688,'Payee Ref'!A:A,'Payee Ref'!C:C,"unassigned",0,1)</f>
        <v>Luxury</v>
      </c>
      <c r="F688" s="28" t="s">
        <v>2208</v>
      </c>
    </row>
    <row r="689" spans="1:6" x14ac:dyDescent="0.2">
      <c r="A689" s="63">
        <v>45679</v>
      </c>
      <c r="B689" t="s">
        <v>2292</v>
      </c>
      <c r="C689">
        <v>12.72</v>
      </c>
      <c r="D689" s="28" t="str">
        <f>_xlfn.XLOOKUP(B689,'Payee Ref'!A:A,'Payee Ref'!B:B,"unassigned",0,1)</f>
        <v>Dining</v>
      </c>
      <c r="E689" s="28" t="str">
        <f>_xlfn.XLOOKUP(B689,'Payee Ref'!A:A,'Payee Ref'!C:C,"unassigned",0,1)</f>
        <v>Luxury</v>
      </c>
      <c r="F689" s="28" t="s">
        <v>2208</v>
      </c>
    </row>
    <row r="690" spans="1:6" x14ac:dyDescent="0.2">
      <c r="A690" s="63">
        <v>45679</v>
      </c>
      <c r="B690" t="s">
        <v>2322</v>
      </c>
      <c r="C690">
        <v>20</v>
      </c>
      <c r="D690" s="28" t="str">
        <f>_xlfn.XLOOKUP(B690,'Payee Ref'!A:A,'Payee Ref'!B:B,"unassigned",0,1)</f>
        <v>Professional</v>
      </c>
      <c r="E690" s="28" t="str">
        <f>_xlfn.XLOOKUP(B690,'Payee Ref'!A:A,'Payee Ref'!C:C,"unassigned",0,1)</f>
        <v>Basic</v>
      </c>
      <c r="F690" s="28" t="s">
        <v>2208</v>
      </c>
    </row>
    <row r="691" spans="1:6" x14ac:dyDescent="0.2">
      <c r="A691" s="63">
        <v>45679</v>
      </c>
      <c r="B691" t="s">
        <v>74</v>
      </c>
      <c r="C691">
        <v>40</v>
      </c>
      <c r="D691" s="28" t="str">
        <f>_xlfn.XLOOKUP(B691,'Payee Ref'!A:A,'Payee Ref'!B:B,"unassigned",0,1)</f>
        <v>Bank Fees</v>
      </c>
      <c r="E691" s="28" t="str">
        <f>_xlfn.XLOOKUP(B691,'Payee Ref'!A:A,'Payee Ref'!C:C,"unassigned",0,1)</f>
        <v>Luxury</v>
      </c>
      <c r="F691" s="28" t="s">
        <v>2208</v>
      </c>
    </row>
    <row r="692" spans="1:6" x14ac:dyDescent="0.2">
      <c r="A692" s="63">
        <v>45679</v>
      </c>
      <c r="B692" t="s">
        <v>2226</v>
      </c>
      <c r="C692">
        <v>4.22</v>
      </c>
      <c r="D692" s="28" t="str">
        <f>_xlfn.XLOOKUP(B692,'Payee Ref'!A:A,'Payee Ref'!B:B,"unassigned",0,1)</f>
        <v>Auto</v>
      </c>
      <c r="E692" s="28" t="str">
        <f>_xlfn.XLOOKUP(B692,'Payee Ref'!A:A,'Payee Ref'!C:C,"unassigned",0,1)</f>
        <v>Basic</v>
      </c>
      <c r="F692" s="28" t="s">
        <v>2208</v>
      </c>
    </row>
    <row r="693" spans="1:6" x14ac:dyDescent="0.2">
      <c r="A693" s="63">
        <v>45678</v>
      </c>
      <c r="B693" t="s">
        <v>2256</v>
      </c>
      <c r="C693">
        <v>7.11</v>
      </c>
      <c r="D693" s="28" t="str">
        <f>_xlfn.XLOOKUP(B693,'Payee Ref'!A:A,'Payee Ref'!B:B,"unassigned",0,1)</f>
        <v>Dining</v>
      </c>
      <c r="E693" s="28" t="str">
        <f>_xlfn.XLOOKUP(B693,'Payee Ref'!A:A,'Payee Ref'!C:C,"unassigned",0,1)</f>
        <v>Luxury</v>
      </c>
      <c r="F693" s="28" t="s">
        <v>2208</v>
      </c>
    </row>
    <row r="694" spans="1:6" x14ac:dyDescent="0.2">
      <c r="A694" s="63">
        <v>45678</v>
      </c>
      <c r="B694" t="s">
        <v>2223</v>
      </c>
      <c r="C694">
        <v>2</v>
      </c>
      <c r="D694" s="28" t="str">
        <f>_xlfn.XLOOKUP(B694,'Payee Ref'!A:A,'Payee Ref'!B:B,"unassigned",0,1)</f>
        <v>Travel</v>
      </c>
      <c r="E694" s="28" t="str">
        <f>_xlfn.XLOOKUP(B694,'Payee Ref'!A:A,'Payee Ref'!C:C,"unassigned",0,1)</f>
        <v>Luxury</v>
      </c>
      <c r="F694" s="28" t="s">
        <v>2208</v>
      </c>
    </row>
    <row r="695" spans="1:6" x14ac:dyDescent="0.2">
      <c r="A695" s="63">
        <v>45678</v>
      </c>
      <c r="B695" t="s">
        <v>2233</v>
      </c>
      <c r="C695">
        <v>3.65</v>
      </c>
      <c r="D695" s="28" t="str">
        <f>_xlfn.XLOOKUP(B695,'Payee Ref'!A:A,'Payee Ref'!B:B,"unassigned",0,1)</f>
        <v>Auto</v>
      </c>
      <c r="E695" s="28" t="str">
        <f>_xlfn.XLOOKUP(B695,'Payee Ref'!A:A,'Payee Ref'!C:C,"unassigned",0,1)</f>
        <v>Basic</v>
      </c>
      <c r="F695" s="28" t="s">
        <v>2208</v>
      </c>
    </row>
    <row r="696" spans="1:6" x14ac:dyDescent="0.2">
      <c r="A696" s="63">
        <v>45678</v>
      </c>
      <c r="B696" t="s">
        <v>2306</v>
      </c>
      <c r="C696">
        <v>16.010000000000002</v>
      </c>
      <c r="D696" s="28" t="str">
        <f>_xlfn.XLOOKUP(B696,'Payee Ref'!A:A,'Payee Ref'!B:B,"unassigned",0,1)</f>
        <v>Auto</v>
      </c>
      <c r="E696" s="28" t="str">
        <f>_xlfn.XLOOKUP(B696,'Payee Ref'!A:A,'Payee Ref'!C:C,"unassigned",0,1)</f>
        <v>Basic</v>
      </c>
      <c r="F696" s="28" t="s">
        <v>2208</v>
      </c>
    </row>
    <row r="697" spans="1:6" x14ac:dyDescent="0.2">
      <c r="A697" s="63">
        <v>45678</v>
      </c>
      <c r="B697" t="s">
        <v>2287</v>
      </c>
      <c r="C697">
        <v>11.94</v>
      </c>
      <c r="D697" s="28" t="str">
        <f>_xlfn.XLOOKUP(B697,'Payee Ref'!A:A,'Payee Ref'!B:B,"unassigned",0,1)</f>
        <v>Dining</v>
      </c>
      <c r="E697" s="28" t="str">
        <f>_xlfn.XLOOKUP(B697,'Payee Ref'!A:A,'Payee Ref'!C:C,"unassigned",0,1)</f>
        <v>Luxury</v>
      </c>
      <c r="F697" s="28" t="s">
        <v>2208</v>
      </c>
    </row>
    <row r="698" spans="1:6" x14ac:dyDescent="0.2">
      <c r="A698" s="63">
        <v>45678</v>
      </c>
      <c r="B698" t="s">
        <v>1284</v>
      </c>
      <c r="C698">
        <v>7.83</v>
      </c>
      <c r="D698" s="28" t="str">
        <f>_xlfn.XLOOKUP(B698,'Payee Ref'!A:A,'Payee Ref'!B:B,"unassigned",0,1)</f>
        <v>Auto</v>
      </c>
      <c r="E698" s="28" t="str">
        <f>_xlfn.XLOOKUP(B698,'Payee Ref'!A:A,'Payee Ref'!C:C,"unassigned",0,1)</f>
        <v>Basic</v>
      </c>
      <c r="F698" s="28" t="s">
        <v>2208</v>
      </c>
    </row>
    <row r="699" spans="1:6" x14ac:dyDescent="0.2">
      <c r="A699" s="63">
        <v>45677</v>
      </c>
      <c r="B699" t="s">
        <v>2256</v>
      </c>
      <c r="C699">
        <v>10.01</v>
      </c>
      <c r="D699" s="28" t="str">
        <f>_xlfn.XLOOKUP(B699,'Payee Ref'!A:A,'Payee Ref'!B:B,"unassigned",0,1)</f>
        <v>Dining</v>
      </c>
      <c r="E699" s="28" t="str">
        <f>_xlfn.XLOOKUP(B699,'Payee Ref'!A:A,'Payee Ref'!C:C,"unassigned",0,1)</f>
        <v>Luxury</v>
      </c>
      <c r="F699" s="28" t="s">
        <v>2208</v>
      </c>
    </row>
    <row r="700" spans="1:6" x14ac:dyDescent="0.2">
      <c r="A700" s="63">
        <v>45677</v>
      </c>
      <c r="B700" t="s">
        <v>2317</v>
      </c>
      <c r="C700">
        <v>18.32</v>
      </c>
      <c r="D700" s="28" t="str">
        <f>_xlfn.XLOOKUP(B700,'Payee Ref'!A:A,'Payee Ref'!B:B,"unassigned",0,1)</f>
        <v>Dining</v>
      </c>
      <c r="E700" s="28" t="str">
        <f>_xlfn.XLOOKUP(B700,'Payee Ref'!A:A,'Payee Ref'!C:C,"unassigned",0,1)</f>
        <v>Luxury</v>
      </c>
      <c r="F700" s="28" t="s">
        <v>2208</v>
      </c>
    </row>
    <row r="701" spans="1:6" x14ac:dyDescent="0.2">
      <c r="A701" s="63">
        <v>45676</v>
      </c>
      <c r="B701" t="s">
        <v>2449</v>
      </c>
      <c r="C701">
        <v>1527.52</v>
      </c>
      <c r="D701" s="28" t="str">
        <f>_xlfn.XLOOKUP(B701,'Payee Ref'!A:A,'Payee Ref'!B:B,"unassigned",0,1)</f>
        <v>Travel</v>
      </c>
      <c r="E701" s="28" t="str">
        <f>_xlfn.XLOOKUP(B701,'Payee Ref'!A:A,'Payee Ref'!C:C,"unassigned",0,1)</f>
        <v>Luxury</v>
      </c>
      <c r="F701" s="28" t="s">
        <v>2208</v>
      </c>
    </row>
    <row r="702" spans="1:6" x14ac:dyDescent="0.2">
      <c r="A702" s="63">
        <v>45676</v>
      </c>
      <c r="B702" t="s">
        <v>2442</v>
      </c>
      <c r="C702">
        <v>499</v>
      </c>
      <c r="D702" s="28" t="str">
        <f>_xlfn.XLOOKUP(B702,'Payee Ref'!A:A,'Payee Ref'!B:B,"unassigned",0,1)</f>
        <v>Hardware Technology</v>
      </c>
      <c r="E702" s="28" t="str">
        <f>_xlfn.XLOOKUP(B702,'Payee Ref'!A:A,'Payee Ref'!C:C,"unassigned",0,1)</f>
        <v>Luxury</v>
      </c>
      <c r="F702" s="28" t="s">
        <v>2208</v>
      </c>
    </row>
    <row r="703" spans="1:6" x14ac:dyDescent="0.2">
      <c r="A703" s="63">
        <v>45675</v>
      </c>
      <c r="B703" t="s">
        <v>1487</v>
      </c>
      <c r="C703">
        <v>31.99</v>
      </c>
      <c r="D703" s="28" t="str">
        <f>_xlfn.XLOOKUP(B703,'Payee Ref'!A:A,'Payee Ref'!B:B,"unassigned",0,1)</f>
        <v>Auto</v>
      </c>
      <c r="E703" s="28" t="str">
        <f>_xlfn.XLOOKUP(B703,'Payee Ref'!A:A,'Payee Ref'!C:C,"unassigned",0,1)</f>
        <v>Luxury</v>
      </c>
      <c r="F703" s="28" t="s">
        <v>2208</v>
      </c>
    </row>
    <row r="704" spans="1:6" x14ac:dyDescent="0.2">
      <c r="A704" s="63">
        <v>45675</v>
      </c>
      <c r="B704" t="s">
        <v>2399</v>
      </c>
      <c r="C704">
        <v>69.599999999999994</v>
      </c>
      <c r="D704" s="28" t="str">
        <f>_xlfn.XLOOKUP(B704,'Payee Ref'!A:A,'Payee Ref'!B:B,"unassigned",0,1)</f>
        <v>Personal Care</v>
      </c>
      <c r="E704" s="28" t="str">
        <f>_xlfn.XLOOKUP(B704,'Payee Ref'!A:A,'Payee Ref'!C:C,"unassigned",0,1)</f>
        <v>Basic</v>
      </c>
      <c r="F704" s="28" t="s">
        <v>2208</v>
      </c>
    </row>
    <row r="705" spans="1:6" x14ac:dyDescent="0.2">
      <c r="A705" s="63">
        <v>45675</v>
      </c>
      <c r="B705" t="s">
        <v>2383</v>
      </c>
      <c r="C705">
        <v>117.31</v>
      </c>
      <c r="D705" s="28" t="str">
        <f>_xlfn.XLOOKUP(B705,'Payee Ref'!A:A,'Payee Ref'!B:B,"unassigned",0,1)</f>
        <v>Auto</v>
      </c>
      <c r="E705" s="28" t="str">
        <f>_xlfn.XLOOKUP(B705,'Payee Ref'!A:A,'Payee Ref'!C:C,"unassigned",0,1)</f>
        <v>Basic</v>
      </c>
      <c r="F705" s="28" t="s">
        <v>2208</v>
      </c>
    </row>
    <row r="706" spans="1:6" x14ac:dyDescent="0.2">
      <c r="A706" s="63">
        <v>45674</v>
      </c>
      <c r="B706" t="s">
        <v>2314</v>
      </c>
      <c r="C706">
        <v>17.38</v>
      </c>
      <c r="D706" s="28" t="str">
        <f>_xlfn.XLOOKUP(B706,'Payee Ref'!A:A,'Payee Ref'!B:B,"unassigned",0,1)</f>
        <v>Dining</v>
      </c>
      <c r="E706" s="28" t="str">
        <f>_xlfn.XLOOKUP(B706,'Payee Ref'!A:A,'Payee Ref'!C:C,"unassigned",0,1)</f>
        <v>Luxury</v>
      </c>
      <c r="F706" s="28" t="s">
        <v>2208</v>
      </c>
    </row>
    <row r="707" spans="1:6" x14ac:dyDescent="0.2">
      <c r="A707" s="63">
        <v>45674</v>
      </c>
      <c r="B707" t="s">
        <v>2382</v>
      </c>
      <c r="C707">
        <v>56.82</v>
      </c>
      <c r="D707" s="28" t="str">
        <f>_xlfn.XLOOKUP(B707,'Payee Ref'!A:A,'Payee Ref'!B:B,"unassigned",0,1)</f>
        <v>Auto</v>
      </c>
      <c r="E707" s="28" t="str">
        <f>_xlfn.XLOOKUP(B707,'Payee Ref'!A:A,'Payee Ref'!C:C,"unassigned",0,1)</f>
        <v>Basic</v>
      </c>
      <c r="F707" s="28" t="s">
        <v>2208</v>
      </c>
    </row>
    <row r="708" spans="1:6" x14ac:dyDescent="0.2">
      <c r="A708" s="63">
        <v>45673</v>
      </c>
      <c r="B708" t="s">
        <v>225</v>
      </c>
      <c r="C708">
        <v>11.58</v>
      </c>
      <c r="D708" s="28" t="str">
        <f>_xlfn.XLOOKUP(B708,'Payee Ref'!A:A,'Payee Ref'!B:B,"unassigned",0,1)</f>
        <v>Travel</v>
      </c>
      <c r="E708" s="28" t="str">
        <f>_xlfn.XLOOKUP(B708,'Payee Ref'!A:A,'Payee Ref'!C:C,"unassigned",0,1)</f>
        <v>Luxury</v>
      </c>
      <c r="F708" s="28" t="s">
        <v>2208</v>
      </c>
    </row>
    <row r="709" spans="1:6" x14ac:dyDescent="0.2">
      <c r="A709" s="63">
        <v>45673</v>
      </c>
      <c r="B709" t="s">
        <v>2410</v>
      </c>
      <c r="C709">
        <v>200</v>
      </c>
      <c r="D709" s="28" t="str">
        <f>_xlfn.XLOOKUP(B709,'Payee Ref'!A:A,'Payee Ref'!B:B,"unassigned",0,1)</f>
        <v>Clothing</v>
      </c>
      <c r="E709" s="28" t="str">
        <f>_xlfn.XLOOKUP(B709,'Payee Ref'!A:A,'Payee Ref'!C:C,"unassigned",0,1)</f>
        <v>Basic</v>
      </c>
      <c r="F709" s="28" t="s">
        <v>2208</v>
      </c>
    </row>
    <row r="710" spans="1:6" x14ac:dyDescent="0.2">
      <c r="A710" s="63">
        <v>45673</v>
      </c>
      <c r="B710" t="s">
        <v>557</v>
      </c>
      <c r="C710">
        <v>33.51</v>
      </c>
      <c r="D710" s="28" t="str">
        <f>_xlfn.XLOOKUP(B710,'Payee Ref'!A:A,'Payee Ref'!B:B,"unassigned",0,1)</f>
        <v>Groceries</v>
      </c>
      <c r="E710" s="28" t="str">
        <f>_xlfn.XLOOKUP(B710,'Payee Ref'!A:A,'Payee Ref'!C:C,"unassigned",0,1)</f>
        <v>Basic</v>
      </c>
      <c r="F710" s="28" t="s">
        <v>2208</v>
      </c>
    </row>
    <row r="711" spans="1:6" x14ac:dyDescent="0.2">
      <c r="A711" s="63">
        <v>45673</v>
      </c>
      <c r="B711" t="s">
        <v>2434</v>
      </c>
      <c r="C711">
        <v>291.05</v>
      </c>
      <c r="D711" s="28" t="str">
        <f>_xlfn.XLOOKUP(B711,'Payee Ref'!A:A,'Payee Ref'!B:B,"unassigned",0,1)</f>
        <v>Dining</v>
      </c>
      <c r="E711" s="28" t="str">
        <f>_xlfn.XLOOKUP(B711,'Payee Ref'!A:A,'Payee Ref'!C:C,"unassigned",0,1)</f>
        <v>Luxury</v>
      </c>
      <c r="F711" s="28" t="s">
        <v>2208</v>
      </c>
    </row>
    <row r="712" spans="1:6" x14ac:dyDescent="0.2">
      <c r="A712" s="63">
        <v>45673</v>
      </c>
      <c r="B712" t="s">
        <v>2262</v>
      </c>
      <c r="C712">
        <v>10</v>
      </c>
      <c r="D712" s="28" t="str">
        <f>_xlfn.XLOOKUP(B712,'Payee Ref'!A:A,'Payee Ref'!B:B,"unassigned",0,1)</f>
        <v>Auto</v>
      </c>
      <c r="E712" s="28" t="str">
        <f>_xlfn.XLOOKUP(B712,'Payee Ref'!A:A,'Payee Ref'!C:C,"unassigned",0,1)</f>
        <v>Basic</v>
      </c>
      <c r="F712" s="28" t="s">
        <v>2208</v>
      </c>
    </row>
    <row r="713" spans="1:6" x14ac:dyDescent="0.2">
      <c r="A713" s="63">
        <v>45672</v>
      </c>
      <c r="B713" t="s">
        <v>2443</v>
      </c>
      <c r="C713">
        <v>500</v>
      </c>
      <c r="D713" s="28" t="str">
        <f>_xlfn.XLOOKUP(B713,'Payee Ref'!A:A,'Payee Ref'!B:B,"unassigned",0,1)</f>
        <v>Dining</v>
      </c>
      <c r="E713" s="28" t="str">
        <f>_xlfn.XLOOKUP(B713,'Payee Ref'!A:A,'Payee Ref'!C:C,"unassigned",0,1)</f>
        <v>Luxury</v>
      </c>
      <c r="F713" s="28" t="s">
        <v>2208</v>
      </c>
    </row>
    <row r="714" spans="1:6" x14ac:dyDescent="0.2">
      <c r="A714" s="63">
        <v>45671</v>
      </c>
      <c r="B714" t="s">
        <v>2279</v>
      </c>
      <c r="C714">
        <v>10.95</v>
      </c>
      <c r="D714" s="28" t="str">
        <f>_xlfn.XLOOKUP(B714,'Payee Ref'!A:A,'Payee Ref'!B:B,"unassigned",0,1)</f>
        <v>Home &amp; Garden</v>
      </c>
      <c r="E714" s="28" t="str">
        <f>_xlfn.XLOOKUP(B714,'Payee Ref'!A:A,'Payee Ref'!C:C,"unassigned",0,1)</f>
        <v>Basic</v>
      </c>
      <c r="F714" s="28" t="s">
        <v>2208</v>
      </c>
    </row>
    <row r="715" spans="1:6" x14ac:dyDescent="0.2">
      <c r="A715" s="63">
        <v>45671</v>
      </c>
      <c r="B715" t="s">
        <v>511</v>
      </c>
      <c r="C715">
        <v>125</v>
      </c>
      <c r="D715" s="28" t="str">
        <f>_xlfn.XLOOKUP(B715,'Payee Ref'!A:A,'Payee Ref'!B:B,"unassigned",0,1)</f>
        <v>Gifts</v>
      </c>
      <c r="E715" s="28" t="str">
        <f>_xlfn.XLOOKUP(B715,'Payee Ref'!A:A,'Payee Ref'!C:C,"unassigned",0,1)</f>
        <v>Luxury</v>
      </c>
      <c r="F715" s="28" t="s">
        <v>2208</v>
      </c>
    </row>
    <row r="716" spans="1:6" x14ac:dyDescent="0.2">
      <c r="A716" s="63">
        <v>45671</v>
      </c>
      <c r="B716" t="s">
        <v>487</v>
      </c>
      <c r="C716">
        <v>15373.75</v>
      </c>
      <c r="D716" s="28" t="str">
        <f>_xlfn.XLOOKUP(B716,'Payee Ref'!A:A,'Payee Ref'!B:B,"unassigned",0,1)</f>
        <v>Enrichment</v>
      </c>
      <c r="E716" s="28" t="str">
        <f>_xlfn.XLOOKUP(B716,'Payee Ref'!A:A,'Payee Ref'!C:C,"unassigned",0,1)</f>
        <v>basic</v>
      </c>
      <c r="F716" s="28" t="s">
        <v>2208</v>
      </c>
    </row>
    <row r="717" spans="1:6" x14ac:dyDescent="0.2">
      <c r="A717" s="63">
        <v>45671</v>
      </c>
      <c r="B717" t="s">
        <v>2383</v>
      </c>
      <c r="C717">
        <v>57.98</v>
      </c>
      <c r="D717" s="28" t="str">
        <f>_xlfn.XLOOKUP(B717,'Payee Ref'!A:A,'Payee Ref'!B:B,"unassigned",0,1)</f>
        <v>Auto</v>
      </c>
      <c r="E717" s="28" t="str">
        <f>_xlfn.XLOOKUP(B717,'Payee Ref'!A:A,'Payee Ref'!C:C,"unassigned",0,1)</f>
        <v>Basic</v>
      </c>
      <c r="F717" s="28" t="s">
        <v>2208</v>
      </c>
    </row>
    <row r="718" spans="1:6" x14ac:dyDescent="0.2">
      <c r="A718" s="63">
        <v>45670</v>
      </c>
      <c r="B718" t="s">
        <v>2274</v>
      </c>
      <c r="C718">
        <v>9.7899999999999991</v>
      </c>
      <c r="D718" s="28" t="str">
        <f>_xlfn.XLOOKUP(B718,'Payee Ref'!A:A,'Payee Ref'!B:B,"unassigned",0,1)</f>
        <v>Travel</v>
      </c>
      <c r="E718" s="28" t="str">
        <f>_xlfn.XLOOKUP(B718,'Payee Ref'!A:A,'Payee Ref'!C:C,"unassigned",0,1)</f>
        <v>Luxury</v>
      </c>
      <c r="F718" s="28" t="s">
        <v>2208</v>
      </c>
    </row>
    <row r="719" spans="1:6" x14ac:dyDescent="0.2">
      <c r="A719" s="63">
        <v>45670</v>
      </c>
      <c r="B719" t="s">
        <v>2344</v>
      </c>
      <c r="C719">
        <v>34.93</v>
      </c>
      <c r="D719" s="28" t="str">
        <f>_xlfn.XLOOKUP(B719,'Payee Ref'!A:A,'Payee Ref'!B:B,"unassigned",0,1)</f>
        <v>Dining</v>
      </c>
      <c r="E719" s="28" t="str">
        <f>_xlfn.XLOOKUP(B719,'Payee Ref'!A:A,'Payee Ref'!C:C,"unassigned",0,1)</f>
        <v>Luxury</v>
      </c>
      <c r="F719" s="28" t="s">
        <v>2208</v>
      </c>
    </row>
    <row r="720" spans="1:6" x14ac:dyDescent="0.2">
      <c r="A720" s="63">
        <v>45670</v>
      </c>
      <c r="B720" t="s">
        <v>2241</v>
      </c>
      <c r="C720">
        <v>13.22</v>
      </c>
      <c r="D720" s="28" t="str">
        <f>_xlfn.XLOOKUP(B720,'Payee Ref'!A:A,'Payee Ref'!B:B,"unassigned",0,1)</f>
        <v>Dining</v>
      </c>
      <c r="E720" s="28" t="str">
        <f>_xlfn.XLOOKUP(B720,'Payee Ref'!A:A,'Payee Ref'!C:C,"unassigned",0,1)</f>
        <v>Luxury</v>
      </c>
      <c r="F720" s="28" t="s">
        <v>2208</v>
      </c>
    </row>
    <row r="721" spans="1:6" x14ac:dyDescent="0.2">
      <c r="A721" s="63">
        <v>45669</v>
      </c>
      <c r="B721" t="s">
        <v>1487</v>
      </c>
      <c r="C721">
        <v>36.07</v>
      </c>
      <c r="D721" s="28" t="str">
        <f>_xlfn.XLOOKUP(B721,'Payee Ref'!A:A,'Payee Ref'!B:B,"unassigned",0,1)</f>
        <v>Auto</v>
      </c>
      <c r="E721" s="28" t="str">
        <f>_xlfn.XLOOKUP(B721,'Payee Ref'!A:A,'Payee Ref'!C:C,"unassigned",0,1)</f>
        <v>Luxury</v>
      </c>
      <c r="F721" s="28" t="s">
        <v>2208</v>
      </c>
    </row>
    <row r="722" spans="1:6" x14ac:dyDescent="0.2">
      <c r="A722" s="63">
        <v>45669</v>
      </c>
      <c r="B722" t="s">
        <v>2299</v>
      </c>
      <c r="C722">
        <v>14.48</v>
      </c>
      <c r="D722" s="28" t="str">
        <f>_xlfn.XLOOKUP(B722,'Payee Ref'!A:A,'Payee Ref'!B:B,"unassigned",0,1)</f>
        <v>Travel</v>
      </c>
      <c r="E722" s="28" t="str">
        <f>_xlfn.XLOOKUP(B722,'Payee Ref'!A:A,'Payee Ref'!C:C,"unassigned",0,1)</f>
        <v>Luxury</v>
      </c>
      <c r="F722" s="28" t="s">
        <v>2208</v>
      </c>
    </row>
    <row r="723" spans="1:6" x14ac:dyDescent="0.2">
      <c r="A723" s="63">
        <v>45669</v>
      </c>
      <c r="B723" t="s">
        <v>2299</v>
      </c>
      <c r="C723">
        <v>54.95</v>
      </c>
      <c r="D723" s="28" t="str">
        <f>_xlfn.XLOOKUP(B723,'Payee Ref'!A:A,'Payee Ref'!B:B,"unassigned",0,1)</f>
        <v>Travel</v>
      </c>
      <c r="E723" s="28" t="str">
        <f>_xlfn.XLOOKUP(B723,'Payee Ref'!A:A,'Payee Ref'!C:C,"unassigned",0,1)</f>
        <v>Luxury</v>
      </c>
      <c r="F723" s="28" t="s">
        <v>2208</v>
      </c>
    </row>
    <row r="724" spans="1:6" x14ac:dyDescent="0.2">
      <c r="A724" s="63">
        <v>45669</v>
      </c>
      <c r="B724" t="s">
        <v>879</v>
      </c>
      <c r="C724">
        <v>220.7</v>
      </c>
      <c r="D724" s="28" t="str">
        <f>_xlfn.XLOOKUP(B724,'Payee Ref'!A:A,'Payee Ref'!B:B,"unassigned",0,1)</f>
        <v>Professional</v>
      </c>
      <c r="E724" s="28" t="str">
        <f>_xlfn.XLOOKUP(B724,'Payee Ref'!A:A,'Payee Ref'!C:C,"unassigned",0,1)</f>
        <v>Luxury</v>
      </c>
      <c r="F724" s="28" t="s">
        <v>2208</v>
      </c>
    </row>
    <row r="725" spans="1:6" x14ac:dyDescent="0.2">
      <c r="A725" s="63">
        <v>45669</v>
      </c>
      <c r="B725" t="s">
        <v>2254</v>
      </c>
      <c r="C725">
        <v>6.56</v>
      </c>
      <c r="D725" s="28" t="str">
        <f>_xlfn.XLOOKUP(B725,'Payee Ref'!A:A,'Payee Ref'!B:B,"unassigned",0,1)</f>
        <v>Dining</v>
      </c>
      <c r="E725" s="28" t="str">
        <f>_xlfn.XLOOKUP(B725,'Payee Ref'!A:A,'Payee Ref'!C:C,"unassigned",0,1)</f>
        <v>Luxury</v>
      </c>
      <c r="F725" s="28" t="s">
        <v>2208</v>
      </c>
    </row>
    <row r="726" spans="1:6" x14ac:dyDescent="0.2">
      <c r="A726" s="63">
        <v>45669</v>
      </c>
      <c r="B726" t="s">
        <v>2282</v>
      </c>
      <c r="C726">
        <v>11.32</v>
      </c>
      <c r="D726" s="28" t="str">
        <f>_xlfn.XLOOKUP(B726,'Payee Ref'!A:A,'Payee Ref'!B:B,"unassigned",0,1)</f>
        <v>Dining</v>
      </c>
      <c r="E726" s="28" t="str">
        <f>_xlfn.XLOOKUP(B726,'Payee Ref'!A:A,'Payee Ref'!C:C,"unassigned",0,1)</f>
        <v>Luxury</v>
      </c>
      <c r="F726" s="28" t="s">
        <v>2208</v>
      </c>
    </row>
    <row r="727" spans="1:6" x14ac:dyDescent="0.2">
      <c r="A727" s="63">
        <v>45669</v>
      </c>
      <c r="B727" t="s">
        <v>2282</v>
      </c>
      <c r="C727">
        <v>17.25</v>
      </c>
      <c r="D727" s="28" t="str">
        <f>_xlfn.XLOOKUP(B727,'Payee Ref'!A:A,'Payee Ref'!B:B,"unassigned",0,1)</f>
        <v>Dining</v>
      </c>
      <c r="E727" s="28" t="str">
        <f>_xlfn.XLOOKUP(B727,'Payee Ref'!A:A,'Payee Ref'!C:C,"unassigned",0,1)</f>
        <v>Luxury</v>
      </c>
      <c r="F727" s="28" t="s">
        <v>2208</v>
      </c>
    </row>
    <row r="728" spans="1:6" x14ac:dyDescent="0.2">
      <c r="A728" s="63">
        <v>45668</v>
      </c>
      <c r="B728" t="s">
        <v>2282</v>
      </c>
      <c r="C728">
        <v>16.3</v>
      </c>
      <c r="D728" s="28" t="str">
        <f>_xlfn.XLOOKUP(B728,'Payee Ref'!A:A,'Payee Ref'!B:B,"unassigned",0,1)</f>
        <v>Dining</v>
      </c>
      <c r="E728" s="28" t="str">
        <f>_xlfn.XLOOKUP(B728,'Payee Ref'!A:A,'Payee Ref'!C:C,"unassigned",0,1)</f>
        <v>Luxury</v>
      </c>
      <c r="F728" s="28" t="s">
        <v>2208</v>
      </c>
    </row>
    <row r="729" spans="1:6" x14ac:dyDescent="0.2">
      <c r="A729" s="63">
        <v>45667</v>
      </c>
      <c r="B729" t="s">
        <v>2378</v>
      </c>
      <c r="C729">
        <v>57.55</v>
      </c>
      <c r="D729" s="28" t="str">
        <f>_xlfn.XLOOKUP(B729,'Payee Ref'!A:A,'Payee Ref'!B:B,"unassigned",0,1)</f>
        <v>Auto</v>
      </c>
      <c r="E729" s="28" t="str">
        <f>_xlfn.XLOOKUP(B729,'Payee Ref'!A:A,'Payee Ref'!C:C,"unassigned",0,1)</f>
        <v>Basic</v>
      </c>
      <c r="F729" s="28" t="s">
        <v>2208</v>
      </c>
    </row>
    <row r="730" spans="1:6" x14ac:dyDescent="0.2">
      <c r="A730" s="63">
        <v>45667</v>
      </c>
      <c r="B730" t="s">
        <v>2241</v>
      </c>
      <c r="C730">
        <v>4.88</v>
      </c>
      <c r="D730" s="28" t="str">
        <f>_xlfn.XLOOKUP(B730,'Payee Ref'!A:A,'Payee Ref'!B:B,"unassigned",0,1)</f>
        <v>Dining</v>
      </c>
      <c r="E730" s="28" t="str">
        <f>_xlfn.XLOOKUP(B730,'Payee Ref'!A:A,'Payee Ref'!C:C,"unassigned",0,1)</f>
        <v>Luxury</v>
      </c>
      <c r="F730" s="28" t="s">
        <v>2208</v>
      </c>
    </row>
    <row r="731" spans="1:6" x14ac:dyDescent="0.2">
      <c r="A731" s="63">
        <v>45666</v>
      </c>
      <c r="B731" t="s">
        <v>2436</v>
      </c>
      <c r="C731">
        <v>348.99</v>
      </c>
      <c r="D731" s="28" t="str">
        <f>_xlfn.XLOOKUP(B731,'Payee Ref'!A:A,'Payee Ref'!B:B,"unassigned",0,1)</f>
        <v>Travel</v>
      </c>
      <c r="E731" s="28" t="str">
        <f>_xlfn.XLOOKUP(B731,'Payee Ref'!A:A,'Payee Ref'!C:C,"unassigned",0,1)</f>
        <v>Luxury</v>
      </c>
      <c r="F731" s="28" t="s">
        <v>2208</v>
      </c>
    </row>
    <row r="732" spans="1:6" x14ac:dyDescent="0.2">
      <c r="A732" s="63">
        <v>45666</v>
      </c>
      <c r="B732" t="s">
        <v>2361</v>
      </c>
      <c r="C732">
        <v>37.43</v>
      </c>
      <c r="D732" s="28" t="str">
        <f>_xlfn.XLOOKUP(B732,'Payee Ref'!A:A,'Payee Ref'!B:B,"unassigned",0,1)</f>
        <v>Auto</v>
      </c>
      <c r="E732" s="28" t="str">
        <f>_xlfn.XLOOKUP(B732,'Payee Ref'!A:A,'Payee Ref'!C:C,"unassigned",0,1)</f>
        <v>Basic</v>
      </c>
      <c r="F732" s="28" t="s">
        <v>2208</v>
      </c>
    </row>
    <row r="733" spans="1:6" x14ac:dyDescent="0.2">
      <c r="A733" s="63">
        <v>45666</v>
      </c>
      <c r="B733" t="s">
        <v>2446</v>
      </c>
      <c r="C733">
        <v>854.2</v>
      </c>
      <c r="D733" s="28" t="str">
        <f>_xlfn.XLOOKUP(B733,'Payee Ref'!A:A,'Payee Ref'!B:B,"unassigned",0,1)</f>
        <v>Travel</v>
      </c>
      <c r="E733" s="28" t="str">
        <f>_xlfn.XLOOKUP(B733,'Payee Ref'!A:A,'Payee Ref'!C:C,"unassigned",0,1)</f>
        <v>Luxury</v>
      </c>
      <c r="F733" s="28" t="s">
        <v>2208</v>
      </c>
    </row>
    <row r="734" spans="1:6" x14ac:dyDescent="0.2">
      <c r="A734" s="63">
        <v>45665</v>
      </c>
      <c r="B734" t="s">
        <v>2429</v>
      </c>
      <c r="C734">
        <v>208.38</v>
      </c>
      <c r="D734" s="28" t="str">
        <f>_xlfn.XLOOKUP(B734,'Payee Ref'!A:A,'Payee Ref'!B:B,"unassigned",0,1)</f>
        <v>Clothing</v>
      </c>
      <c r="E734" s="28" t="str">
        <f>_xlfn.XLOOKUP(B734,'Payee Ref'!A:A,'Payee Ref'!C:C,"unassigned",0,1)</f>
        <v>Basic</v>
      </c>
      <c r="F734" s="28" t="s">
        <v>2208</v>
      </c>
    </row>
    <row r="735" spans="1:6" x14ac:dyDescent="0.2">
      <c r="A735" s="63">
        <v>45664</v>
      </c>
      <c r="B735" t="s">
        <v>1461</v>
      </c>
      <c r="C735">
        <v>53.71</v>
      </c>
      <c r="D735" s="28" t="str">
        <f>_xlfn.XLOOKUP(B735,'Payee Ref'!A:A,'Payee Ref'!B:B,"unassigned",0,1)</f>
        <v>Home &amp; Garden</v>
      </c>
      <c r="E735" s="28" t="str">
        <f>_xlfn.XLOOKUP(B735,'Payee Ref'!A:A,'Payee Ref'!C:C,"unassigned",0,1)</f>
        <v>Basic</v>
      </c>
      <c r="F735" s="28" t="s">
        <v>2208</v>
      </c>
    </row>
    <row r="736" spans="1:6" x14ac:dyDescent="0.2">
      <c r="A736" s="63">
        <v>45664</v>
      </c>
      <c r="B736" t="s">
        <v>2341</v>
      </c>
      <c r="C736">
        <v>27.64</v>
      </c>
      <c r="D736" s="28" t="str">
        <f>_xlfn.XLOOKUP(B736,'Payee Ref'!A:A,'Payee Ref'!B:B,"unassigned",0,1)</f>
        <v>Home &amp; Garden</v>
      </c>
      <c r="E736" s="28" t="str">
        <f>_xlfn.XLOOKUP(B736,'Payee Ref'!A:A,'Payee Ref'!C:C,"unassigned",0,1)</f>
        <v>Basic</v>
      </c>
      <c r="F736" s="28" t="s">
        <v>2208</v>
      </c>
    </row>
    <row r="737" spans="1:6" x14ac:dyDescent="0.2">
      <c r="A737" s="63">
        <v>45664</v>
      </c>
      <c r="B737" t="s">
        <v>2341</v>
      </c>
      <c r="C737">
        <v>27.99</v>
      </c>
      <c r="D737" s="28" t="str">
        <f>_xlfn.XLOOKUP(B737,'Payee Ref'!A:A,'Payee Ref'!B:B,"unassigned",0,1)</f>
        <v>Home &amp; Garden</v>
      </c>
      <c r="E737" s="28" t="str">
        <f>_xlfn.XLOOKUP(B737,'Payee Ref'!A:A,'Payee Ref'!C:C,"unassigned",0,1)</f>
        <v>Basic</v>
      </c>
      <c r="F737" s="28" t="s">
        <v>2208</v>
      </c>
    </row>
    <row r="738" spans="1:6" x14ac:dyDescent="0.2">
      <c r="A738" s="63">
        <v>45664</v>
      </c>
      <c r="B738" t="s">
        <v>2340</v>
      </c>
      <c r="C738">
        <v>27.57</v>
      </c>
      <c r="D738" s="28" t="str">
        <f>_xlfn.XLOOKUP(B738,'Payee Ref'!A:A,'Payee Ref'!B:B,"unassigned",0,1)</f>
        <v>Subscriptions / Digital</v>
      </c>
      <c r="E738" s="28" t="str">
        <f>_xlfn.XLOOKUP(B738,'Payee Ref'!A:A,'Payee Ref'!C:C,"unassigned",0,1)</f>
        <v>Luxury</v>
      </c>
      <c r="F738" s="28" t="s">
        <v>2208</v>
      </c>
    </row>
    <row r="739" spans="1:6" x14ac:dyDescent="0.2">
      <c r="A739" s="63">
        <v>45664</v>
      </c>
      <c r="B739" t="s">
        <v>2340</v>
      </c>
      <c r="C739">
        <v>77.010000000000005</v>
      </c>
      <c r="D739" s="28" t="str">
        <f>_xlfn.XLOOKUP(B739,'Payee Ref'!A:A,'Payee Ref'!B:B,"unassigned",0,1)</f>
        <v>Subscriptions / Digital</v>
      </c>
      <c r="E739" s="28" t="str">
        <f>_xlfn.XLOOKUP(B739,'Payee Ref'!A:A,'Payee Ref'!C:C,"unassigned",0,1)</f>
        <v>Luxury</v>
      </c>
      <c r="F739" s="28" t="s">
        <v>2208</v>
      </c>
    </row>
    <row r="740" spans="1:6" x14ac:dyDescent="0.2">
      <c r="A740" s="63">
        <v>45664</v>
      </c>
      <c r="B740" t="s">
        <v>2263</v>
      </c>
      <c r="C740">
        <v>8</v>
      </c>
      <c r="D740" s="28" t="str">
        <f>_xlfn.XLOOKUP(B740,'Payee Ref'!A:A,'Payee Ref'!B:B,"unassigned",0,1)</f>
        <v>Subscriptions / Digital</v>
      </c>
      <c r="E740" s="28" t="str">
        <f>_xlfn.XLOOKUP(B740,'Payee Ref'!A:A,'Payee Ref'!C:C,"unassigned",0,1)</f>
        <v>Luxury</v>
      </c>
      <c r="F740" s="28" t="s">
        <v>2208</v>
      </c>
    </row>
    <row r="741" spans="1:6" x14ac:dyDescent="0.2">
      <c r="A741" s="63">
        <v>45663</v>
      </c>
      <c r="B741" t="s">
        <v>2245</v>
      </c>
      <c r="C741">
        <v>5.58</v>
      </c>
      <c r="D741" s="28" t="str">
        <f>_xlfn.XLOOKUP(B741,'Payee Ref'!A:A,'Payee Ref'!B:B,"unassigned",0,1)</f>
        <v>Home &amp; Garden</v>
      </c>
      <c r="E741" s="28" t="str">
        <f>_xlfn.XLOOKUP(B741,'Payee Ref'!A:A,'Payee Ref'!C:C,"unassigned",0,1)</f>
        <v>Basic</v>
      </c>
      <c r="F741" s="28" t="s">
        <v>2208</v>
      </c>
    </row>
    <row r="742" spans="1:6" x14ac:dyDescent="0.2">
      <c r="A742" s="63">
        <v>45662</v>
      </c>
      <c r="B742" t="s">
        <v>2395</v>
      </c>
      <c r="C742">
        <v>66.2</v>
      </c>
      <c r="D742" s="28" t="str">
        <f>_xlfn.XLOOKUP(B742,'Payee Ref'!A:A,'Payee Ref'!B:B,"unassigned",0,1)</f>
        <v>Professional</v>
      </c>
      <c r="E742" s="28" t="str">
        <f>_xlfn.XLOOKUP(B742,'Payee Ref'!A:A,'Payee Ref'!C:C,"unassigned",0,1)</f>
        <v>Basic</v>
      </c>
      <c r="F742" s="28" t="s">
        <v>2208</v>
      </c>
    </row>
    <row r="743" spans="1:6" x14ac:dyDescent="0.2">
      <c r="A743" s="63">
        <v>45662</v>
      </c>
      <c r="B743" t="s">
        <v>2324</v>
      </c>
      <c r="C743">
        <v>20.62</v>
      </c>
      <c r="D743" s="28">
        <f>_xlfn.XLOOKUP(B743,'Payee Ref'!A:A,'Payee Ref'!B:B,"unassigned",0,1)</f>
        <v>0</v>
      </c>
      <c r="E743" s="28">
        <f>_xlfn.XLOOKUP(B743,'Payee Ref'!A:A,'Payee Ref'!C:C,"unassigned",0,1)</f>
        <v>0</v>
      </c>
      <c r="F743" s="28" t="s">
        <v>2208</v>
      </c>
    </row>
    <row r="744" spans="1:6" x14ac:dyDescent="0.2">
      <c r="A744" s="63">
        <v>45661</v>
      </c>
      <c r="B744" t="s">
        <v>2295</v>
      </c>
      <c r="C744">
        <v>13.23</v>
      </c>
      <c r="D744" s="28" t="str">
        <f>_xlfn.XLOOKUP(B744,'Payee Ref'!A:A,'Payee Ref'!B:B,"unassigned",0,1)</f>
        <v>Auto</v>
      </c>
      <c r="E744" s="28" t="str">
        <f>_xlfn.XLOOKUP(B744,'Payee Ref'!A:A,'Payee Ref'!C:C,"unassigned",0,1)</f>
        <v>Basic</v>
      </c>
      <c r="F744" s="28" t="s">
        <v>2208</v>
      </c>
    </row>
    <row r="745" spans="1:6" x14ac:dyDescent="0.2">
      <c r="A745" s="63">
        <v>45661</v>
      </c>
      <c r="B745" t="s">
        <v>1487</v>
      </c>
      <c r="C745">
        <v>28.97</v>
      </c>
      <c r="D745" s="28" t="str">
        <f>_xlfn.XLOOKUP(B745,'Payee Ref'!A:A,'Payee Ref'!B:B,"unassigned",0,1)</f>
        <v>Auto</v>
      </c>
      <c r="E745" s="28" t="str">
        <f>_xlfn.XLOOKUP(B745,'Payee Ref'!A:A,'Payee Ref'!C:C,"unassigned",0,1)</f>
        <v>Luxury</v>
      </c>
      <c r="F745" s="28" t="s">
        <v>2208</v>
      </c>
    </row>
    <row r="746" spans="1:6" x14ac:dyDescent="0.2">
      <c r="A746" s="63">
        <v>45660</v>
      </c>
      <c r="B746" t="s">
        <v>2406</v>
      </c>
      <c r="C746">
        <v>79.709999999999994</v>
      </c>
      <c r="D746" s="28" t="str">
        <f>_xlfn.XLOOKUP(B746,'Payee Ref'!A:A,'Payee Ref'!B:B,"unassigned",0,1)</f>
        <v>Dining</v>
      </c>
      <c r="E746" s="28" t="str">
        <f>_xlfn.XLOOKUP(B746,'Payee Ref'!A:A,'Payee Ref'!C:C,"unassigned",0,1)</f>
        <v>Luxury</v>
      </c>
      <c r="F746" s="28" t="s">
        <v>2208</v>
      </c>
    </row>
    <row r="747" spans="1:6" x14ac:dyDescent="0.2">
      <c r="A747" s="63">
        <v>45660</v>
      </c>
      <c r="B747" t="s">
        <v>2281</v>
      </c>
      <c r="C747">
        <v>11.24</v>
      </c>
      <c r="D747" s="28" t="str">
        <f>_xlfn.XLOOKUP(B747,'Payee Ref'!A:A,'Payee Ref'!B:B,"unassigned",0,1)</f>
        <v>Auto</v>
      </c>
      <c r="E747" s="28" t="str">
        <f>_xlfn.XLOOKUP(B747,'Payee Ref'!A:A,'Payee Ref'!C:C,"unassigned",0,1)</f>
        <v>Basic</v>
      </c>
      <c r="F747" s="28" t="s">
        <v>2208</v>
      </c>
    </row>
    <row r="748" spans="1:6" x14ac:dyDescent="0.2">
      <c r="A748" s="63">
        <v>45660</v>
      </c>
      <c r="B748" t="s">
        <v>2378</v>
      </c>
      <c r="C748">
        <v>52</v>
      </c>
      <c r="D748" s="28" t="str">
        <f>_xlfn.XLOOKUP(B748,'Payee Ref'!A:A,'Payee Ref'!B:B,"unassigned",0,1)</f>
        <v>Auto</v>
      </c>
      <c r="E748" s="28" t="str">
        <f>_xlfn.XLOOKUP(B748,'Payee Ref'!A:A,'Payee Ref'!C:C,"unassigned",0,1)</f>
        <v>Basic</v>
      </c>
      <c r="F748" s="28" t="s">
        <v>2208</v>
      </c>
    </row>
    <row r="749" spans="1:6" x14ac:dyDescent="0.2">
      <c r="A749" s="63">
        <v>45660</v>
      </c>
      <c r="B749" t="s">
        <v>2378</v>
      </c>
      <c r="C749">
        <v>66.069999999999993</v>
      </c>
      <c r="D749" s="28" t="str">
        <f>_xlfn.XLOOKUP(B749,'Payee Ref'!A:A,'Payee Ref'!B:B,"unassigned",0,1)</f>
        <v>Auto</v>
      </c>
      <c r="E749" s="28" t="str">
        <f>_xlfn.XLOOKUP(B749,'Payee Ref'!A:A,'Payee Ref'!C:C,"unassigned",0,1)</f>
        <v>Basic</v>
      </c>
      <c r="F749" s="28" t="s">
        <v>2208</v>
      </c>
    </row>
    <row r="750" spans="1:6" x14ac:dyDescent="0.2">
      <c r="A750" s="63">
        <v>45659</v>
      </c>
      <c r="B750" t="s">
        <v>931</v>
      </c>
      <c r="C750">
        <v>3.3</v>
      </c>
      <c r="D750" s="28" t="str">
        <f>_xlfn.XLOOKUP(B750,'Payee Ref'!A:A,'Payee Ref'!B:B,"unassigned",0,1)</f>
        <v>Subscriptions / Digital</v>
      </c>
      <c r="E750" s="28" t="str">
        <f>_xlfn.XLOOKUP(B750,'Payee Ref'!A:A,'Payee Ref'!C:C,"unassigned",0,1)</f>
        <v>Basic</v>
      </c>
      <c r="F750" s="28" t="s">
        <v>2208</v>
      </c>
    </row>
    <row r="751" spans="1:6" x14ac:dyDescent="0.2">
      <c r="A751" s="63">
        <v>45659</v>
      </c>
      <c r="B751" t="s">
        <v>2377</v>
      </c>
      <c r="C751">
        <v>50.74</v>
      </c>
      <c r="D751" s="28" t="str">
        <f>_xlfn.XLOOKUP(B751,'Payee Ref'!A:A,'Payee Ref'!B:B,"unassigned",0,1)</f>
        <v>Enrichment</v>
      </c>
      <c r="E751" s="28" t="str">
        <f>_xlfn.XLOOKUP(B751,'Payee Ref'!A:A,'Payee Ref'!C:C,"unassigned",0,1)</f>
        <v>Basic</v>
      </c>
      <c r="F751" s="28" t="s">
        <v>2208</v>
      </c>
    </row>
    <row r="752" spans="1:6" x14ac:dyDescent="0.2">
      <c r="A752" s="63">
        <v>45659</v>
      </c>
      <c r="B752" t="s">
        <v>2400</v>
      </c>
      <c r="C752">
        <v>70.72</v>
      </c>
      <c r="D752" s="28" t="str">
        <f>_xlfn.XLOOKUP(B752,'Payee Ref'!A:A,'Payee Ref'!B:B,"unassigned",0,1)</f>
        <v>Enrichment</v>
      </c>
      <c r="E752" s="28" t="str">
        <f>_xlfn.XLOOKUP(B752,'Payee Ref'!A:A,'Payee Ref'!C:C,"unassigned",0,1)</f>
        <v>Basic</v>
      </c>
      <c r="F752" s="28" t="s">
        <v>2208</v>
      </c>
    </row>
    <row r="753" spans="1:6" x14ac:dyDescent="0.2">
      <c r="A753" s="63">
        <v>45659</v>
      </c>
      <c r="B753" t="s">
        <v>2417</v>
      </c>
      <c r="C753">
        <v>125.73</v>
      </c>
      <c r="D753" s="28" t="str">
        <f>_xlfn.XLOOKUP(B753,'Payee Ref'!A:A,'Payee Ref'!B:B,"unassigned",0,1)</f>
        <v>Enrichment</v>
      </c>
      <c r="E753" s="28" t="str">
        <f>_xlfn.XLOOKUP(B753,'Payee Ref'!A:A,'Payee Ref'!C:C,"unassigned",0,1)</f>
        <v>Luxury</v>
      </c>
      <c r="F753" s="28" t="s">
        <v>2208</v>
      </c>
    </row>
    <row r="754" spans="1:6" x14ac:dyDescent="0.2">
      <c r="A754" s="63">
        <v>45658</v>
      </c>
      <c r="B754" t="s">
        <v>2271</v>
      </c>
      <c r="C754">
        <v>9.6</v>
      </c>
      <c r="D754" s="28" t="str">
        <f>_xlfn.XLOOKUP(B754,'Payee Ref'!A:A,'Payee Ref'!B:B,"unassigned",0,1)</f>
        <v>Dining</v>
      </c>
      <c r="E754" s="28" t="str">
        <f>_xlfn.XLOOKUP(B754,'Payee Ref'!A:A,'Payee Ref'!C:C,"unassigned",0,1)</f>
        <v>Luxury</v>
      </c>
      <c r="F754" s="28" t="s">
        <v>2208</v>
      </c>
    </row>
    <row r="755" spans="1:6" x14ac:dyDescent="0.2">
      <c r="A755" s="63">
        <v>45658</v>
      </c>
      <c r="B755" t="s">
        <v>252</v>
      </c>
      <c r="C755">
        <v>25.03</v>
      </c>
      <c r="D755" s="28" t="str">
        <f>_xlfn.XLOOKUP(B755,'Payee Ref'!A:A,'Payee Ref'!B:B,"unassigned",0,1)</f>
        <v>Dining</v>
      </c>
      <c r="E755" s="28" t="str">
        <f>_xlfn.XLOOKUP(B755,'Payee Ref'!A:A,'Payee Ref'!C:C,"unassigned",0,1)</f>
        <v>Luxury</v>
      </c>
      <c r="F755" s="28" t="s">
        <v>2208</v>
      </c>
    </row>
    <row r="756" spans="1:6" x14ac:dyDescent="0.2">
      <c r="A756" s="63">
        <v>45658</v>
      </c>
      <c r="B756" t="s">
        <v>2400</v>
      </c>
      <c r="C756">
        <v>121.3</v>
      </c>
      <c r="D756" s="28" t="str">
        <f>_xlfn.XLOOKUP(B756,'Payee Ref'!A:A,'Payee Ref'!B:B,"unassigned",0,1)</f>
        <v>Enrichment</v>
      </c>
      <c r="E756" s="28" t="str">
        <f>_xlfn.XLOOKUP(B756,'Payee Ref'!A:A,'Payee Ref'!C:C,"unassigned",0,1)</f>
        <v>Basic</v>
      </c>
      <c r="F756" s="28" t="s">
        <v>2208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4F3E-28C4-7042-9D01-72F746A20E3E}">
  <dimension ref="A1:F1954"/>
  <sheetViews>
    <sheetView workbookViewId="0">
      <selection activeCell="D2" sqref="D2:E2"/>
    </sheetView>
  </sheetViews>
  <sheetFormatPr baseColWidth="10" defaultRowHeight="16" x14ac:dyDescent="0.2"/>
  <cols>
    <col min="2" max="2" width="44.1640625" customWidth="1"/>
    <col min="3" max="3" width="17.83203125" customWidth="1"/>
    <col min="4" max="4" width="17.83203125" bestFit="1" customWidth="1"/>
    <col min="5" max="5" width="17.83203125" customWidth="1"/>
  </cols>
  <sheetData>
    <row r="1" spans="1:6" x14ac:dyDescent="0.2">
      <c r="A1" s="26" t="s">
        <v>1258</v>
      </c>
      <c r="B1" s="39" t="s">
        <v>0</v>
      </c>
      <c r="C1" s="26" t="s">
        <v>1226</v>
      </c>
      <c r="D1" s="26" t="s">
        <v>1511</v>
      </c>
      <c r="E1" s="26" t="s">
        <v>2205</v>
      </c>
      <c r="F1" s="26" t="s">
        <v>2206</v>
      </c>
    </row>
    <row r="2" spans="1:6" x14ac:dyDescent="0.2">
      <c r="A2" s="30">
        <v>45860</v>
      </c>
      <c r="B2" s="28" t="s">
        <v>1559</v>
      </c>
      <c r="C2" s="28">
        <v>-23350.85</v>
      </c>
      <c r="D2" s="28" t="str">
        <f>_xlfn.XLOOKUP(B2,'Payee Ref'!A:A,'Payee Ref'!B:B,"unassigned",0,1)</f>
        <v>Credit Card Payment</v>
      </c>
      <c r="E2" s="29" t="str">
        <f>_xlfn.XLOOKUP(B2,'Payee Ref'!A:A,'Payee Ref'!C:C,"unassigned",0,1)</f>
        <v>Basic</v>
      </c>
      <c r="F2" s="28" t="s">
        <v>2207</v>
      </c>
    </row>
    <row r="3" spans="1:6" x14ac:dyDescent="0.2">
      <c r="A3" s="30">
        <v>45905</v>
      </c>
      <c r="B3" s="28" t="s">
        <v>1559</v>
      </c>
      <c r="C3" s="28">
        <v>-21348.38</v>
      </c>
      <c r="D3" s="28" t="str">
        <f>_xlfn.XLOOKUP(B3,'Payee Ref'!A:A,'Payee Ref'!B:B,"unassigned",0,1)</f>
        <v>Credit Card Payment</v>
      </c>
      <c r="E3" s="29" t="str">
        <f>_xlfn.XLOOKUP(B3,'Payee Ref'!A:A,'Payee Ref'!C:C,"unassigned",0,1)</f>
        <v>Basic</v>
      </c>
      <c r="F3" s="28" t="s">
        <v>2207</v>
      </c>
    </row>
    <row r="4" spans="1:6" x14ac:dyDescent="0.2">
      <c r="A4" s="30">
        <v>45802</v>
      </c>
      <c r="B4" s="28" t="s">
        <v>1559</v>
      </c>
      <c r="C4" s="28">
        <v>-20000</v>
      </c>
      <c r="D4" s="28" t="str">
        <f>_xlfn.XLOOKUP(B4,'Payee Ref'!A:A,'Payee Ref'!B:B,"unassigned",0,1)</f>
        <v>Credit Card Payment</v>
      </c>
      <c r="E4" s="29" t="str">
        <f>_xlfn.XLOOKUP(B4,'Payee Ref'!A:A,'Payee Ref'!C:C,"unassigned",0,1)</f>
        <v>Basic</v>
      </c>
      <c r="F4" s="28" t="s">
        <v>2207</v>
      </c>
    </row>
    <row r="5" spans="1:6" x14ac:dyDescent="0.2">
      <c r="A5" s="30">
        <v>45963</v>
      </c>
      <c r="B5" s="28" t="s">
        <v>947</v>
      </c>
      <c r="C5" s="28">
        <v>-15691.03</v>
      </c>
      <c r="D5" s="28" t="str">
        <f>_xlfn.XLOOKUP(B5,'Payee Ref'!A:A,'Payee Ref'!B:B,"unassigned",0,1)</f>
        <v>Transfer</v>
      </c>
      <c r="E5" s="29" t="str">
        <f>_xlfn.XLOOKUP(B5,'Payee Ref'!A:A,'Payee Ref'!C:C,"unassigned",0,1)</f>
        <v>Basic</v>
      </c>
      <c r="F5" s="28" t="s">
        <v>2207</v>
      </c>
    </row>
    <row r="6" spans="1:6" x14ac:dyDescent="0.2">
      <c r="A6" s="30">
        <v>45748</v>
      </c>
      <c r="B6" s="28" t="s">
        <v>1559</v>
      </c>
      <c r="C6" s="28">
        <v>-15000</v>
      </c>
      <c r="D6" s="28" t="str">
        <f>_xlfn.XLOOKUP(B6,'Payee Ref'!A:A,'Payee Ref'!B:B,"unassigned",0,1)</f>
        <v>Credit Card Payment</v>
      </c>
      <c r="E6" s="29" t="str">
        <f>_xlfn.XLOOKUP(B6,'Payee Ref'!A:A,'Payee Ref'!C:C,"unassigned",0,1)</f>
        <v>Basic</v>
      </c>
      <c r="F6" s="28" t="s">
        <v>2207</v>
      </c>
    </row>
    <row r="7" spans="1:6" x14ac:dyDescent="0.2">
      <c r="A7" s="30">
        <v>45993</v>
      </c>
      <c r="B7" s="28" t="s">
        <v>1512</v>
      </c>
      <c r="C7" s="28">
        <v>-14014.11</v>
      </c>
      <c r="D7" s="28" t="str">
        <f>_xlfn.XLOOKUP(B7,'Payee Ref'!A:A,'Payee Ref'!B:B,"unassigned",0,1)</f>
        <v>unassigned</v>
      </c>
      <c r="E7" s="29" t="str">
        <f>_xlfn.XLOOKUP(B7,'Payee Ref'!A:A,'Payee Ref'!C:C,"unassigned",0,1)</f>
        <v>unassigned</v>
      </c>
      <c r="F7" s="28" t="s">
        <v>2207</v>
      </c>
    </row>
    <row r="8" spans="1:6" x14ac:dyDescent="0.2">
      <c r="A8" s="30">
        <v>45822</v>
      </c>
      <c r="B8" s="28" t="s">
        <v>1559</v>
      </c>
      <c r="C8" s="28">
        <v>-13188.92</v>
      </c>
      <c r="D8" s="28" t="str">
        <f>_xlfn.XLOOKUP(B8,'Payee Ref'!A:A,'Payee Ref'!B:B,"unassigned",0,1)</f>
        <v>Credit Card Payment</v>
      </c>
      <c r="E8" s="29" t="str">
        <f>_xlfn.XLOOKUP(B8,'Payee Ref'!A:A,'Payee Ref'!C:C,"unassigned",0,1)</f>
        <v>Basic</v>
      </c>
      <c r="F8" s="28" t="s">
        <v>2207</v>
      </c>
    </row>
    <row r="9" spans="1:6" x14ac:dyDescent="0.2">
      <c r="A9" s="30">
        <v>45873</v>
      </c>
      <c r="B9" s="28" t="s">
        <v>1559</v>
      </c>
      <c r="C9" s="28">
        <v>-10000</v>
      </c>
      <c r="D9" s="28" t="str">
        <f>_xlfn.XLOOKUP(B9,'Payee Ref'!A:A,'Payee Ref'!B:B,"unassigned",0,1)</f>
        <v>Credit Card Payment</v>
      </c>
      <c r="E9" s="29" t="str">
        <f>_xlfn.XLOOKUP(B9,'Payee Ref'!A:A,'Payee Ref'!C:C,"unassigned",0,1)</f>
        <v>Basic</v>
      </c>
      <c r="F9" s="28" t="s">
        <v>2207</v>
      </c>
    </row>
    <row r="10" spans="1:6" x14ac:dyDescent="0.2">
      <c r="A10" s="30">
        <v>45737</v>
      </c>
      <c r="B10" s="28" t="s">
        <v>1559</v>
      </c>
      <c r="C10" s="28">
        <v>-10000</v>
      </c>
      <c r="D10" s="28" t="str">
        <f>_xlfn.XLOOKUP(B10,'Payee Ref'!A:A,'Payee Ref'!B:B,"unassigned",0,1)</f>
        <v>Credit Card Payment</v>
      </c>
      <c r="E10" s="29" t="str">
        <f>_xlfn.XLOOKUP(B10,'Payee Ref'!A:A,'Payee Ref'!C:C,"unassigned",0,1)</f>
        <v>Basic</v>
      </c>
      <c r="F10" s="28" t="s">
        <v>2207</v>
      </c>
    </row>
    <row r="11" spans="1:6" x14ac:dyDescent="0.2">
      <c r="A11" s="30">
        <v>45724</v>
      </c>
      <c r="B11" s="28" t="s">
        <v>1559</v>
      </c>
      <c r="C11" s="28">
        <v>-10000</v>
      </c>
      <c r="D11" s="28" t="str">
        <f>_xlfn.XLOOKUP(B11,'Payee Ref'!A:A,'Payee Ref'!B:B,"unassigned",0,1)</f>
        <v>Credit Card Payment</v>
      </c>
      <c r="E11" s="29" t="str">
        <f>_xlfn.XLOOKUP(B11,'Payee Ref'!A:A,'Payee Ref'!C:C,"unassigned",0,1)</f>
        <v>Basic</v>
      </c>
      <c r="F11" s="28" t="s">
        <v>2207</v>
      </c>
    </row>
    <row r="12" spans="1:6" x14ac:dyDescent="0.2">
      <c r="A12" s="30">
        <v>45696</v>
      </c>
      <c r="B12" s="28" t="s">
        <v>1559</v>
      </c>
      <c r="C12" s="28">
        <v>-10000</v>
      </c>
      <c r="D12" s="28" t="str">
        <f>_xlfn.XLOOKUP(B12,'Payee Ref'!A:A,'Payee Ref'!B:B,"unassigned",0,1)</f>
        <v>Credit Card Payment</v>
      </c>
      <c r="E12" s="29" t="str">
        <f>_xlfn.XLOOKUP(B12,'Payee Ref'!A:A,'Payee Ref'!C:C,"unassigned",0,1)</f>
        <v>Basic</v>
      </c>
      <c r="F12" s="28" t="s">
        <v>2207</v>
      </c>
    </row>
    <row r="13" spans="1:6" x14ac:dyDescent="0.2">
      <c r="A13" s="30">
        <v>45659</v>
      </c>
      <c r="B13" s="28" t="s">
        <v>1559</v>
      </c>
      <c r="C13" s="28">
        <v>-10000</v>
      </c>
      <c r="D13" s="28" t="str">
        <f>_xlfn.XLOOKUP(B13,'Payee Ref'!A:A,'Payee Ref'!B:B,"unassigned",0,1)</f>
        <v>Credit Card Payment</v>
      </c>
      <c r="E13" s="29" t="str">
        <f>_xlfn.XLOOKUP(B13,'Payee Ref'!A:A,'Payee Ref'!C:C,"unassigned",0,1)</f>
        <v>Basic</v>
      </c>
      <c r="F13" s="28" t="s">
        <v>2207</v>
      </c>
    </row>
    <row r="14" spans="1:6" x14ac:dyDescent="0.2">
      <c r="A14" s="30">
        <v>45905</v>
      </c>
      <c r="B14" s="28" t="s">
        <v>1559</v>
      </c>
      <c r="C14" s="28">
        <v>-8324.11</v>
      </c>
      <c r="D14" s="28" t="str">
        <f>_xlfn.XLOOKUP(B14,'Payee Ref'!A:A,'Payee Ref'!B:B,"unassigned",0,1)</f>
        <v>Credit Card Payment</v>
      </c>
      <c r="E14" s="29" t="str">
        <f>_xlfn.XLOOKUP(B14,'Payee Ref'!A:A,'Payee Ref'!C:C,"unassigned",0,1)</f>
        <v>Basic</v>
      </c>
      <c r="F14" s="28" t="s">
        <v>2207</v>
      </c>
    </row>
    <row r="15" spans="1:6" x14ac:dyDescent="0.2">
      <c r="A15" s="30">
        <v>45676</v>
      </c>
      <c r="B15" s="28" t="s">
        <v>1559</v>
      </c>
      <c r="C15" s="28">
        <v>-8000</v>
      </c>
      <c r="D15" s="28" t="str">
        <f>_xlfn.XLOOKUP(B15,'Payee Ref'!A:A,'Payee Ref'!B:B,"unassigned",0,1)</f>
        <v>Credit Card Payment</v>
      </c>
      <c r="E15" s="29" t="str">
        <f>_xlfn.XLOOKUP(B15,'Payee Ref'!A:A,'Payee Ref'!C:C,"unassigned",0,1)</f>
        <v>Basic</v>
      </c>
      <c r="F15" s="28" t="s">
        <v>2207</v>
      </c>
    </row>
    <row r="16" spans="1:6" x14ac:dyDescent="0.2">
      <c r="A16" s="30">
        <v>45862</v>
      </c>
      <c r="B16" s="28" t="s">
        <v>1559</v>
      </c>
      <c r="C16" s="28">
        <v>-7408.12</v>
      </c>
      <c r="D16" s="28" t="str">
        <f>_xlfn.XLOOKUP(B16,'Payee Ref'!A:A,'Payee Ref'!B:B,"unassigned",0,1)</f>
        <v>Credit Card Payment</v>
      </c>
      <c r="E16" s="29" t="str">
        <f>_xlfn.XLOOKUP(B16,'Payee Ref'!A:A,'Payee Ref'!C:C,"unassigned",0,1)</f>
        <v>Basic</v>
      </c>
      <c r="F16" s="28" t="s">
        <v>2207</v>
      </c>
    </row>
    <row r="17" spans="1:6" x14ac:dyDescent="0.2">
      <c r="A17" s="30">
        <v>45792</v>
      </c>
      <c r="B17" s="28" t="s">
        <v>1559</v>
      </c>
      <c r="C17" s="28">
        <v>-7000</v>
      </c>
      <c r="D17" s="28" t="str">
        <f>_xlfn.XLOOKUP(B17,'Payee Ref'!A:A,'Payee Ref'!B:B,"unassigned",0,1)</f>
        <v>Credit Card Payment</v>
      </c>
      <c r="E17" s="29" t="str">
        <f>_xlfn.XLOOKUP(B17,'Payee Ref'!A:A,'Payee Ref'!C:C,"unassigned",0,1)</f>
        <v>Basic</v>
      </c>
      <c r="F17" s="28" t="s">
        <v>2207</v>
      </c>
    </row>
    <row r="18" spans="1:6" x14ac:dyDescent="0.2">
      <c r="A18" s="30">
        <v>45796</v>
      </c>
      <c r="B18" s="28" t="s">
        <v>1559</v>
      </c>
      <c r="C18" s="28">
        <v>-3000</v>
      </c>
      <c r="D18" s="28" t="str">
        <f>_xlfn.XLOOKUP(B18,'Payee Ref'!A:A,'Payee Ref'!B:B,"unassigned",0,1)</f>
        <v>Credit Card Payment</v>
      </c>
      <c r="E18" s="29" t="str">
        <f>_xlfn.XLOOKUP(B18,'Payee Ref'!A:A,'Payee Ref'!C:C,"unassigned",0,1)</f>
        <v>Basic</v>
      </c>
      <c r="F18" s="28" t="s">
        <v>2207</v>
      </c>
    </row>
    <row r="19" spans="1:6" x14ac:dyDescent="0.2">
      <c r="A19" s="30">
        <v>45696</v>
      </c>
      <c r="B19" s="28" t="s">
        <v>1559</v>
      </c>
      <c r="C19" s="28">
        <v>-2500</v>
      </c>
      <c r="D19" s="28" t="str">
        <f>_xlfn.XLOOKUP(B19,'Payee Ref'!A:A,'Payee Ref'!B:B,"unassigned",0,1)</f>
        <v>Credit Card Payment</v>
      </c>
      <c r="E19" s="29" t="str">
        <f>_xlfn.XLOOKUP(B19,'Payee Ref'!A:A,'Payee Ref'!C:C,"unassigned",0,1)</f>
        <v>Basic</v>
      </c>
      <c r="F19" s="28" t="s">
        <v>2207</v>
      </c>
    </row>
    <row r="20" spans="1:6" x14ac:dyDescent="0.2">
      <c r="A20" s="30">
        <v>45702</v>
      </c>
      <c r="B20" s="28" t="s">
        <v>2125</v>
      </c>
      <c r="C20" s="28">
        <v>-1029.3</v>
      </c>
      <c r="D20" s="28" t="str">
        <f>_xlfn.XLOOKUP(B20,'Payee Ref'!A:A,'Payee Ref'!B:B,"unassigned",0,1)</f>
        <v>Van</v>
      </c>
      <c r="E20" s="29" t="str">
        <f>_xlfn.XLOOKUP(B20,'Payee Ref'!A:A,'Payee Ref'!C:C,"unassigned",0,1)</f>
        <v>Luxury</v>
      </c>
      <c r="F20" s="28" t="s">
        <v>2207</v>
      </c>
    </row>
    <row r="21" spans="1:6" x14ac:dyDescent="0.2">
      <c r="A21" s="30">
        <v>45979</v>
      </c>
      <c r="B21" s="28" t="s">
        <v>947</v>
      </c>
      <c r="C21" s="28">
        <v>-1000</v>
      </c>
      <c r="D21" s="28" t="str">
        <f>_xlfn.XLOOKUP(B21,'Payee Ref'!A:A,'Payee Ref'!B:B,"unassigned",0,1)</f>
        <v>Transfer</v>
      </c>
      <c r="E21" s="29" t="str">
        <f>_xlfn.XLOOKUP(B21,'Payee Ref'!A:A,'Payee Ref'!C:C,"unassigned",0,1)</f>
        <v>Basic</v>
      </c>
      <c r="F21" s="28" t="s">
        <v>2207</v>
      </c>
    </row>
    <row r="22" spans="1:6" x14ac:dyDescent="0.2">
      <c r="A22" s="30">
        <v>45817</v>
      </c>
      <c r="B22" s="31" t="s">
        <v>1955</v>
      </c>
      <c r="C22" s="28">
        <v>-428.68</v>
      </c>
      <c r="D22" s="28" t="str">
        <f>_xlfn.XLOOKUP(B22,'Payee Ref'!A:A,'Payee Ref'!B:B,"unassigned",0,1)</f>
        <v>Travel</v>
      </c>
      <c r="E22" s="29" t="str">
        <f>_xlfn.XLOOKUP(B22,'Payee Ref'!A:A,'Payee Ref'!C:C,"unassigned",0,1)</f>
        <v>Luxury</v>
      </c>
      <c r="F22" s="28" t="s">
        <v>2207</v>
      </c>
    </row>
    <row r="23" spans="1:6" x14ac:dyDescent="0.2">
      <c r="A23" s="30">
        <v>45817</v>
      </c>
      <c r="B23" s="31" t="s">
        <v>1955</v>
      </c>
      <c r="C23" s="28">
        <v>-355.12</v>
      </c>
      <c r="D23" s="28" t="str">
        <f>_xlfn.XLOOKUP(B23,'Payee Ref'!A:A,'Payee Ref'!B:B,"unassigned",0,1)</f>
        <v>Travel</v>
      </c>
      <c r="E23" s="29" t="str">
        <f>_xlfn.XLOOKUP(B23,'Payee Ref'!A:A,'Payee Ref'!C:C,"unassigned",0,1)</f>
        <v>Luxury</v>
      </c>
      <c r="F23" s="28" t="s">
        <v>2207</v>
      </c>
    </row>
    <row r="24" spans="1:6" x14ac:dyDescent="0.2">
      <c r="A24" s="30">
        <v>45932</v>
      </c>
      <c r="B24" s="28" t="s">
        <v>947</v>
      </c>
      <c r="C24" s="28">
        <v>-344.33</v>
      </c>
      <c r="D24" s="28" t="str">
        <f>_xlfn.XLOOKUP(B24,'Payee Ref'!A:A,'Payee Ref'!B:B,"unassigned",0,1)</f>
        <v>Transfer</v>
      </c>
      <c r="E24" s="29" t="str">
        <f>_xlfn.XLOOKUP(B24,'Payee Ref'!A:A,'Payee Ref'!C:C,"unassigned",0,1)</f>
        <v>Basic</v>
      </c>
      <c r="F24" s="28" t="s">
        <v>2207</v>
      </c>
    </row>
    <row r="25" spans="1:6" x14ac:dyDescent="0.2">
      <c r="A25" s="30">
        <v>45695</v>
      </c>
      <c r="B25" s="31" t="s">
        <v>2130</v>
      </c>
      <c r="C25" s="28">
        <v>-208.97</v>
      </c>
      <c r="D25" s="28" t="str">
        <f>_xlfn.XLOOKUP(B25,'Payee Ref'!A:A,'Payee Ref'!B:B,"unassigned",0,1)</f>
        <v>unassigned</v>
      </c>
      <c r="E25" s="29" t="str">
        <f>_xlfn.XLOOKUP(B25,'Payee Ref'!A:A,'Payee Ref'!C:C,"unassigned",0,1)</f>
        <v>unassigned</v>
      </c>
      <c r="F25" s="28" t="s">
        <v>2207</v>
      </c>
    </row>
    <row r="26" spans="1:6" x14ac:dyDescent="0.2">
      <c r="A26" s="30">
        <v>45989</v>
      </c>
      <c r="B26" s="28" t="s">
        <v>1518</v>
      </c>
      <c r="C26" s="28">
        <v>-88.27</v>
      </c>
      <c r="D26" s="28" t="str">
        <f>_xlfn.XLOOKUP(B26,'Payee Ref'!A:A,'Payee Ref'!B:B,"unassigned",0,1)</f>
        <v>Groceries</v>
      </c>
      <c r="E26" s="29" t="str">
        <f>_xlfn.XLOOKUP(B26,'Payee Ref'!A:A,'Payee Ref'!C:C,"unassigned",0,1)</f>
        <v>Basic</v>
      </c>
      <c r="F26" s="28" t="s">
        <v>2207</v>
      </c>
    </row>
    <row r="27" spans="1:6" x14ac:dyDescent="0.2">
      <c r="A27" s="30">
        <v>45889</v>
      </c>
      <c r="B27" s="28" t="s">
        <v>1706</v>
      </c>
      <c r="C27" s="28">
        <v>-76.14</v>
      </c>
      <c r="D27" s="28" t="str">
        <f>_xlfn.XLOOKUP(B27,'Payee Ref'!A:A,'Payee Ref'!B:B,"unassigned",0,1)</f>
        <v>unassigned</v>
      </c>
      <c r="E27" s="29" t="str">
        <f>_xlfn.XLOOKUP(B27,'Payee Ref'!A:A,'Payee Ref'!C:C,"unassigned",0,1)</f>
        <v>unassigned</v>
      </c>
      <c r="F27" s="28" t="s">
        <v>2207</v>
      </c>
    </row>
    <row r="28" spans="1:6" x14ac:dyDescent="0.2">
      <c r="A28" s="30">
        <v>45662</v>
      </c>
      <c r="B28" s="28" t="s">
        <v>2186</v>
      </c>
      <c r="C28" s="28">
        <v>-52.25</v>
      </c>
      <c r="D28" s="28" t="str">
        <f>_xlfn.XLOOKUP(B28,'Payee Ref'!A:A,'Payee Ref'!B:B,"unassigned",0,1)</f>
        <v>Dining</v>
      </c>
      <c r="E28" s="29" t="str">
        <f>_xlfn.XLOOKUP(B28,'Payee Ref'!A:A,'Payee Ref'!C:C,"unassigned",0,1)</f>
        <v>Luxury</v>
      </c>
      <c r="F28" s="28" t="s">
        <v>2207</v>
      </c>
    </row>
    <row r="29" spans="1:6" x14ac:dyDescent="0.2">
      <c r="A29" s="30">
        <v>45763</v>
      </c>
      <c r="B29" s="28" t="s">
        <v>2036</v>
      </c>
      <c r="C29" s="28">
        <v>-41.93</v>
      </c>
      <c r="D29" s="28" t="str">
        <f>_xlfn.XLOOKUP(B29,'Payee Ref'!A:A,'Payee Ref'!B:B,"unassigned",0,1)</f>
        <v>Extracirricular</v>
      </c>
      <c r="E29" s="29" t="str">
        <f>_xlfn.XLOOKUP(B29,'Payee Ref'!A:A,'Payee Ref'!C:C,"unassigned",0,1)</f>
        <v>Basic</v>
      </c>
      <c r="F29" s="28" t="s">
        <v>2207</v>
      </c>
    </row>
    <row r="30" spans="1:6" x14ac:dyDescent="0.2">
      <c r="A30" s="30">
        <v>45855</v>
      </c>
      <c r="B30" s="28" t="s">
        <v>1831</v>
      </c>
      <c r="C30" s="28">
        <v>-37.520000000000003</v>
      </c>
      <c r="D30" s="28" t="str">
        <f>_xlfn.XLOOKUP(B30,'Payee Ref'!A:A,'Payee Ref'!B:B,"unassigned",0,1)</f>
        <v>unassigned</v>
      </c>
      <c r="E30" s="29" t="str">
        <f>_xlfn.XLOOKUP(B30,'Payee Ref'!A:A,'Payee Ref'!C:C,"unassigned",0,1)</f>
        <v>unassigned</v>
      </c>
      <c r="F30" s="28" t="s">
        <v>2207</v>
      </c>
    </row>
    <row r="31" spans="1:6" x14ac:dyDescent="0.2">
      <c r="A31" s="30">
        <v>45742</v>
      </c>
      <c r="B31" s="28" t="s">
        <v>2062</v>
      </c>
      <c r="C31" s="28">
        <v>-25</v>
      </c>
      <c r="D31" s="28" t="str">
        <f>_xlfn.XLOOKUP(B31,'Payee Ref'!A:A,'Payee Ref'!B:B,"unassigned",0,1)</f>
        <v>unassigned</v>
      </c>
      <c r="E31" s="29" t="str">
        <f>_xlfn.XLOOKUP(B31,'Payee Ref'!A:A,'Payee Ref'!C:C,"unassigned",0,1)</f>
        <v>unassigned</v>
      </c>
      <c r="F31" s="28" t="s">
        <v>2207</v>
      </c>
    </row>
    <row r="32" spans="1:6" x14ac:dyDescent="0.2">
      <c r="A32" s="30">
        <v>45742</v>
      </c>
      <c r="B32" s="28" t="s">
        <v>2063</v>
      </c>
      <c r="C32" s="28">
        <v>-25</v>
      </c>
      <c r="D32" s="28" t="str">
        <f>_xlfn.XLOOKUP(B32,'Payee Ref'!A:A,'Payee Ref'!B:B,"unassigned",0,1)</f>
        <v>unassigned</v>
      </c>
      <c r="E32" s="29" t="str">
        <f>_xlfn.XLOOKUP(B32,'Payee Ref'!A:A,'Payee Ref'!C:C,"unassigned",0,1)</f>
        <v>unassigned</v>
      </c>
      <c r="F32" s="28" t="s">
        <v>2207</v>
      </c>
    </row>
    <row r="33" spans="1:6" x14ac:dyDescent="0.2">
      <c r="A33" s="30">
        <v>45659</v>
      </c>
      <c r="B33" s="28" t="s">
        <v>1588</v>
      </c>
      <c r="C33" s="28">
        <v>-23.59</v>
      </c>
      <c r="D33" s="28" t="str">
        <f>_xlfn.XLOOKUP(B33,'Payee Ref'!A:A,'Payee Ref'!B:B,"unassigned",0,1)</f>
        <v>Groceries</v>
      </c>
      <c r="E33" s="29" t="str">
        <f>_xlfn.XLOOKUP(B33,'Payee Ref'!A:A,'Payee Ref'!C:C,"unassigned",0,1)</f>
        <v>Basic</v>
      </c>
      <c r="F33" s="28" t="s">
        <v>2207</v>
      </c>
    </row>
    <row r="34" spans="1:6" x14ac:dyDescent="0.2">
      <c r="A34" s="30">
        <v>45872</v>
      </c>
      <c r="B34" s="31" t="s">
        <v>1752</v>
      </c>
      <c r="C34" s="28">
        <v>-22.04</v>
      </c>
      <c r="D34" s="28" t="str">
        <f>_xlfn.XLOOKUP(B34,'Payee Ref'!A:A,'Payee Ref'!B:B,"unassigned",0,1)</f>
        <v>unassigned</v>
      </c>
      <c r="E34" s="29" t="str">
        <f>_xlfn.XLOOKUP(B34,'Payee Ref'!A:A,'Payee Ref'!C:C,"unassigned",0,1)</f>
        <v>unassigned</v>
      </c>
      <c r="F34" s="28" t="s">
        <v>2207</v>
      </c>
    </row>
    <row r="35" spans="1:6" x14ac:dyDescent="0.2">
      <c r="A35" s="30">
        <v>45795</v>
      </c>
      <c r="B35" s="31" t="s">
        <v>1994</v>
      </c>
      <c r="C35" s="28">
        <v>-16.54</v>
      </c>
      <c r="D35" s="28" t="str">
        <f>_xlfn.XLOOKUP(B35,'Payee Ref'!A:A,'Payee Ref'!B:B,"unassigned",0,1)</f>
        <v>Home &amp; Garden</v>
      </c>
      <c r="E35" s="29" t="str">
        <f>_xlfn.XLOOKUP(B35,'Payee Ref'!A:A,'Payee Ref'!C:C,"unassigned",0,1)</f>
        <v>Basic</v>
      </c>
      <c r="F35" s="28" t="s">
        <v>2207</v>
      </c>
    </row>
    <row r="36" spans="1:6" x14ac:dyDescent="0.2">
      <c r="A36" s="30">
        <v>45858</v>
      </c>
      <c r="B36" s="28" t="s">
        <v>1821</v>
      </c>
      <c r="C36" s="28">
        <v>-5.52</v>
      </c>
      <c r="D36" s="28" t="str">
        <f>_xlfn.XLOOKUP(B36,'Payee Ref'!A:A,'Payee Ref'!B:B,"unassigned",0,1)</f>
        <v>unassigned</v>
      </c>
      <c r="E36" s="29" t="str">
        <f>_xlfn.XLOOKUP(B36,'Payee Ref'!A:A,'Payee Ref'!C:C,"unassigned",0,1)</f>
        <v>unassigned</v>
      </c>
      <c r="F36" s="28" t="s">
        <v>2207</v>
      </c>
    </row>
    <row r="37" spans="1:6" x14ac:dyDescent="0.2">
      <c r="A37" s="30">
        <v>45807</v>
      </c>
      <c r="B37" s="31" t="s">
        <v>1543</v>
      </c>
      <c r="C37" s="28">
        <v>-3.85</v>
      </c>
      <c r="D37" s="28" t="str">
        <f>_xlfn.XLOOKUP(B37,'Payee Ref'!A:A,'Payee Ref'!B:B,"unassigned",0,1)</f>
        <v>Subscriptions / Digital</v>
      </c>
      <c r="E37" s="29" t="str">
        <f>_xlfn.XLOOKUP(B37,'Payee Ref'!A:A,'Payee Ref'!C:C,"unassigned",0,1)</f>
        <v>Luxury</v>
      </c>
      <c r="F37" s="28" t="s">
        <v>2207</v>
      </c>
    </row>
    <row r="38" spans="1:6" x14ac:dyDescent="0.2">
      <c r="A38" s="30">
        <v>45795</v>
      </c>
      <c r="B38" s="31" t="s">
        <v>1993</v>
      </c>
      <c r="C38" s="28">
        <v>-3.3</v>
      </c>
      <c r="D38" s="28" t="str">
        <f>_xlfn.XLOOKUP(B38,'Payee Ref'!A:A,'Payee Ref'!B:B,"unassigned",0,1)</f>
        <v>Home &amp; Garden</v>
      </c>
      <c r="E38" s="29" t="str">
        <f>_xlfn.XLOOKUP(B38,'Payee Ref'!A:A,'Payee Ref'!C:C,"unassigned",0,1)</f>
        <v>Basic</v>
      </c>
      <c r="F38" s="28" t="s">
        <v>2207</v>
      </c>
    </row>
    <row r="39" spans="1:6" x14ac:dyDescent="0.2">
      <c r="A39" s="30">
        <v>45962</v>
      </c>
      <c r="B39" s="28" t="s">
        <v>867</v>
      </c>
      <c r="C39" s="28">
        <v>0.01</v>
      </c>
      <c r="D39" s="28" t="str">
        <f>_xlfn.XLOOKUP(B39,'Payee Ref'!A:A,'Payee Ref'!B:B,"unassigned",0,1)</f>
        <v>Professional</v>
      </c>
      <c r="E39" s="29" t="str">
        <f>_xlfn.XLOOKUP(B39,'Payee Ref'!A:A,'Payee Ref'!C:C,"unassigned",0,1)</f>
        <v>Luxury</v>
      </c>
      <c r="F39" s="28" t="s">
        <v>2207</v>
      </c>
    </row>
    <row r="40" spans="1:6" x14ac:dyDescent="0.2">
      <c r="A40" s="30">
        <v>45839</v>
      </c>
      <c r="B40" s="31" t="s">
        <v>1868</v>
      </c>
      <c r="C40" s="28">
        <v>0.01</v>
      </c>
      <c r="D40" s="28" t="str">
        <f>_xlfn.XLOOKUP(B40,'Payee Ref'!A:A,'Payee Ref'!B:B,"unassigned",0,1)</f>
        <v>Professional</v>
      </c>
      <c r="E40" s="29" t="str">
        <f>_xlfn.XLOOKUP(B40,'Payee Ref'!A:A,'Payee Ref'!C:C,"unassigned",0,1)</f>
        <v>Luxury</v>
      </c>
      <c r="F40" s="28" t="s">
        <v>2207</v>
      </c>
    </row>
    <row r="41" spans="1:6" x14ac:dyDescent="0.2">
      <c r="A41" s="30">
        <v>45809</v>
      </c>
      <c r="B41" s="31" t="s">
        <v>1968</v>
      </c>
      <c r="C41" s="28">
        <v>0.01</v>
      </c>
      <c r="D41" s="28" t="str">
        <f>_xlfn.XLOOKUP(B41,'Payee Ref'!A:A,'Payee Ref'!B:B,"unassigned",0,1)</f>
        <v>Professional</v>
      </c>
      <c r="E41" s="29" t="str">
        <f>_xlfn.XLOOKUP(B41,'Payee Ref'!A:A,'Payee Ref'!C:C,"unassigned",0,1)</f>
        <v>Luxury</v>
      </c>
      <c r="F41" s="28" t="s">
        <v>2207</v>
      </c>
    </row>
    <row r="42" spans="1:6" x14ac:dyDescent="0.2">
      <c r="A42" s="30">
        <v>45778</v>
      </c>
      <c r="B42" s="31" t="s">
        <v>2016</v>
      </c>
      <c r="C42" s="28">
        <v>0.01</v>
      </c>
      <c r="D42" s="28" t="str">
        <f>_xlfn.XLOOKUP(B42,'Payee Ref'!A:A,'Payee Ref'!B:B,"unassigned",0,1)</f>
        <v>Professional</v>
      </c>
      <c r="E42" s="29" t="str">
        <f>_xlfn.XLOOKUP(B42,'Payee Ref'!A:A,'Payee Ref'!C:C,"unassigned",0,1)</f>
        <v>Luxury</v>
      </c>
      <c r="F42" s="28" t="s">
        <v>2207</v>
      </c>
    </row>
    <row r="43" spans="1:6" x14ac:dyDescent="0.2">
      <c r="A43" s="30">
        <v>45748</v>
      </c>
      <c r="B43" s="28" t="s">
        <v>2054</v>
      </c>
      <c r="C43" s="28">
        <v>0.01</v>
      </c>
      <c r="D43" s="28" t="str">
        <f>_xlfn.XLOOKUP(B43,'Payee Ref'!A:A,'Payee Ref'!B:B,"unassigned",0,1)</f>
        <v>Professional</v>
      </c>
      <c r="E43" s="29" t="str">
        <f>_xlfn.XLOOKUP(B43,'Payee Ref'!A:A,'Payee Ref'!C:C,"unassigned",0,1)</f>
        <v>Luxury</v>
      </c>
      <c r="F43" s="28" t="s">
        <v>2207</v>
      </c>
    </row>
    <row r="44" spans="1:6" x14ac:dyDescent="0.2">
      <c r="A44" s="30">
        <v>45717</v>
      </c>
      <c r="B44" s="31" t="s">
        <v>2105</v>
      </c>
      <c r="C44" s="28">
        <v>0.01</v>
      </c>
      <c r="D44" s="28" t="str">
        <f>_xlfn.XLOOKUP(B44,'Payee Ref'!A:A,'Payee Ref'!B:B,"unassigned",0,1)</f>
        <v>Professional</v>
      </c>
      <c r="E44" s="29" t="str">
        <f>_xlfn.XLOOKUP(B44,'Payee Ref'!A:A,'Payee Ref'!C:C,"unassigned",0,1)</f>
        <v>Luxury</v>
      </c>
      <c r="F44" s="28" t="s">
        <v>2207</v>
      </c>
    </row>
    <row r="45" spans="1:6" x14ac:dyDescent="0.2">
      <c r="A45" s="30">
        <v>45689</v>
      </c>
      <c r="B45" s="31" t="s">
        <v>2142</v>
      </c>
      <c r="C45" s="28">
        <v>0.01</v>
      </c>
      <c r="D45" s="28" t="str">
        <f>_xlfn.XLOOKUP(B45,'Payee Ref'!A:A,'Payee Ref'!B:B,"unassigned",0,1)</f>
        <v>Professional</v>
      </c>
      <c r="E45" s="29" t="str">
        <f>_xlfn.XLOOKUP(B45,'Payee Ref'!A:A,'Payee Ref'!C:C,"unassigned",0,1)</f>
        <v>Luxury</v>
      </c>
      <c r="F45" s="28" t="s">
        <v>2207</v>
      </c>
    </row>
    <row r="46" spans="1:6" x14ac:dyDescent="0.2">
      <c r="A46" s="30">
        <v>45658</v>
      </c>
      <c r="B46" s="28" t="s">
        <v>2203</v>
      </c>
      <c r="C46" s="28">
        <v>0.01</v>
      </c>
      <c r="D46" s="28" t="str">
        <f>_xlfn.XLOOKUP(B46,'Payee Ref'!A:A,'Payee Ref'!B:B,"unassigned",0,1)</f>
        <v>Professional</v>
      </c>
      <c r="E46" s="29" t="str">
        <f>_xlfn.XLOOKUP(B46,'Payee Ref'!A:A,'Payee Ref'!C:C,"unassigned",0,1)</f>
        <v>Luxury</v>
      </c>
      <c r="F46" s="28" t="s">
        <v>2207</v>
      </c>
    </row>
    <row r="47" spans="1:6" x14ac:dyDescent="0.2">
      <c r="A47" s="30">
        <v>45870</v>
      </c>
      <c r="B47" s="28" t="s">
        <v>1762</v>
      </c>
      <c r="C47" s="28">
        <v>0.01</v>
      </c>
      <c r="D47" s="28" t="str">
        <f>_xlfn.XLOOKUP(B47,'Payee Ref'!A:A,'Payee Ref'!B:B,"unassigned",0,1)</f>
        <v>unassigned</v>
      </c>
      <c r="E47" s="29" t="str">
        <f>_xlfn.XLOOKUP(B47,'Payee Ref'!A:A,'Payee Ref'!C:C,"unassigned",0,1)</f>
        <v>unassigned</v>
      </c>
      <c r="F47" s="28" t="s">
        <v>2207</v>
      </c>
    </row>
    <row r="48" spans="1:6" x14ac:dyDescent="0.2">
      <c r="A48" s="30">
        <v>45901</v>
      </c>
      <c r="B48" s="28" t="s">
        <v>1670</v>
      </c>
      <c r="C48" s="28">
        <v>0.01</v>
      </c>
      <c r="D48" s="28" t="str">
        <f>_xlfn.XLOOKUP(B48,'Payee Ref'!A:A,'Payee Ref'!B:B,"unassigned",0,1)</f>
        <v>unassigned</v>
      </c>
      <c r="E48" s="29" t="str">
        <f>_xlfn.XLOOKUP(B48,'Payee Ref'!A:A,'Payee Ref'!C:C,"unassigned",0,1)</f>
        <v>unassigned</v>
      </c>
      <c r="F48" s="28" t="s">
        <v>2207</v>
      </c>
    </row>
    <row r="49" spans="1:6" x14ac:dyDescent="0.2">
      <c r="A49" s="30">
        <v>45931</v>
      </c>
      <c r="B49" s="31" t="s">
        <v>1608</v>
      </c>
      <c r="C49" s="28">
        <v>0.01</v>
      </c>
      <c r="D49" s="28" t="str">
        <f>_xlfn.XLOOKUP(B49,'Payee Ref'!A:A,'Payee Ref'!B:B,"unassigned",0,1)</f>
        <v>unassigned</v>
      </c>
      <c r="E49" s="29" t="str">
        <f>_xlfn.XLOOKUP(B49,'Payee Ref'!A:A,'Payee Ref'!C:C,"unassigned",0,1)</f>
        <v>unassigned</v>
      </c>
      <c r="F49" s="28" t="s">
        <v>2207</v>
      </c>
    </row>
    <row r="50" spans="1:6" x14ac:dyDescent="0.2">
      <c r="A50" s="30">
        <v>45846</v>
      </c>
      <c r="B50" s="28" t="s">
        <v>72</v>
      </c>
      <c r="C50" s="28">
        <v>0.23</v>
      </c>
      <c r="D50" s="28" t="str">
        <f>_xlfn.XLOOKUP(B50,'Payee Ref'!A:A,'Payee Ref'!B:B,"unassigned",0,1)</f>
        <v>Bank Fees</v>
      </c>
      <c r="E50" s="29" t="str">
        <f>_xlfn.XLOOKUP(B50,'Payee Ref'!A:A,'Payee Ref'!C:C,"unassigned",0,1)</f>
        <v>Luxury</v>
      </c>
      <c r="F50" s="28" t="s">
        <v>2207</v>
      </c>
    </row>
    <row r="51" spans="1:6" x14ac:dyDescent="0.2">
      <c r="A51" s="30">
        <v>45982</v>
      </c>
      <c r="B51" s="28" t="s">
        <v>40</v>
      </c>
      <c r="C51" s="28">
        <v>0.25</v>
      </c>
      <c r="D51" s="28" t="str">
        <f>_xlfn.XLOOKUP(B51,'Payee Ref'!A:A,'Payee Ref'!B:B,"unassigned",0,1)</f>
        <v>Auto</v>
      </c>
      <c r="E51" s="29" t="str">
        <f>_xlfn.XLOOKUP(B51,'Payee Ref'!A:A,'Payee Ref'!C:C,"unassigned",0,1)</f>
        <v>Basic</v>
      </c>
      <c r="F51" s="28" t="s">
        <v>2207</v>
      </c>
    </row>
    <row r="52" spans="1:6" x14ac:dyDescent="0.2">
      <c r="A52" s="30">
        <v>45982</v>
      </c>
      <c r="B52" s="28" t="s">
        <v>40</v>
      </c>
      <c r="C52" s="28">
        <v>0.5</v>
      </c>
      <c r="D52" s="28" t="str">
        <f>_xlfn.XLOOKUP(B52,'Payee Ref'!A:A,'Payee Ref'!B:B,"unassigned",0,1)</f>
        <v>Auto</v>
      </c>
      <c r="E52" s="29" t="str">
        <f>_xlfn.XLOOKUP(B52,'Payee Ref'!A:A,'Payee Ref'!C:C,"unassigned",0,1)</f>
        <v>Basic</v>
      </c>
      <c r="F52" s="28" t="s">
        <v>2207</v>
      </c>
    </row>
    <row r="53" spans="1:6" x14ac:dyDescent="0.2">
      <c r="A53" s="30">
        <v>45762</v>
      </c>
      <c r="B53" s="28" t="s">
        <v>1847</v>
      </c>
      <c r="C53" s="28">
        <v>0.5</v>
      </c>
      <c r="D53" s="28" t="str">
        <f>_xlfn.XLOOKUP(B53,'Payee Ref'!A:A,'Payee Ref'!B:B,"unassigned",0,1)</f>
        <v>Parking</v>
      </c>
      <c r="E53" s="29" t="str">
        <f>_xlfn.XLOOKUP(B53,'Payee Ref'!A:A,'Payee Ref'!C:C,"unassigned",0,1)</f>
        <v>Basic</v>
      </c>
      <c r="F53" s="28" t="s">
        <v>2207</v>
      </c>
    </row>
    <row r="54" spans="1:6" x14ac:dyDescent="0.2">
      <c r="A54" s="30">
        <v>45869</v>
      </c>
      <c r="B54" s="28" t="s">
        <v>1550</v>
      </c>
      <c r="C54" s="28">
        <v>0.5</v>
      </c>
      <c r="D54" s="28" t="str">
        <f>_xlfn.XLOOKUP(B54,'Payee Ref'!A:A,'Payee Ref'!B:B,"unassigned",0,1)</f>
        <v>unassigned</v>
      </c>
      <c r="E54" s="29" t="str">
        <f>_xlfn.XLOOKUP(B54,'Payee Ref'!A:A,'Payee Ref'!C:C,"unassigned",0,1)</f>
        <v>unassigned</v>
      </c>
      <c r="F54" s="28" t="s">
        <v>2207</v>
      </c>
    </row>
    <row r="55" spans="1:6" x14ac:dyDescent="0.2">
      <c r="A55" s="30">
        <v>45875</v>
      </c>
      <c r="B55" s="28" t="s">
        <v>1550</v>
      </c>
      <c r="C55" s="28">
        <v>0.5</v>
      </c>
      <c r="D55" s="28" t="str">
        <f>_xlfn.XLOOKUP(B55,'Payee Ref'!A:A,'Payee Ref'!B:B,"unassigned",0,1)</f>
        <v>unassigned</v>
      </c>
      <c r="E55" s="29" t="str">
        <f>_xlfn.XLOOKUP(B55,'Payee Ref'!A:A,'Payee Ref'!C:C,"unassigned",0,1)</f>
        <v>unassigned</v>
      </c>
      <c r="F55" s="28" t="s">
        <v>2207</v>
      </c>
    </row>
    <row r="56" spans="1:6" x14ac:dyDescent="0.2">
      <c r="A56" s="30">
        <v>45822</v>
      </c>
      <c r="B56" s="31" t="s">
        <v>1934</v>
      </c>
      <c r="C56" s="28">
        <v>0.67</v>
      </c>
      <c r="D56" s="28" t="str">
        <f>_xlfn.XLOOKUP(B56,'Payee Ref'!A:A,'Payee Ref'!B:B,"unassigned",0,1)</f>
        <v>Auto</v>
      </c>
      <c r="E56" s="29" t="str">
        <f>_xlfn.XLOOKUP(B56,'Payee Ref'!A:A,'Payee Ref'!C:C,"unassigned",0,1)</f>
        <v>Basic</v>
      </c>
      <c r="F56" s="28" t="s">
        <v>2207</v>
      </c>
    </row>
    <row r="57" spans="1:6" x14ac:dyDescent="0.2">
      <c r="A57" s="30">
        <v>45835</v>
      </c>
      <c r="B57" s="28" t="s">
        <v>1893</v>
      </c>
      <c r="C57" s="28">
        <v>0.76</v>
      </c>
      <c r="D57" s="28" t="str">
        <f>_xlfn.XLOOKUP(B57,'Payee Ref'!A:A,'Payee Ref'!B:B,"unassigned",0,1)</f>
        <v>Travel</v>
      </c>
      <c r="E57" s="29" t="str">
        <f>_xlfn.XLOOKUP(B57,'Payee Ref'!A:A,'Payee Ref'!C:C,"unassigned",0,1)</f>
        <v>Luxury</v>
      </c>
      <c r="F57" s="28" t="s">
        <v>2207</v>
      </c>
    </row>
    <row r="58" spans="1:6" x14ac:dyDescent="0.2">
      <c r="A58" s="30">
        <v>45858</v>
      </c>
      <c r="B58" s="28" t="s">
        <v>1817</v>
      </c>
      <c r="C58" s="28">
        <v>0.8</v>
      </c>
      <c r="D58" s="28" t="str">
        <f>_xlfn.XLOOKUP(B58,'Payee Ref'!A:A,'Payee Ref'!B:B,"unassigned",0,1)</f>
        <v>unassigned</v>
      </c>
      <c r="E58" s="29" t="str">
        <f>_xlfn.XLOOKUP(B58,'Payee Ref'!A:A,'Payee Ref'!C:C,"unassigned",0,1)</f>
        <v>unassigned</v>
      </c>
      <c r="F58" s="28" t="s">
        <v>2207</v>
      </c>
    </row>
    <row r="59" spans="1:6" x14ac:dyDescent="0.2">
      <c r="A59" s="30">
        <v>45719</v>
      </c>
      <c r="B59" s="28" t="s">
        <v>1847</v>
      </c>
      <c r="C59" s="28">
        <v>0.85</v>
      </c>
      <c r="D59" s="28" t="str">
        <f>_xlfn.XLOOKUP(B59,'Payee Ref'!A:A,'Payee Ref'!B:B,"unassigned",0,1)</f>
        <v>Parking</v>
      </c>
      <c r="E59" s="29" t="str">
        <f>_xlfn.XLOOKUP(B59,'Payee Ref'!A:A,'Payee Ref'!C:C,"unassigned",0,1)</f>
        <v>Basic</v>
      </c>
      <c r="F59" s="28" t="s">
        <v>2207</v>
      </c>
    </row>
    <row r="60" spans="1:6" x14ac:dyDescent="0.2">
      <c r="A60" s="30">
        <v>45882</v>
      </c>
      <c r="B60" s="28" t="s">
        <v>1550</v>
      </c>
      <c r="C60" s="28">
        <v>1</v>
      </c>
      <c r="D60" s="28" t="str">
        <f>_xlfn.XLOOKUP(B60,'Payee Ref'!A:A,'Payee Ref'!B:B,"unassigned",0,1)</f>
        <v>unassigned</v>
      </c>
      <c r="E60" s="29" t="str">
        <f>_xlfn.XLOOKUP(B60,'Payee Ref'!A:A,'Payee Ref'!C:C,"unassigned",0,1)</f>
        <v>unassigned</v>
      </c>
      <c r="F60" s="28" t="s">
        <v>2207</v>
      </c>
    </row>
    <row r="61" spans="1:6" x14ac:dyDescent="0.2">
      <c r="A61" s="30">
        <v>45761</v>
      </c>
      <c r="B61" s="28" t="s">
        <v>1847</v>
      </c>
      <c r="C61" s="28">
        <v>1.08</v>
      </c>
      <c r="D61" s="28" t="str">
        <f>_xlfn.XLOOKUP(B61,'Payee Ref'!A:A,'Payee Ref'!B:B,"unassigned",0,1)</f>
        <v>Parking</v>
      </c>
      <c r="E61" s="29" t="str">
        <f>_xlfn.XLOOKUP(B61,'Payee Ref'!A:A,'Payee Ref'!C:C,"unassigned",0,1)</f>
        <v>Basic</v>
      </c>
      <c r="F61" s="28" t="s">
        <v>2207</v>
      </c>
    </row>
    <row r="62" spans="1:6" x14ac:dyDescent="0.2">
      <c r="A62" s="30">
        <v>45661</v>
      </c>
      <c r="B62" s="31" t="s">
        <v>1543</v>
      </c>
      <c r="C62" s="28">
        <v>1.0900000000000001</v>
      </c>
      <c r="D62" s="28" t="str">
        <f>_xlfn.XLOOKUP(B62,'Payee Ref'!A:A,'Payee Ref'!B:B,"unassigned",0,1)</f>
        <v>Subscriptions / Digital</v>
      </c>
      <c r="E62" s="29" t="str">
        <f>_xlfn.XLOOKUP(B62,'Payee Ref'!A:A,'Payee Ref'!C:C,"unassigned",0,1)</f>
        <v>Luxury</v>
      </c>
      <c r="F62" s="28" t="s">
        <v>2207</v>
      </c>
    </row>
    <row r="63" spans="1:6" x14ac:dyDescent="0.2">
      <c r="A63" s="30">
        <v>45750</v>
      </c>
      <c r="B63" s="28" t="s">
        <v>2051</v>
      </c>
      <c r="C63" s="28">
        <v>1.17</v>
      </c>
      <c r="D63" s="28" t="str">
        <f>_xlfn.XLOOKUP(B63,'Payee Ref'!A:A,'Payee Ref'!B:B,"unassigned",0,1)</f>
        <v>Travel</v>
      </c>
      <c r="E63" s="29" t="str">
        <f>_xlfn.XLOOKUP(B63,'Payee Ref'!A:A,'Payee Ref'!C:C,"unassigned",0,1)</f>
        <v>Luxury</v>
      </c>
      <c r="F63" s="28" t="s">
        <v>2207</v>
      </c>
    </row>
    <row r="64" spans="1:6" x14ac:dyDescent="0.2">
      <c r="A64" s="30">
        <v>45944</v>
      </c>
      <c r="B64" s="28" t="s">
        <v>40</v>
      </c>
      <c r="C64" s="28">
        <v>1.25</v>
      </c>
      <c r="D64" s="28" t="str">
        <f>_xlfn.XLOOKUP(B64,'Payee Ref'!A:A,'Payee Ref'!B:B,"unassigned",0,1)</f>
        <v>Auto</v>
      </c>
      <c r="E64" s="29" t="str">
        <f>_xlfn.XLOOKUP(B64,'Payee Ref'!A:A,'Payee Ref'!C:C,"unassigned",0,1)</f>
        <v>Basic</v>
      </c>
      <c r="F64" s="28" t="s">
        <v>2207</v>
      </c>
    </row>
    <row r="65" spans="1:6" x14ac:dyDescent="0.2">
      <c r="A65" s="30">
        <v>45880</v>
      </c>
      <c r="B65" s="28" t="s">
        <v>1727</v>
      </c>
      <c r="C65" s="28">
        <v>1.25</v>
      </c>
      <c r="D65" s="28" t="str">
        <f>_xlfn.XLOOKUP(B65,'Payee Ref'!A:A,'Payee Ref'!B:B,"unassigned",0,1)</f>
        <v>unassigned</v>
      </c>
      <c r="E65" s="29" t="str">
        <f>_xlfn.XLOOKUP(B65,'Payee Ref'!A:A,'Payee Ref'!C:C,"unassigned",0,1)</f>
        <v>unassigned</v>
      </c>
      <c r="F65" s="28" t="s">
        <v>2207</v>
      </c>
    </row>
    <row r="66" spans="1:6" x14ac:dyDescent="0.2">
      <c r="A66" s="30">
        <v>45880</v>
      </c>
      <c r="B66" s="28" t="s">
        <v>1727</v>
      </c>
      <c r="C66" s="28">
        <v>1.25</v>
      </c>
      <c r="D66" s="28" t="str">
        <f>_xlfn.XLOOKUP(B66,'Payee Ref'!A:A,'Payee Ref'!B:B,"unassigned",0,1)</f>
        <v>unassigned</v>
      </c>
      <c r="E66" s="29" t="str">
        <f>_xlfn.XLOOKUP(B66,'Payee Ref'!A:A,'Payee Ref'!C:C,"unassigned",0,1)</f>
        <v>unassigned</v>
      </c>
      <c r="F66" s="28" t="s">
        <v>2207</v>
      </c>
    </row>
    <row r="67" spans="1:6" x14ac:dyDescent="0.2">
      <c r="A67" s="30">
        <v>45881</v>
      </c>
      <c r="B67" s="28" t="s">
        <v>1727</v>
      </c>
      <c r="C67" s="28">
        <v>1.25</v>
      </c>
      <c r="D67" s="28" t="str">
        <f>_xlfn.XLOOKUP(B67,'Payee Ref'!A:A,'Payee Ref'!B:B,"unassigned",0,1)</f>
        <v>unassigned</v>
      </c>
      <c r="E67" s="29" t="str">
        <f>_xlfn.XLOOKUP(B67,'Payee Ref'!A:A,'Payee Ref'!C:C,"unassigned",0,1)</f>
        <v>unassigned</v>
      </c>
      <c r="F67" s="28" t="s">
        <v>2207</v>
      </c>
    </row>
    <row r="68" spans="1:6" x14ac:dyDescent="0.2">
      <c r="A68" s="30">
        <v>45883</v>
      </c>
      <c r="B68" s="28" t="s">
        <v>1727</v>
      </c>
      <c r="C68" s="28">
        <v>1.25</v>
      </c>
      <c r="D68" s="28" t="str">
        <f>_xlfn.XLOOKUP(B68,'Payee Ref'!A:A,'Payee Ref'!B:B,"unassigned",0,1)</f>
        <v>unassigned</v>
      </c>
      <c r="E68" s="29" t="str">
        <f>_xlfn.XLOOKUP(B68,'Payee Ref'!A:A,'Payee Ref'!C:C,"unassigned",0,1)</f>
        <v>unassigned</v>
      </c>
      <c r="F68" s="28" t="s">
        <v>2207</v>
      </c>
    </row>
    <row r="69" spans="1:6" x14ac:dyDescent="0.2">
      <c r="A69" s="30">
        <v>45883</v>
      </c>
      <c r="B69" s="28" t="s">
        <v>1727</v>
      </c>
      <c r="C69" s="28">
        <v>1.25</v>
      </c>
      <c r="D69" s="28" t="str">
        <f>_xlfn.XLOOKUP(B69,'Payee Ref'!A:A,'Payee Ref'!B:B,"unassigned",0,1)</f>
        <v>unassigned</v>
      </c>
      <c r="E69" s="29" t="str">
        <f>_xlfn.XLOOKUP(B69,'Payee Ref'!A:A,'Payee Ref'!C:C,"unassigned",0,1)</f>
        <v>unassigned</v>
      </c>
      <c r="F69" s="28" t="s">
        <v>2207</v>
      </c>
    </row>
    <row r="70" spans="1:6" x14ac:dyDescent="0.2">
      <c r="A70" s="30">
        <v>45836</v>
      </c>
      <c r="B70" s="28" t="s">
        <v>1880</v>
      </c>
      <c r="C70" s="28">
        <v>1.35</v>
      </c>
      <c r="D70" s="28" t="str">
        <f>_xlfn.XLOOKUP(B70,'Payee Ref'!A:A,'Payee Ref'!B:B,"unassigned",0,1)</f>
        <v>Travel</v>
      </c>
      <c r="E70" s="29" t="str">
        <f>_xlfn.XLOOKUP(B70,'Payee Ref'!A:A,'Payee Ref'!C:C,"unassigned",0,1)</f>
        <v>Luxury</v>
      </c>
      <c r="F70" s="28" t="s">
        <v>2207</v>
      </c>
    </row>
    <row r="71" spans="1:6" x14ac:dyDescent="0.2">
      <c r="A71" s="30">
        <v>45880</v>
      </c>
      <c r="B71" s="28" t="s">
        <v>1727</v>
      </c>
      <c r="C71" s="28">
        <v>1.35</v>
      </c>
      <c r="D71" s="28" t="str">
        <f>_xlfn.XLOOKUP(B71,'Payee Ref'!A:A,'Payee Ref'!B:B,"unassigned",0,1)</f>
        <v>unassigned</v>
      </c>
      <c r="E71" s="29" t="str">
        <f>_xlfn.XLOOKUP(B71,'Payee Ref'!A:A,'Payee Ref'!C:C,"unassigned",0,1)</f>
        <v>unassigned</v>
      </c>
      <c r="F71" s="28" t="s">
        <v>2207</v>
      </c>
    </row>
    <row r="72" spans="1:6" x14ac:dyDescent="0.2">
      <c r="A72" s="30">
        <v>45825</v>
      </c>
      <c r="B72" s="28" t="s">
        <v>1847</v>
      </c>
      <c r="C72" s="28">
        <v>1.38</v>
      </c>
      <c r="D72" s="28" t="str">
        <f>_xlfn.XLOOKUP(B72,'Payee Ref'!A:A,'Payee Ref'!B:B,"unassigned",0,1)</f>
        <v>Parking</v>
      </c>
      <c r="E72" s="29" t="str">
        <f>_xlfn.XLOOKUP(B72,'Payee Ref'!A:A,'Payee Ref'!C:C,"unassigned",0,1)</f>
        <v>Basic</v>
      </c>
      <c r="F72" s="28" t="s">
        <v>2207</v>
      </c>
    </row>
    <row r="73" spans="1:6" x14ac:dyDescent="0.2">
      <c r="A73" s="30">
        <v>45834</v>
      </c>
      <c r="B73" s="28" t="s">
        <v>1895</v>
      </c>
      <c r="C73" s="28">
        <v>1.4</v>
      </c>
      <c r="D73" s="28" t="str">
        <f>_xlfn.XLOOKUP(B73,'Payee Ref'!A:A,'Payee Ref'!B:B,"unassigned",0,1)</f>
        <v>Travel</v>
      </c>
      <c r="E73" s="29" t="str">
        <f>_xlfn.XLOOKUP(B73,'Payee Ref'!A:A,'Payee Ref'!C:C,"unassigned",0,1)</f>
        <v>Luxury</v>
      </c>
      <c r="F73" s="28" t="s">
        <v>2207</v>
      </c>
    </row>
    <row r="74" spans="1:6" x14ac:dyDescent="0.2">
      <c r="A74" s="30">
        <v>45664</v>
      </c>
      <c r="B74" s="31" t="s">
        <v>1543</v>
      </c>
      <c r="C74" s="28">
        <v>1.42</v>
      </c>
      <c r="D74" s="28" t="str">
        <f>_xlfn.XLOOKUP(B74,'Payee Ref'!A:A,'Payee Ref'!B:B,"unassigned",0,1)</f>
        <v>Subscriptions / Digital</v>
      </c>
      <c r="E74" s="29" t="str">
        <f>_xlfn.XLOOKUP(B74,'Payee Ref'!A:A,'Payee Ref'!C:C,"unassigned",0,1)</f>
        <v>Luxury</v>
      </c>
      <c r="F74" s="28" t="s">
        <v>2207</v>
      </c>
    </row>
    <row r="75" spans="1:6" x14ac:dyDescent="0.2">
      <c r="A75" s="30">
        <v>45680</v>
      </c>
      <c r="B75" s="28" t="s">
        <v>1571</v>
      </c>
      <c r="C75" s="28">
        <v>1.45</v>
      </c>
      <c r="D75" s="28" t="str">
        <f>_xlfn.XLOOKUP(B75,'Payee Ref'!A:A,'Payee Ref'!B:B,"unassigned",0,1)</f>
        <v>Travel</v>
      </c>
      <c r="E75" s="29" t="str">
        <f>_xlfn.XLOOKUP(B75,'Payee Ref'!A:A,'Payee Ref'!C:C,"unassigned",0,1)</f>
        <v>Luxury</v>
      </c>
      <c r="F75" s="28" t="s">
        <v>2207</v>
      </c>
    </row>
    <row r="76" spans="1:6" x14ac:dyDescent="0.2">
      <c r="A76" s="30">
        <v>45847</v>
      </c>
      <c r="B76" s="28" t="s">
        <v>1847</v>
      </c>
      <c r="C76" s="28">
        <v>1.47</v>
      </c>
      <c r="D76" s="28" t="str">
        <f>_xlfn.XLOOKUP(B76,'Payee Ref'!A:A,'Payee Ref'!B:B,"unassigned",0,1)</f>
        <v>Parking</v>
      </c>
      <c r="E76" s="29" t="str">
        <f>_xlfn.XLOOKUP(B76,'Payee Ref'!A:A,'Payee Ref'!C:C,"unassigned",0,1)</f>
        <v>Basic</v>
      </c>
      <c r="F76" s="28" t="s">
        <v>2207</v>
      </c>
    </row>
    <row r="77" spans="1:6" x14ac:dyDescent="0.2">
      <c r="A77" s="30">
        <v>45948</v>
      </c>
      <c r="B77" s="28" t="s">
        <v>40</v>
      </c>
      <c r="C77" s="28">
        <v>1.5</v>
      </c>
      <c r="D77" s="28" t="str">
        <f>_xlfn.XLOOKUP(B77,'Payee Ref'!A:A,'Payee Ref'!B:B,"unassigned",0,1)</f>
        <v>Auto</v>
      </c>
      <c r="E77" s="29" t="str">
        <f>_xlfn.XLOOKUP(B77,'Payee Ref'!A:A,'Payee Ref'!C:C,"unassigned",0,1)</f>
        <v>Basic</v>
      </c>
      <c r="F77" s="28" t="s">
        <v>2207</v>
      </c>
    </row>
    <row r="78" spans="1:6" x14ac:dyDescent="0.2">
      <c r="A78" s="30">
        <v>45835</v>
      </c>
      <c r="B78" s="28" t="s">
        <v>1847</v>
      </c>
      <c r="C78" s="28">
        <v>1.5</v>
      </c>
      <c r="D78" s="28" t="str">
        <f>_xlfn.XLOOKUP(B78,'Payee Ref'!A:A,'Payee Ref'!B:B,"unassigned",0,1)</f>
        <v>Parking</v>
      </c>
      <c r="E78" s="29" t="str">
        <f>_xlfn.XLOOKUP(B78,'Payee Ref'!A:A,'Payee Ref'!C:C,"unassigned",0,1)</f>
        <v>Basic</v>
      </c>
      <c r="F78" s="28" t="s">
        <v>2207</v>
      </c>
    </row>
    <row r="79" spans="1:6" x14ac:dyDescent="0.2">
      <c r="A79" s="30">
        <v>45835</v>
      </c>
      <c r="B79" s="28" t="s">
        <v>1847</v>
      </c>
      <c r="C79" s="28">
        <v>1.5</v>
      </c>
      <c r="D79" s="28" t="str">
        <f>_xlfn.XLOOKUP(B79,'Payee Ref'!A:A,'Payee Ref'!B:B,"unassigned",0,1)</f>
        <v>Parking</v>
      </c>
      <c r="E79" s="29" t="str">
        <f>_xlfn.XLOOKUP(B79,'Payee Ref'!A:A,'Payee Ref'!C:C,"unassigned",0,1)</f>
        <v>Basic</v>
      </c>
      <c r="F79" s="28" t="s">
        <v>2207</v>
      </c>
    </row>
    <row r="80" spans="1:6" x14ac:dyDescent="0.2">
      <c r="A80" s="30">
        <v>45681</v>
      </c>
      <c r="B80" s="28" t="s">
        <v>1847</v>
      </c>
      <c r="C80" s="28">
        <v>1.5</v>
      </c>
      <c r="D80" s="28" t="str">
        <f>_xlfn.XLOOKUP(B80,'Payee Ref'!A:A,'Payee Ref'!B:B,"unassigned",0,1)</f>
        <v>Parking</v>
      </c>
      <c r="E80" s="29" t="str">
        <f>_xlfn.XLOOKUP(B80,'Payee Ref'!A:A,'Payee Ref'!C:C,"unassigned",0,1)</f>
        <v>Basic</v>
      </c>
      <c r="F80" s="28" t="s">
        <v>2207</v>
      </c>
    </row>
    <row r="81" spans="1:6" x14ac:dyDescent="0.2">
      <c r="A81" s="30">
        <v>45869</v>
      </c>
      <c r="B81" s="28" t="s">
        <v>1550</v>
      </c>
      <c r="C81" s="28">
        <v>1.5</v>
      </c>
      <c r="D81" s="28" t="str">
        <f>_xlfn.XLOOKUP(B81,'Payee Ref'!A:A,'Payee Ref'!B:B,"unassigned",0,1)</f>
        <v>unassigned</v>
      </c>
      <c r="E81" s="29" t="str">
        <f>_xlfn.XLOOKUP(B81,'Payee Ref'!A:A,'Payee Ref'!C:C,"unassigned",0,1)</f>
        <v>unassigned</v>
      </c>
      <c r="F81" s="28" t="s">
        <v>2207</v>
      </c>
    </row>
    <row r="82" spans="1:6" x14ac:dyDescent="0.2">
      <c r="A82" s="30">
        <v>45881</v>
      </c>
      <c r="B82" s="28" t="s">
        <v>1550</v>
      </c>
      <c r="C82" s="28">
        <v>1.5</v>
      </c>
      <c r="D82" s="28" t="str">
        <f>_xlfn.XLOOKUP(B82,'Payee Ref'!A:A,'Payee Ref'!B:B,"unassigned",0,1)</f>
        <v>unassigned</v>
      </c>
      <c r="E82" s="29" t="str">
        <f>_xlfn.XLOOKUP(B82,'Payee Ref'!A:A,'Payee Ref'!C:C,"unassigned",0,1)</f>
        <v>unassigned</v>
      </c>
      <c r="F82" s="28" t="s">
        <v>2207</v>
      </c>
    </row>
    <row r="83" spans="1:6" x14ac:dyDescent="0.2">
      <c r="A83" s="30">
        <v>45918</v>
      </c>
      <c r="B83" s="28" t="s">
        <v>1642</v>
      </c>
      <c r="C83" s="28">
        <v>1.5</v>
      </c>
      <c r="D83" s="28" t="str">
        <f>_xlfn.XLOOKUP(B83,'Payee Ref'!A:A,'Payee Ref'!B:B,"unassigned",0,1)</f>
        <v>unassigned</v>
      </c>
      <c r="E83" s="29" t="str">
        <f>_xlfn.XLOOKUP(B83,'Payee Ref'!A:A,'Payee Ref'!C:C,"unassigned",0,1)</f>
        <v>unassigned</v>
      </c>
      <c r="F83" s="28" t="s">
        <v>2207</v>
      </c>
    </row>
    <row r="84" spans="1:6" x14ac:dyDescent="0.2">
      <c r="A84" s="30">
        <v>45881</v>
      </c>
      <c r="B84" s="28" t="s">
        <v>1727</v>
      </c>
      <c r="C84" s="28">
        <v>1.6</v>
      </c>
      <c r="D84" s="28" t="str">
        <f>_xlfn.XLOOKUP(B84,'Payee Ref'!A:A,'Payee Ref'!B:B,"unassigned",0,1)</f>
        <v>unassigned</v>
      </c>
      <c r="E84" s="29" t="str">
        <f>_xlfn.XLOOKUP(B84,'Payee Ref'!A:A,'Payee Ref'!C:C,"unassigned",0,1)</f>
        <v>unassigned</v>
      </c>
      <c r="F84" s="28" t="s">
        <v>2207</v>
      </c>
    </row>
    <row r="85" spans="1:6" x14ac:dyDescent="0.2">
      <c r="A85" s="30">
        <v>45883</v>
      </c>
      <c r="B85" s="28" t="s">
        <v>1727</v>
      </c>
      <c r="C85" s="28">
        <v>1.6</v>
      </c>
      <c r="D85" s="28" t="str">
        <f>_xlfn.XLOOKUP(B85,'Payee Ref'!A:A,'Payee Ref'!B:B,"unassigned",0,1)</f>
        <v>unassigned</v>
      </c>
      <c r="E85" s="29" t="str">
        <f>_xlfn.XLOOKUP(B85,'Payee Ref'!A:A,'Payee Ref'!C:C,"unassigned",0,1)</f>
        <v>unassigned</v>
      </c>
      <c r="F85" s="28" t="s">
        <v>2207</v>
      </c>
    </row>
    <row r="86" spans="1:6" x14ac:dyDescent="0.2">
      <c r="A86" s="30">
        <v>45761</v>
      </c>
      <c r="B86" s="28" t="s">
        <v>1847</v>
      </c>
      <c r="C86" s="28">
        <v>1.63</v>
      </c>
      <c r="D86" s="28" t="str">
        <f>_xlfn.XLOOKUP(B86,'Payee Ref'!A:A,'Payee Ref'!B:B,"unassigned",0,1)</f>
        <v>Parking</v>
      </c>
      <c r="E86" s="29" t="str">
        <f>_xlfn.XLOOKUP(B86,'Payee Ref'!A:A,'Payee Ref'!C:C,"unassigned",0,1)</f>
        <v>Basic</v>
      </c>
      <c r="F86" s="28" t="s">
        <v>2207</v>
      </c>
    </row>
    <row r="87" spans="1:6" x14ac:dyDescent="0.2">
      <c r="A87" s="30">
        <v>45787</v>
      </c>
      <c r="B87" s="28" t="s">
        <v>2003</v>
      </c>
      <c r="C87" s="28">
        <v>1.65</v>
      </c>
      <c r="D87" s="28" t="str">
        <f>_xlfn.XLOOKUP(B87,'Payee Ref'!A:A,'Payee Ref'!B:B,"unassigned",0,1)</f>
        <v>Travel</v>
      </c>
      <c r="E87" s="29" t="str">
        <f>_xlfn.XLOOKUP(B87,'Payee Ref'!A:A,'Payee Ref'!C:C,"unassigned",0,1)</f>
        <v>Luxury</v>
      </c>
      <c r="F87" s="28" t="s">
        <v>2207</v>
      </c>
    </row>
    <row r="88" spans="1:6" x14ac:dyDescent="0.2">
      <c r="A88" s="30">
        <v>45957</v>
      </c>
      <c r="B88" s="28" t="s">
        <v>520</v>
      </c>
      <c r="C88" s="28">
        <v>1.66</v>
      </c>
      <c r="D88" s="28" t="str">
        <f>_xlfn.XLOOKUP(B88,'Payee Ref'!A:A,'Payee Ref'!B:B,"unassigned",0,1)</f>
        <v>Travel</v>
      </c>
      <c r="E88" s="29" t="str">
        <f>_xlfn.XLOOKUP(B88,'Payee Ref'!A:A,'Payee Ref'!C:C,"unassigned",0,1)</f>
        <v>Luxury</v>
      </c>
      <c r="F88" s="28" t="s">
        <v>2207</v>
      </c>
    </row>
    <row r="89" spans="1:6" x14ac:dyDescent="0.2">
      <c r="A89" s="30">
        <v>45898</v>
      </c>
      <c r="B89" s="28" t="s">
        <v>1550</v>
      </c>
      <c r="C89" s="28">
        <v>1.72</v>
      </c>
      <c r="D89" s="28" t="str">
        <f>_xlfn.XLOOKUP(B89,'Payee Ref'!A:A,'Payee Ref'!B:B,"unassigned",0,1)</f>
        <v>unassigned</v>
      </c>
      <c r="E89" s="29" t="str">
        <f>_xlfn.XLOOKUP(B89,'Payee Ref'!A:A,'Payee Ref'!C:C,"unassigned",0,1)</f>
        <v>unassigned</v>
      </c>
      <c r="F89" s="28" t="s">
        <v>2207</v>
      </c>
    </row>
    <row r="90" spans="1:6" x14ac:dyDescent="0.2">
      <c r="A90" s="30">
        <v>45877</v>
      </c>
      <c r="B90" s="28" t="s">
        <v>72</v>
      </c>
      <c r="C90" s="28">
        <v>1.73</v>
      </c>
      <c r="D90" s="28" t="str">
        <f>_xlfn.XLOOKUP(B90,'Payee Ref'!A:A,'Payee Ref'!B:B,"unassigned",0,1)</f>
        <v>Bank Fees</v>
      </c>
      <c r="E90" s="29" t="str">
        <f>_xlfn.XLOOKUP(B90,'Payee Ref'!A:A,'Payee Ref'!C:C,"unassigned",0,1)</f>
        <v>Luxury</v>
      </c>
      <c r="F90" s="28" t="s">
        <v>2207</v>
      </c>
    </row>
    <row r="91" spans="1:6" x14ac:dyDescent="0.2">
      <c r="A91" s="30">
        <v>45831</v>
      </c>
      <c r="B91" s="28" t="s">
        <v>1909</v>
      </c>
      <c r="C91" s="28">
        <v>1.73</v>
      </c>
      <c r="D91" s="28" t="str">
        <f>_xlfn.XLOOKUP(B91,'Payee Ref'!A:A,'Payee Ref'!B:B,"unassigned",0,1)</f>
        <v>Travel</v>
      </c>
      <c r="E91" s="29" t="str">
        <f>_xlfn.XLOOKUP(B91,'Payee Ref'!A:A,'Payee Ref'!C:C,"unassigned",0,1)</f>
        <v>Luxury</v>
      </c>
      <c r="F91" s="28" t="s">
        <v>2207</v>
      </c>
    </row>
    <row r="92" spans="1:6" x14ac:dyDescent="0.2">
      <c r="A92" s="30">
        <v>45831</v>
      </c>
      <c r="B92" s="28" t="s">
        <v>1847</v>
      </c>
      <c r="C92" s="28">
        <v>2</v>
      </c>
      <c r="D92" s="28" t="str">
        <f>_xlfn.XLOOKUP(B92,'Payee Ref'!A:A,'Payee Ref'!B:B,"unassigned",0,1)</f>
        <v>Parking</v>
      </c>
      <c r="E92" s="29" t="str">
        <f>_xlfn.XLOOKUP(B92,'Payee Ref'!A:A,'Payee Ref'!C:C,"unassigned",0,1)</f>
        <v>Basic</v>
      </c>
      <c r="F92" s="28" t="s">
        <v>2207</v>
      </c>
    </row>
    <row r="93" spans="1:6" x14ac:dyDescent="0.2">
      <c r="A93" s="30">
        <v>45759</v>
      </c>
      <c r="B93" s="28" t="s">
        <v>1847</v>
      </c>
      <c r="C93" s="28">
        <v>2</v>
      </c>
      <c r="D93" s="28" t="str">
        <f>_xlfn.XLOOKUP(B93,'Payee Ref'!A:A,'Payee Ref'!B:B,"unassigned",0,1)</f>
        <v>Parking</v>
      </c>
      <c r="E93" s="29" t="str">
        <f>_xlfn.XLOOKUP(B93,'Payee Ref'!A:A,'Payee Ref'!C:C,"unassigned",0,1)</f>
        <v>Basic</v>
      </c>
      <c r="F93" s="28" t="s">
        <v>2207</v>
      </c>
    </row>
    <row r="94" spans="1:6" x14ac:dyDescent="0.2">
      <c r="A94" s="30">
        <v>45958</v>
      </c>
      <c r="B94" s="28" t="s">
        <v>852</v>
      </c>
      <c r="C94" s="28">
        <v>2</v>
      </c>
      <c r="D94" s="28" t="str">
        <f>_xlfn.XLOOKUP(B94,'Payee Ref'!A:A,'Payee Ref'!B:B,"unassigned",0,1)</f>
        <v>Pharmacy</v>
      </c>
      <c r="E94" s="29" t="str">
        <f>_xlfn.XLOOKUP(B94,'Payee Ref'!A:A,'Payee Ref'!C:C,"unassigned",0,1)</f>
        <v>Basic</v>
      </c>
      <c r="F94" s="28" t="s">
        <v>2207</v>
      </c>
    </row>
    <row r="95" spans="1:6" x14ac:dyDescent="0.2">
      <c r="A95" s="30">
        <v>45889</v>
      </c>
      <c r="B95" s="28" t="s">
        <v>1550</v>
      </c>
      <c r="C95" s="28">
        <v>2</v>
      </c>
      <c r="D95" s="28" t="str">
        <f>_xlfn.XLOOKUP(B95,'Payee Ref'!A:A,'Payee Ref'!B:B,"unassigned",0,1)</f>
        <v>unassigned</v>
      </c>
      <c r="E95" s="29" t="str">
        <f>_xlfn.XLOOKUP(B95,'Payee Ref'!A:A,'Payee Ref'!C:C,"unassigned",0,1)</f>
        <v>unassigned</v>
      </c>
      <c r="F95" s="28" t="s">
        <v>2207</v>
      </c>
    </row>
    <row r="96" spans="1:6" x14ac:dyDescent="0.2">
      <c r="A96" s="30">
        <v>45868</v>
      </c>
      <c r="B96" s="28" t="s">
        <v>1772</v>
      </c>
      <c r="C96" s="28">
        <v>2.0299999999999998</v>
      </c>
      <c r="D96" s="28" t="str">
        <f>_xlfn.XLOOKUP(B96,'Payee Ref'!A:A,'Payee Ref'!B:B,"unassigned",0,1)</f>
        <v>Travel</v>
      </c>
      <c r="E96" s="29" t="str">
        <f>_xlfn.XLOOKUP(B96,'Payee Ref'!A:A,'Payee Ref'!C:C,"unassigned",0,1)</f>
        <v>Luxury</v>
      </c>
      <c r="F96" s="28" t="s">
        <v>2207</v>
      </c>
    </row>
    <row r="97" spans="1:6" x14ac:dyDescent="0.2">
      <c r="A97" s="30">
        <v>45747</v>
      </c>
      <c r="B97" s="28" t="s">
        <v>1847</v>
      </c>
      <c r="C97" s="28">
        <v>2.0699999999999998</v>
      </c>
      <c r="D97" s="28" t="str">
        <f>_xlfn.XLOOKUP(B97,'Payee Ref'!A:A,'Payee Ref'!B:B,"unassigned",0,1)</f>
        <v>Parking</v>
      </c>
      <c r="E97" s="29" t="str">
        <f>_xlfn.XLOOKUP(B97,'Payee Ref'!A:A,'Payee Ref'!C:C,"unassigned",0,1)</f>
        <v>Basic</v>
      </c>
      <c r="F97" s="28" t="s">
        <v>2207</v>
      </c>
    </row>
    <row r="98" spans="1:6" x14ac:dyDescent="0.2">
      <c r="A98" s="30">
        <v>45907</v>
      </c>
      <c r="B98" s="28" t="s">
        <v>72</v>
      </c>
      <c r="C98" s="28">
        <v>2.15</v>
      </c>
      <c r="D98" s="28" t="str">
        <f>_xlfn.XLOOKUP(B98,'Payee Ref'!A:A,'Payee Ref'!B:B,"unassigned",0,1)</f>
        <v>Bank Fees</v>
      </c>
      <c r="E98" s="29" t="str">
        <f>_xlfn.XLOOKUP(B98,'Payee Ref'!A:A,'Payee Ref'!C:C,"unassigned",0,1)</f>
        <v>Luxury</v>
      </c>
      <c r="F98" s="28" t="s">
        <v>2207</v>
      </c>
    </row>
    <row r="99" spans="1:6" x14ac:dyDescent="0.2">
      <c r="A99" s="30">
        <v>45800</v>
      </c>
      <c r="B99" s="31" t="s">
        <v>1982</v>
      </c>
      <c r="C99" s="28">
        <v>2.2000000000000002</v>
      </c>
      <c r="D99" s="28" t="str">
        <f>_xlfn.XLOOKUP(B99,'Payee Ref'!A:A,'Payee Ref'!B:B,"unassigned",0,1)</f>
        <v>Home &amp; Garden</v>
      </c>
      <c r="E99" s="29" t="str">
        <f>_xlfn.XLOOKUP(B99,'Payee Ref'!A:A,'Payee Ref'!C:C,"unassigned",0,1)</f>
        <v>Basic</v>
      </c>
      <c r="F99" s="28" t="s">
        <v>2207</v>
      </c>
    </row>
    <row r="100" spans="1:6" x14ac:dyDescent="0.2">
      <c r="A100" s="30">
        <v>45834</v>
      </c>
      <c r="B100" s="28" t="s">
        <v>1847</v>
      </c>
      <c r="C100" s="28">
        <v>2.25</v>
      </c>
      <c r="D100" s="28" t="str">
        <f>_xlfn.XLOOKUP(B100,'Payee Ref'!A:A,'Payee Ref'!B:B,"unassigned",0,1)</f>
        <v>Parking</v>
      </c>
      <c r="E100" s="29" t="str">
        <f>_xlfn.XLOOKUP(B100,'Payee Ref'!A:A,'Payee Ref'!C:C,"unassigned",0,1)</f>
        <v>Basic</v>
      </c>
      <c r="F100" s="28" t="s">
        <v>2207</v>
      </c>
    </row>
    <row r="101" spans="1:6" x14ac:dyDescent="0.2">
      <c r="A101" s="30">
        <v>45958</v>
      </c>
      <c r="B101" s="28" t="s">
        <v>40</v>
      </c>
      <c r="C101" s="28">
        <v>2.33</v>
      </c>
      <c r="D101" s="28" t="str">
        <f>_xlfn.XLOOKUP(B101,'Payee Ref'!A:A,'Payee Ref'!B:B,"unassigned",0,1)</f>
        <v>Auto</v>
      </c>
      <c r="E101" s="29" t="str">
        <f>_xlfn.XLOOKUP(B101,'Payee Ref'!A:A,'Payee Ref'!C:C,"unassigned",0,1)</f>
        <v>Basic</v>
      </c>
      <c r="F101" s="28" t="s">
        <v>2207</v>
      </c>
    </row>
    <row r="102" spans="1:6" x14ac:dyDescent="0.2">
      <c r="A102" s="30">
        <v>45866</v>
      </c>
      <c r="B102" s="28" t="s">
        <v>1765</v>
      </c>
      <c r="C102" s="28">
        <v>2.34</v>
      </c>
      <c r="D102" s="28" t="str">
        <f>_xlfn.XLOOKUP(B102,'Payee Ref'!A:A,'Payee Ref'!B:B,"unassigned",0,1)</f>
        <v>unassigned</v>
      </c>
      <c r="E102" s="29" t="str">
        <f>_xlfn.XLOOKUP(B102,'Payee Ref'!A:A,'Payee Ref'!C:C,"unassigned",0,1)</f>
        <v>unassigned</v>
      </c>
      <c r="F102" s="28" t="s">
        <v>2207</v>
      </c>
    </row>
    <row r="103" spans="1:6" x14ac:dyDescent="0.2">
      <c r="A103" s="30">
        <v>45880</v>
      </c>
      <c r="B103" s="28" t="s">
        <v>1727</v>
      </c>
      <c r="C103" s="28">
        <v>2.35</v>
      </c>
      <c r="D103" s="28" t="str">
        <f>_xlfn.XLOOKUP(B103,'Payee Ref'!A:A,'Payee Ref'!B:B,"unassigned",0,1)</f>
        <v>unassigned</v>
      </c>
      <c r="E103" s="29" t="str">
        <f>_xlfn.XLOOKUP(B103,'Payee Ref'!A:A,'Payee Ref'!C:C,"unassigned",0,1)</f>
        <v>unassigned</v>
      </c>
      <c r="F103" s="28" t="s">
        <v>2207</v>
      </c>
    </row>
    <row r="104" spans="1:6" x14ac:dyDescent="0.2">
      <c r="A104" s="30">
        <v>45880</v>
      </c>
      <c r="B104" s="28" t="s">
        <v>1727</v>
      </c>
      <c r="C104" s="28">
        <v>2.35</v>
      </c>
      <c r="D104" s="28" t="str">
        <f>_xlfn.XLOOKUP(B104,'Payee Ref'!A:A,'Payee Ref'!B:B,"unassigned",0,1)</f>
        <v>unassigned</v>
      </c>
      <c r="E104" s="29" t="str">
        <f>_xlfn.XLOOKUP(B104,'Payee Ref'!A:A,'Payee Ref'!C:C,"unassigned",0,1)</f>
        <v>unassigned</v>
      </c>
      <c r="F104" s="28" t="s">
        <v>2207</v>
      </c>
    </row>
    <row r="105" spans="1:6" x14ac:dyDescent="0.2">
      <c r="A105" s="30">
        <v>45881</v>
      </c>
      <c r="B105" s="28" t="s">
        <v>1727</v>
      </c>
      <c r="C105" s="28">
        <v>2.35</v>
      </c>
      <c r="D105" s="28" t="str">
        <f>_xlfn.XLOOKUP(B105,'Payee Ref'!A:A,'Payee Ref'!B:B,"unassigned",0,1)</f>
        <v>unassigned</v>
      </c>
      <c r="E105" s="29" t="str">
        <f>_xlfn.XLOOKUP(B105,'Payee Ref'!A:A,'Payee Ref'!C:C,"unassigned",0,1)</f>
        <v>unassigned</v>
      </c>
      <c r="F105" s="28" t="s">
        <v>2207</v>
      </c>
    </row>
    <row r="106" spans="1:6" x14ac:dyDescent="0.2">
      <c r="A106" s="30">
        <v>45883</v>
      </c>
      <c r="B106" s="28" t="s">
        <v>1727</v>
      </c>
      <c r="C106" s="28">
        <v>2.35</v>
      </c>
      <c r="D106" s="28" t="str">
        <f>_xlfn.XLOOKUP(B106,'Payee Ref'!A:A,'Payee Ref'!B:B,"unassigned",0,1)</f>
        <v>unassigned</v>
      </c>
      <c r="E106" s="29" t="str">
        <f>_xlfn.XLOOKUP(B106,'Payee Ref'!A:A,'Payee Ref'!C:C,"unassigned",0,1)</f>
        <v>unassigned</v>
      </c>
      <c r="F106" s="28" t="s">
        <v>2207</v>
      </c>
    </row>
    <row r="107" spans="1:6" x14ac:dyDescent="0.2">
      <c r="A107" s="30">
        <v>45840</v>
      </c>
      <c r="B107" s="28" t="s">
        <v>1866</v>
      </c>
      <c r="C107" s="28">
        <v>2.59</v>
      </c>
      <c r="D107" s="28" t="str">
        <f>_xlfn.XLOOKUP(B107,'Payee Ref'!A:A,'Payee Ref'!B:B,"unassigned",0,1)</f>
        <v>Travel</v>
      </c>
      <c r="E107" s="29" t="str">
        <f>_xlfn.XLOOKUP(B107,'Payee Ref'!A:A,'Payee Ref'!C:C,"unassigned",0,1)</f>
        <v>Luxury</v>
      </c>
      <c r="F107" s="28" t="s">
        <v>2207</v>
      </c>
    </row>
    <row r="108" spans="1:6" x14ac:dyDescent="0.2">
      <c r="A108" s="30">
        <v>45724</v>
      </c>
      <c r="B108" s="28" t="s">
        <v>205</v>
      </c>
      <c r="C108" s="28">
        <v>2.6</v>
      </c>
      <c r="D108" s="28" t="str">
        <f>_xlfn.XLOOKUP(B108,'Payee Ref'!A:A,'Payee Ref'!B:B,"unassigned",0,1)</f>
        <v>Travel</v>
      </c>
      <c r="E108" s="29" t="str">
        <f>_xlfn.XLOOKUP(B108,'Payee Ref'!A:A,'Payee Ref'!C:C,"unassigned",0,1)</f>
        <v>Luxury</v>
      </c>
      <c r="F108" s="28" t="s">
        <v>2207</v>
      </c>
    </row>
    <row r="109" spans="1:6" x14ac:dyDescent="0.2">
      <c r="A109" s="30">
        <v>45724</v>
      </c>
      <c r="B109" s="28" t="s">
        <v>205</v>
      </c>
      <c r="C109" s="28">
        <v>2.6</v>
      </c>
      <c r="D109" s="28" t="str">
        <f>_xlfn.XLOOKUP(B109,'Payee Ref'!A:A,'Payee Ref'!B:B,"unassigned",0,1)</f>
        <v>Travel</v>
      </c>
      <c r="E109" s="29" t="str">
        <f>_xlfn.XLOOKUP(B109,'Payee Ref'!A:A,'Payee Ref'!C:C,"unassigned",0,1)</f>
        <v>Luxury</v>
      </c>
      <c r="F109" s="28" t="s">
        <v>2207</v>
      </c>
    </row>
    <row r="110" spans="1:6" x14ac:dyDescent="0.2">
      <c r="A110" s="30">
        <v>45866</v>
      </c>
      <c r="B110" s="28" t="s">
        <v>1786</v>
      </c>
      <c r="C110" s="28">
        <v>2.72</v>
      </c>
      <c r="D110" s="28" t="str">
        <f>_xlfn.XLOOKUP(B110,'Payee Ref'!A:A,'Payee Ref'!B:B,"unassigned",0,1)</f>
        <v>unassigned</v>
      </c>
      <c r="E110" s="29" t="str">
        <f>_xlfn.XLOOKUP(B110,'Payee Ref'!A:A,'Payee Ref'!C:C,"unassigned",0,1)</f>
        <v>unassigned</v>
      </c>
      <c r="F110" s="28" t="s">
        <v>2207</v>
      </c>
    </row>
    <row r="111" spans="1:6" x14ac:dyDescent="0.2">
      <c r="A111" s="30">
        <v>45941</v>
      </c>
      <c r="B111" s="28" t="s">
        <v>40</v>
      </c>
      <c r="C111" s="28">
        <v>2.75</v>
      </c>
      <c r="D111" s="28" t="str">
        <f>_xlfn.XLOOKUP(B111,'Payee Ref'!A:A,'Payee Ref'!B:B,"unassigned",0,1)</f>
        <v>Auto</v>
      </c>
      <c r="E111" s="29" t="str">
        <f>_xlfn.XLOOKUP(B111,'Payee Ref'!A:A,'Payee Ref'!C:C,"unassigned",0,1)</f>
        <v>Basic</v>
      </c>
      <c r="F111" s="28" t="s">
        <v>2207</v>
      </c>
    </row>
    <row r="112" spans="1:6" x14ac:dyDescent="0.2">
      <c r="A112" s="30">
        <v>45666</v>
      </c>
      <c r="B112" s="28" t="s">
        <v>1847</v>
      </c>
      <c r="C112" s="28">
        <v>2.75</v>
      </c>
      <c r="D112" s="28" t="str">
        <f>_xlfn.XLOOKUP(B112,'Payee Ref'!A:A,'Payee Ref'!B:B,"unassigned",0,1)</f>
        <v>Parking</v>
      </c>
      <c r="E112" s="29" t="str">
        <f>_xlfn.XLOOKUP(B112,'Payee Ref'!A:A,'Payee Ref'!C:C,"unassigned",0,1)</f>
        <v>Basic</v>
      </c>
      <c r="F112" s="28" t="s">
        <v>2207</v>
      </c>
    </row>
    <row r="113" spans="1:6" x14ac:dyDescent="0.2">
      <c r="A113" s="30">
        <v>45770</v>
      </c>
      <c r="B113" s="31" t="s">
        <v>1543</v>
      </c>
      <c r="C113" s="28">
        <v>2.99</v>
      </c>
      <c r="D113" s="28" t="str">
        <f>_xlfn.XLOOKUP(B113,'Payee Ref'!A:A,'Payee Ref'!B:B,"unassigned",0,1)</f>
        <v>Subscriptions / Digital</v>
      </c>
      <c r="E113" s="29" t="str">
        <f>_xlfn.XLOOKUP(B113,'Payee Ref'!A:A,'Payee Ref'!C:C,"unassigned",0,1)</f>
        <v>Luxury</v>
      </c>
      <c r="F113" s="28" t="s">
        <v>2207</v>
      </c>
    </row>
    <row r="114" spans="1:6" x14ac:dyDescent="0.2">
      <c r="A114" s="30">
        <v>45740</v>
      </c>
      <c r="B114" s="31" t="s">
        <v>1543</v>
      </c>
      <c r="C114" s="28">
        <v>2.99</v>
      </c>
      <c r="D114" s="28" t="str">
        <f>_xlfn.XLOOKUP(B114,'Payee Ref'!A:A,'Payee Ref'!B:B,"unassigned",0,1)</f>
        <v>Subscriptions / Digital</v>
      </c>
      <c r="E114" s="29" t="str">
        <f>_xlfn.XLOOKUP(B114,'Payee Ref'!A:A,'Payee Ref'!C:C,"unassigned",0,1)</f>
        <v>Luxury</v>
      </c>
      <c r="F114" s="28" t="s">
        <v>2207</v>
      </c>
    </row>
    <row r="115" spans="1:6" x14ac:dyDescent="0.2">
      <c r="A115" s="30">
        <v>45711</v>
      </c>
      <c r="B115" s="31" t="s">
        <v>1543</v>
      </c>
      <c r="C115" s="28">
        <v>2.99</v>
      </c>
      <c r="D115" s="28" t="str">
        <f>_xlfn.XLOOKUP(B115,'Payee Ref'!A:A,'Payee Ref'!B:B,"unassigned",0,1)</f>
        <v>Subscriptions / Digital</v>
      </c>
      <c r="E115" s="29" t="str">
        <f>_xlfn.XLOOKUP(B115,'Payee Ref'!A:A,'Payee Ref'!C:C,"unassigned",0,1)</f>
        <v>Luxury</v>
      </c>
      <c r="F115" s="28" t="s">
        <v>2207</v>
      </c>
    </row>
    <row r="116" spans="1:6" x14ac:dyDescent="0.2">
      <c r="A116" s="30">
        <v>45681</v>
      </c>
      <c r="B116" s="31" t="s">
        <v>1543</v>
      </c>
      <c r="C116" s="28">
        <v>2.99</v>
      </c>
      <c r="D116" s="28" t="str">
        <f>_xlfn.XLOOKUP(B116,'Payee Ref'!A:A,'Payee Ref'!B:B,"unassigned",0,1)</f>
        <v>Subscriptions / Digital</v>
      </c>
      <c r="E116" s="29" t="str">
        <f>_xlfn.XLOOKUP(B116,'Payee Ref'!A:A,'Payee Ref'!C:C,"unassigned",0,1)</f>
        <v>Luxury</v>
      </c>
      <c r="F116" s="28" t="s">
        <v>2207</v>
      </c>
    </row>
    <row r="117" spans="1:6" x14ac:dyDescent="0.2">
      <c r="A117" s="30">
        <v>45948</v>
      </c>
      <c r="B117" s="28" t="s">
        <v>40</v>
      </c>
      <c r="C117" s="28">
        <v>3</v>
      </c>
      <c r="D117" s="28" t="str">
        <f>_xlfn.XLOOKUP(B117,'Payee Ref'!A:A,'Payee Ref'!B:B,"unassigned",0,1)</f>
        <v>Auto</v>
      </c>
      <c r="E117" s="29" t="str">
        <f>_xlfn.XLOOKUP(B117,'Payee Ref'!A:A,'Payee Ref'!C:C,"unassigned",0,1)</f>
        <v>Basic</v>
      </c>
      <c r="F117" s="28" t="s">
        <v>2207</v>
      </c>
    </row>
    <row r="118" spans="1:6" x14ac:dyDescent="0.2">
      <c r="A118" s="30">
        <v>45821</v>
      </c>
      <c r="B118" s="28" t="s">
        <v>1574</v>
      </c>
      <c r="C118" s="28">
        <v>3</v>
      </c>
      <c r="D118" s="28" t="str">
        <f>_xlfn.XLOOKUP(B118,'Payee Ref'!A:A,'Payee Ref'!B:B,"unassigned",0,1)</f>
        <v>Groceries</v>
      </c>
      <c r="E118" s="29" t="str">
        <f>_xlfn.XLOOKUP(B118,'Payee Ref'!A:A,'Payee Ref'!C:C,"unassigned",0,1)</f>
        <v>Basic</v>
      </c>
      <c r="F118" s="28" t="s">
        <v>2207</v>
      </c>
    </row>
    <row r="119" spans="1:6" x14ac:dyDescent="0.2">
      <c r="A119" s="30">
        <v>45758</v>
      </c>
      <c r="B119" s="28" t="s">
        <v>1847</v>
      </c>
      <c r="C119" s="28">
        <v>3</v>
      </c>
      <c r="D119" s="28" t="str">
        <f>_xlfn.XLOOKUP(B119,'Payee Ref'!A:A,'Payee Ref'!B:B,"unassigned",0,1)</f>
        <v>Parking</v>
      </c>
      <c r="E119" s="29" t="str">
        <f>_xlfn.XLOOKUP(B119,'Payee Ref'!A:A,'Payee Ref'!C:C,"unassigned",0,1)</f>
        <v>Basic</v>
      </c>
      <c r="F119" s="28" t="s">
        <v>2207</v>
      </c>
    </row>
    <row r="120" spans="1:6" x14ac:dyDescent="0.2">
      <c r="A120" s="30">
        <v>45686</v>
      </c>
      <c r="B120" s="28" t="s">
        <v>1847</v>
      </c>
      <c r="C120" s="28">
        <v>3</v>
      </c>
      <c r="D120" s="28" t="str">
        <f>_xlfn.XLOOKUP(B120,'Payee Ref'!A:A,'Payee Ref'!B:B,"unassigned",0,1)</f>
        <v>Parking</v>
      </c>
      <c r="E120" s="29" t="str">
        <f>_xlfn.XLOOKUP(B120,'Payee Ref'!A:A,'Payee Ref'!C:C,"unassigned",0,1)</f>
        <v>Basic</v>
      </c>
      <c r="F120" s="28" t="s">
        <v>2207</v>
      </c>
    </row>
    <row r="121" spans="1:6" x14ac:dyDescent="0.2">
      <c r="A121" s="30">
        <v>45880</v>
      </c>
      <c r="B121" s="28" t="s">
        <v>1626</v>
      </c>
      <c r="C121" s="28">
        <v>3</v>
      </c>
      <c r="D121" s="28" t="str">
        <f>_xlfn.XLOOKUP(B121,'Payee Ref'!A:A,'Payee Ref'!B:B,"unassigned",0,1)</f>
        <v>Travel</v>
      </c>
      <c r="E121" s="29" t="str">
        <f>_xlfn.XLOOKUP(B121,'Payee Ref'!A:A,'Payee Ref'!C:C,"unassigned",0,1)</f>
        <v>Luxury</v>
      </c>
      <c r="F121" s="28" t="s">
        <v>2207</v>
      </c>
    </row>
    <row r="122" spans="1:6" x14ac:dyDescent="0.2">
      <c r="A122" s="30">
        <v>45881</v>
      </c>
      <c r="B122" s="28" t="s">
        <v>1550</v>
      </c>
      <c r="C122" s="28">
        <v>3</v>
      </c>
      <c r="D122" s="28" t="str">
        <f>_xlfn.XLOOKUP(B122,'Payee Ref'!A:A,'Payee Ref'!B:B,"unassigned",0,1)</f>
        <v>unassigned</v>
      </c>
      <c r="E122" s="29" t="str">
        <f>_xlfn.XLOOKUP(B122,'Payee Ref'!A:A,'Payee Ref'!C:C,"unassigned",0,1)</f>
        <v>unassigned</v>
      </c>
      <c r="F122" s="28" t="s">
        <v>2207</v>
      </c>
    </row>
    <row r="123" spans="1:6" x14ac:dyDescent="0.2">
      <c r="A123" s="30">
        <v>45750</v>
      </c>
      <c r="B123" s="28" t="s">
        <v>1847</v>
      </c>
      <c r="C123" s="28">
        <v>3.05</v>
      </c>
      <c r="D123" s="28" t="str">
        <f>_xlfn.XLOOKUP(B123,'Payee Ref'!A:A,'Payee Ref'!B:B,"unassigned",0,1)</f>
        <v>Parking</v>
      </c>
      <c r="E123" s="29" t="str">
        <f>_xlfn.XLOOKUP(B123,'Payee Ref'!A:A,'Payee Ref'!C:C,"unassigned",0,1)</f>
        <v>Basic</v>
      </c>
      <c r="F123" s="28" t="s">
        <v>2207</v>
      </c>
    </row>
    <row r="124" spans="1:6" x14ac:dyDescent="0.2">
      <c r="A124" s="30">
        <v>45659</v>
      </c>
      <c r="B124" s="28" t="s">
        <v>2199</v>
      </c>
      <c r="C124" s="28">
        <v>3.08</v>
      </c>
      <c r="D124" s="28" t="str">
        <f>_xlfn.XLOOKUP(B124,'Payee Ref'!A:A,'Payee Ref'!B:B,"unassigned",0,1)</f>
        <v>Travel</v>
      </c>
      <c r="E124" s="29" t="str">
        <f>_xlfn.XLOOKUP(B124,'Payee Ref'!A:A,'Payee Ref'!C:C,"unassigned",0,1)</f>
        <v>Luxury</v>
      </c>
      <c r="F124" s="28" t="s">
        <v>2207</v>
      </c>
    </row>
    <row r="125" spans="1:6" x14ac:dyDescent="0.2">
      <c r="A125" s="30">
        <v>45835</v>
      </c>
      <c r="B125" s="28" t="s">
        <v>1892</v>
      </c>
      <c r="C125" s="28">
        <v>3.08</v>
      </c>
      <c r="D125" s="28" t="str">
        <f>_xlfn.XLOOKUP(B125,'Payee Ref'!A:A,'Payee Ref'!B:B,"unassigned",0,1)</f>
        <v>Travel</v>
      </c>
      <c r="E125" s="29" t="str">
        <f>_xlfn.XLOOKUP(B125,'Payee Ref'!A:A,'Payee Ref'!C:C,"unassigned",0,1)</f>
        <v>Luxury</v>
      </c>
      <c r="F125" s="28" t="s">
        <v>2207</v>
      </c>
    </row>
    <row r="126" spans="1:6" x14ac:dyDescent="0.2">
      <c r="A126" s="30">
        <v>45770</v>
      </c>
      <c r="B126" s="28" t="s">
        <v>1847</v>
      </c>
      <c r="C126" s="28">
        <v>3.09</v>
      </c>
      <c r="D126" s="28" t="str">
        <f>_xlfn.XLOOKUP(B126,'Payee Ref'!A:A,'Payee Ref'!B:B,"unassigned",0,1)</f>
        <v>Parking</v>
      </c>
      <c r="E126" s="29" t="str">
        <f>_xlfn.XLOOKUP(B126,'Payee Ref'!A:A,'Payee Ref'!C:C,"unassigned",0,1)</f>
        <v>Basic</v>
      </c>
      <c r="F126" s="28" t="s">
        <v>2207</v>
      </c>
    </row>
    <row r="127" spans="1:6" x14ac:dyDescent="0.2">
      <c r="A127" s="30">
        <v>45855</v>
      </c>
      <c r="B127" s="28" t="s">
        <v>1662</v>
      </c>
      <c r="C127" s="28">
        <v>3.18</v>
      </c>
      <c r="D127" s="28" t="str">
        <f>_xlfn.XLOOKUP(B127,'Payee Ref'!A:A,'Payee Ref'!B:B,"unassigned",0,1)</f>
        <v>unassigned</v>
      </c>
      <c r="E127" s="29" t="str">
        <f>_xlfn.XLOOKUP(B127,'Payee Ref'!A:A,'Payee Ref'!C:C,"unassigned",0,1)</f>
        <v>unassigned</v>
      </c>
      <c r="F127" s="28" t="s">
        <v>2207</v>
      </c>
    </row>
    <row r="128" spans="1:6" x14ac:dyDescent="0.2">
      <c r="A128" s="30">
        <v>45679</v>
      </c>
      <c r="B128" s="28" t="s">
        <v>1847</v>
      </c>
      <c r="C128" s="28">
        <v>3.24</v>
      </c>
      <c r="D128" s="28" t="str">
        <f>_xlfn.XLOOKUP(B128,'Payee Ref'!A:A,'Payee Ref'!B:B,"unassigned",0,1)</f>
        <v>Parking</v>
      </c>
      <c r="E128" s="29" t="str">
        <f>_xlfn.XLOOKUP(B128,'Payee Ref'!A:A,'Payee Ref'!C:C,"unassigned",0,1)</f>
        <v>Basic</v>
      </c>
      <c r="F128" s="28" t="s">
        <v>2207</v>
      </c>
    </row>
    <row r="129" spans="1:6" x14ac:dyDescent="0.2">
      <c r="A129" s="30">
        <v>45761</v>
      </c>
      <c r="B129" s="28" t="s">
        <v>1847</v>
      </c>
      <c r="C129" s="28">
        <v>3.25</v>
      </c>
      <c r="D129" s="28" t="str">
        <f>_xlfn.XLOOKUP(B129,'Payee Ref'!A:A,'Payee Ref'!B:B,"unassigned",0,1)</f>
        <v>Parking</v>
      </c>
      <c r="E129" s="29" t="str">
        <f>_xlfn.XLOOKUP(B129,'Payee Ref'!A:A,'Payee Ref'!C:C,"unassigned",0,1)</f>
        <v>Basic</v>
      </c>
      <c r="F129" s="28" t="s">
        <v>2207</v>
      </c>
    </row>
    <row r="130" spans="1:6" x14ac:dyDescent="0.2">
      <c r="A130" s="30">
        <v>45880</v>
      </c>
      <c r="B130" s="28" t="s">
        <v>1550</v>
      </c>
      <c r="C130" s="28">
        <v>3.25</v>
      </c>
      <c r="D130" s="28" t="str">
        <f>_xlfn.XLOOKUP(B130,'Payee Ref'!A:A,'Payee Ref'!B:B,"unassigned",0,1)</f>
        <v>unassigned</v>
      </c>
      <c r="E130" s="29" t="str">
        <f>_xlfn.XLOOKUP(B130,'Payee Ref'!A:A,'Payee Ref'!C:C,"unassigned",0,1)</f>
        <v>unassigned</v>
      </c>
      <c r="F130" s="28" t="s">
        <v>2207</v>
      </c>
    </row>
    <row r="131" spans="1:6" x14ac:dyDescent="0.2">
      <c r="A131" s="30">
        <v>45726</v>
      </c>
      <c r="B131" s="28" t="s">
        <v>1847</v>
      </c>
      <c r="C131" s="28">
        <v>3.26</v>
      </c>
      <c r="D131" s="28" t="str">
        <f>_xlfn.XLOOKUP(B131,'Payee Ref'!A:A,'Payee Ref'!B:B,"unassigned",0,1)</f>
        <v>Parking</v>
      </c>
      <c r="E131" s="29" t="str">
        <f>_xlfn.XLOOKUP(B131,'Payee Ref'!A:A,'Payee Ref'!C:C,"unassigned",0,1)</f>
        <v>Basic</v>
      </c>
      <c r="F131" s="28" t="s">
        <v>2207</v>
      </c>
    </row>
    <row r="132" spans="1:6" x14ac:dyDescent="0.2">
      <c r="A132" s="30">
        <v>45786</v>
      </c>
      <c r="B132" s="31" t="s">
        <v>2005</v>
      </c>
      <c r="C132" s="28">
        <v>3.3</v>
      </c>
      <c r="D132" s="28" t="str">
        <f>_xlfn.XLOOKUP(B132,'Payee Ref'!A:A,'Payee Ref'!B:B,"unassigned",0,1)</f>
        <v>Home &amp; Garden</v>
      </c>
      <c r="E132" s="29" t="str">
        <f>_xlfn.XLOOKUP(B132,'Payee Ref'!A:A,'Payee Ref'!C:C,"unassigned",0,1)</f>
        <v>Basic</v>
      </c>
      <c r="F132" s="28" t="s">
        <v>2207</v>
      </c>
    </row>
    <row r="133" spans="1:6" x14ac:dyDescent="0.2">
      <c r="A133" s="30">
        <v>45756</v>
      </c>
      <c r="B133" s="31" t="s">
        <v>2043</v>
      </c>
      <c r="C133" s="28">
        <v>3.3</v>
      </c>
      <c r="D133" s="28" t="str">
        <f>_xlfn.XLOOKUP(B133,'Payee Ref'!A:A,'Payee Ref'!B:B,"unassigned",0,1)</f>
        <v>Home &amp; Garden</v>
      </c>
      <c r="E133" s="29" t="str">
        <f>_xlfn.XLOOKUP(B133,'Payee Ref'!A:A,'Payee Ref'!C:C,"unassigned",0,1)</f>
        <v>Basic</v>
      </c>
      <c r="F133" s="28" t="s">
        <v>2207</v>
      </c>
    </row>
    <row r="134" spans="1:6" x14ac:dyDescent="0.2">
      <c r="A134" s="30">
        <v>45725</v>
      </c>
      <c r="B134" s="31" t="s">
        <v>2095</v>
      </c>
      <c r="C134" s="28">
        <v>3.3</v>
      </c>
      <c r="D134" s="28" t="str">
        <f>_xlfn.XLOOKUP(B134,'Payee Ref'!A:A,'Payee Ref'!B:B,"unassigned",0,1)</f>
        <v>Home &amp; Garden</v>
      </c>
      <c r="E134" s="29" t="str">
        <f>_xlfn.XLOOKUP(B134,'Payee Ref'!A:A,'Payee Ref'!C:C,"unassigned",0,1)</f>
        <v>Basic</v>
      </c>
      <c r="F134" s="28" t="s">
        <v>2207</v>
      </c>
    </row>
    <row r="135" spans="1:6" x14ac:dyDescent="0.2">
      <c r="A135" s="30">
        <v>45697</v>
      </c>
      <c r="B135" s="31" t="s">
        <v>2127</v>
      </c>
      <c r="C135" s="28">
        <v>3.3</v>
      </c>
      <c r="D135" s="28" t="str">
        <f>_xlfn.XLOOKUP(B135,'Payee Ref'!A:A,'Payee Ref'!B:B,"unassigned",0,1)</f>
        <v>Home &amp; Garden</v>
      </c>
      <c r="E135" s="29" t="str">
        <f>_xlfn.XLOOKUP(B135,'Payee Ref'!A:A,'Payee Ref'!C:C,"unassigned",0,1)</f>
        <v>Basic</v>
      </c>
      <c r="F135" s="28" t="s">
        <v>2207</v>
      </c>
    </row>
    <row r="136" spans="1:6" x14ac:dyDescent="0.2">
      <c r="A136" s="30">
        <v>45666</v>
      </c>
      <c r="B136" s="31" t="s">
        <v>2174</v>
      </c>
      <c r="C136" s="28">
        <v>3.3</v>
      </c>
      <c r="D136" s="28" t="str">
        <f>_xlfn.XLOOKUP(B136,'Payee Ref'!A:A,'Payee Ref'!B:B,"unassigned",0,1)</f>
        <v>Home &amp; Garden</v>
      </c>
      <c r="E136" s="29" t="str">
        <f>_xlfn.XLOOKUP(B136,'Payee Ref'!A:A,'Payee Ref'!C:C,"unassigned",0,1)</f>
        <v>Basic</v>
      </c>
      <c r="F136" s="28" t="s">
        <v>2207</v>
      </c>
    </row>
    <row r="137" spans="1:6" x14ac:dyDescent="0.2">
      <c r="A137" s="30">
        <v>45839</v>
      </c>
      <c r="B137" s="28" t="s">
        <v>1717</v>
      </c>
      <c r="C137" s="28">
        <v>3.48</v>
      </c>
      <c r="D137" s="28" t="str">
        <f>_xlfn.XLOOKUP(B137,'Payee Ref'!A:A,'Payee Ref'!B:B,"unassigned",0,1)</f>
        <v>Travel</v>
      </c>
      <c r="E137" s="29" t="str">
        <f>_xlfn.XLOOKUP(B137,'Payee Ref'!A:A,'Payee Ref'!C:C,"unassigned",0,1)</f>
        <v>Luxury</v>
      </c>
      <c r="F137" s="28" t="s">
        <v>2207</v>
      </c>
    </row>
    <row r="138" spans="1:6" x14ac:dyDescent="0.2">
      <c r="A138" s="30">
        <v>45755</v>
      </c>
      <c r="B138" s="28" t="s">
        <v>1847</v>
      </c>
      <c r="C138" s="28">
        <v>3.5</v>
      </c>
      <c r="D138" s="28" t="str">
        <f>_xlfn.XLOOKUP(B138,'Payee Ref'!A:A,'Payee Ref'!B:B,"unassigned",0,1)</f>
        <v>Parking</v>
      </c>
      <c r="E138" s="29" t="str">
        <f>_xlfn.XLOOKUP(B138,'Payee Ref'!A:A,'Payee Ref'!C:C,"unassigned",0,1)</f>
        <v>Basic</v>
      </c>
      <c r="F138" s="28" t="s">
        <v>2207</v>
      </c>
    </row>
    <row r="139" spans="1:6" x14ac:dyDescent="0.2">
      <c r="A139" s="30">
        <v>45834</v>
      </c>
      <c r="B139" s="28" t="s">
        <v>1894</v>
      </c>
      <c r="C139" s="28">
        <v>3.5</v>
      </c>
      <c r="D139" s="28" t="str">
        <f>_xlfn.XLOOKUP(B139,'Payee Ref'!A:A,'Payee Ref'!B:B,"unassigned",0,1)</f>
        <v>Travel</v>
      </c>
      <c r="E139" s="29" t="str">
        <f>_xlfn.XLOOKUP(B139,'Payee Ref'!A:A,'Payee Ref'!C:C,"unassigned",0,1)</f>
        <v>Luxury</v>
      </c>
      <c r="F139" s="28" t="s">
        <v>2207</v>
      </c>
    </row>
    <row r="140" spans="1:6" x14ac:dyDescent="0.2">
      <c r="A140" s="30">
        <v>45894</v>
      </c>
      <c r="B140" s="28" t="s">
        <v>1694</v>
      </c>
      <c r="C140" s="28">
        <v>3.5</v>
      </c>
      <c r="D140" s="28" t="str">
        <f>_xlfn.XLOOKUP(B140,'Payee Ref'!A:A,'Payee Ref'!B:B,"unassigned",0,1)</f>
        <v>unassigned</v>
      </c>
      <c r="E140" s="29" t="str">
        <f>_xlfn.XLOOKUP(B140,'Payee Ref'!A:A,'Payee Ref'!C:C,"unassigned",0,1)</f>
        <v>unassigned</v>
      </c>
      <c r="F140" s="28" t="s">
        <v>2207</v>
      </c>
    </row>
    <row r="141" spans="1:6" x14ac:dyDescent="0.2">
      <c r="A141" s="30">
        <v>45840</v>
      </c>
      <c r="B141" s="28" t="s">
        <v>1865</v>
      </c>
      <c r="C141" s="28">
        <v>3.63</v>
      </c>
      <c r="D141" s="28" t="str">
        <f>_xlfn.XLOOKUP(B141,'Payee Ref'!A:A,'Payee Ref'!B:B,"unassigned",0,1)</f>
        <v>Groceries</v>
      </c>
      <c r="E141" s="29" t="str">
        <f>_xlfn.XLOOKUP(B141,'Payee Ref'!A:A,'Payee Ref'!C:C,"unassigned",0,1)</f>
        <v>Basic</v>
      </c>
      <c r="F141" s="28" t="s">
        <v>2207</v>
      </c>
    </row>
    <row r="142" spans="1:6" x14ac:dyDescent="0.2">
      <c r="A142" s="30">
        <v>45705</v>
      </c>
      <c r="B142" s="28" t="s">
        <v>2116</v>
      </c>
      <c r="C142" s="28">
        <v>3.69</v>
      </c>
      <c r="D142" s="28" t="str">
        <f>_xlfn.XLOOKUP(B142,'Payee Ref'!A:A,'Payee Ref'!B:B,"unassigned",0,1)</f>
        <v>Dining</v>
      </c>
      <c r="E142" s="29" t="str">
        <f>_xlfn.XLOOKUP(B142,'Payee Ref'!A:A,'Payee Ref'!C:C,"unassigned",0,1)</f>
        <v>Luxury</v>
      </c>
      <c r="F142" s="28" t="s">
        <v>2207</v>
      </c>
    </row>
    <row r="143" spans="1:6" x14ac:dyDescent="0.2">
      <c r="A143" s="30">
        <v>45833</v>
      </c>
      <c r="B143" s="28" t="s">
        <v>1897</v>
      </c>
      <c r="C143" s="28">
        <v>3.73</v>
      </c>
      <c r="D143" s="28" t="str">
        <f>_xlfn.XLOOKUP(B143,'Payee Ref'!A:A,'Payee Ref'!B:B,"unassigned",0,1)</f>
        <v>Travel</v>
      </c>
      <c r="E143" s="29" t="str">
        <f>_xlfn.XLOOKUP(B143,'Payee Ref'!A:A,'Payee Ref'!C:C,"unassigned",0,1)</f>
        <v>Luxury</v>
      </c>
      <c r="F143" s="28" t="s">
        <v>2207</v>
      </c>
    </row>
    <row r="144" spans="1:6" x14ac:dyDescent="0.2">
      <c r="A144" s="30">
        <v>45820</v>
      </c>
      <c r="B144" s="28" t="s">
        <v>1843</v>
      </c>
      <c r="C144" s="28">
        <v>3.76</v>
      </c>
      <c r="D144" s="28" t="str">
        <f>_xlfn.XLOOKUP(B144,'Payee Ref'!A:A,'Payee Ref'!B:B,"unassigned",0,1)</f>
        <v>Home &amp; Garden</v>
      </c>
      <c r="E144" s="29" t="str">
        <f>_xlfn.XLOOKUP(B144,'Payee Ref'!A:A,'Payee Ref'!C:C,"unassigned",0,1)</f>
        <v>Basic</v>
      </c>
      <c r="F144" s="28" t="s">
        <v>2207</v>
      </c>
    </row>
    <row r="145" spans="1:6" x14ac:dyDescent="0.2">
      <c r="A145" s="30">
        <v>45698</v>
      </c>
      <c r="B145" s="28" t="s">
        <v>2028</v>
      </c>
      <c r="C145" s="28">
        <v>3.81</v>
      </c>
      <c r="D145" s="28" t="str">
        <f>_xlfn.XLOOKUP(B145,'Payee Ref'!A:A,'Payee Ref'!B:B,"unassigned",0,1)</f>
        <v>Travel</v>
      </c>
      <c r="E145" s="29" t="str">
        <f>_xlfn.XLOOKUP(B145,'Payee Ref'!A:A,'Payee Ref'!C:C,"unassigned",0,1)</f>
        <v>Luxury</v>
      </c>
      <c r="F145" s="28" t="s">
        <v>2207</v>
      </c>
    </row>
    <row r="146" spans="1:6" x14ac:dyDescent="0.2">
      <c r="A146" s="30">
        <v>45831</v>
      </c>
      <c r="B146" s="28" t="s">
        <v>1911</v>
      </c>
      <c r="C146" s="28">
        <v>3.81</v>
      </c>
      <c r="D146" s="28" t="str">
        <f>_xlfn.XLOOKUP(B146,'Payee Ref'!A:A,'Payee Ref'!B:B,"unassigned",0,1)</f>
        <v>Travel</v>
      </c>
      <c r="E146" s="29" t="str">
        <f>_xlfn.XLOOKUP(B146,'Payee Ref'!A:A,'Payee Ref'!C:C,"unassigned",0,1)</f>
        <v>Luxury</v>
      </c>
      <c r="F146" s="28" t="s">
        <v>2207</v>
      </c>
    </row>
    <row r="147" spans="1:6" x14ac:dyDescent="0.2">
      <c r="A147" s="30">
        <v>45666</v>
      </c>
      <c r="B147" s="28" t="s">
        <v>2175</v>
      </c>
      <c r="C147" s="28">
        <v>3.82</v>
      </c>
      <c r="D147" s="28" t="str">
        <f>_xlfn.XLOOKUP(B147,'Payee Ref'!A:A,'Payee Ref'!B:B,"unassigned",0,1)</f>
        <v>Dining</v>
      </c>
      <c r="E147" s="29" t="str">
        <f>_xlfn.XLOOKUP(B147,'Payee Ref'!A:A,'Payee Ref'!C:C,"unassigned",0,1)</f>
        <v>Luxury</v>
      </c>
      <c r="F147" s="28" t="s">
        <v>2207</v>
      </c>
    </row>
    <row r="148" spans="1:6" x14ac:dyDescent="0.2">
      <c r="A148" s="30">
        <v>45719</v>
      </c>
      <c r="B148" s="28" t="s">
        <v>2103</v>
      </c>
      <c r="C148" s="28">
        <v>3.85</v>
      </c>
      <c r="D148" s="28" t="str">
        <f>_xlfn.XLOOKUP(B148,'Payee Ref'!A:A,'Payee Ref'!B:B,"unassigned",0,1)</f>
        <v>Dining</v>
      </c>
      <c r="E148" s="29" t="str">
        <f>_xlfn.XLOOKUP(B148,'Payee Ref'!A:A,'Payee Ref'!C:C,"unassigned",0,1)</f>
        <v>Luxury</v>
      </c>
      <c r="F148" s="28" t="s">
        <v>2207</v>
      </c>
    </row>
    <row r="149" spans="1:6" x14ac:dyDescent="0.2">
      <c r="A149" s="30">
        <v>45793</v>
      </c>
      <c r="B149" s="31" t="s">
        <v>1543</v>
      </c>
      <c r="C149" s="28">
        <v>3.85</v>
      </c>
      <c r="D149" s="28" t="str">
        <f>_xlfn.XLOOKUP(B149,'Payee Ref'!A:A,'Payee Ref'!B:B,"unassigned",0,1)</f>
        <v>Subscriptions / Digital</v>
      </c>
      <c r="E149" s="29" t="str">
        <f>_xlfn.XLOOKUP(B149,'Payee Ref'!A:A,'Payee Ref'!C:C,"unassigned",0,1)</f>
        <v>Luxury</v>
      </c>
      <c r="F149" s="28" t="s">
        <v>2207</v>
      </c>
    </row>
    <row r="150" spans="1:6" x14ac:dyDescent="0.2">
      <c r="A150" s="30">
        <v>45928</v>
      </c>
      <c r="B150" s="28" t="s">
        <v>1613</v>
      </c>
      <c r="C150" s="28">
        <v>3.85</v>
      </c>
      <c r="D150" s="28" t="str">
        <f>_xlfn.XLOOKUP(B150,'Payee Ref'!A:A,'Payee Ref'!B:B,"unassigned",0,1)</f>
        <v>unassigned</v>
      </c>
      <c r="E150" s="29" t="str">
        <f>_xlfn.XLOOKUP(B150,'Payee Ref'!A:A,'Payee Ref'!C:C,"unassigned",0,1)</f>
        <v>unassigned</v>
      </c>
      <c r="F150" s="28" t="s">
        <v>2207</v>
      </c>
    </row>
    <row r="151" spans="1:6" x14ac:dyDescent="0.2">
      <c r="A151" s="30">
        <v>45812</v>
      </c>
      <c r="B151" s="28" t="s">
        <v>1958</v>
      </c>
      <c r="C151" s="28">
        <v>4</v>
      </c>
      <c r="D151" s="28" t="str">
        <f>_xlfn.XLOOKUP(B151,'Payee Ref'!A:A,'Payee Ref'!B:B,"unassigned",0,1)</f>
        <v>Health &amp; Medical</v>
      </c>
      <c r="E151" s="29" t="str">
        <f>_xlfn.XLOOKUP(B151,'Payee Ref'!A:A,'Payee Ref'!C:C,"unassigned",0,1)</f>
        <v>Basic</v>
      </c>
      <c r="F151" s="28" t="s">
        <v>2207</v>
      </c>
    </row>
    <row r="152" spans="1:6" x14ac:dyDescent="0.2">
      <c r="A152" s="30">
        <v>45761</v>
      </c>
      <c r="B152" s="28" t="s">
        <v>1847</v>
      </c>
      <c r="C152" s="28">
        <v>4</v>
      </c>
      <c r="D152" s="28" t="str">
        <f>_xlfn.XLOOKUP(B152,'Payee Ref'!A:A,'Payee Ref'!B:B,"unassigned",0,1)</f>
        <v>Parking</v>
      </c>
      <c r="E152" s="29" t="str">
        <f>_xlfn.XLOOKUP(B152,'Payee Ref'!A:A,'Payee Ref'!C:C,"unassigned",0,1)</f>
        <v>Basic</v>
      </c>
      <c r="F152" s="28" t="s">
        <v>2207</v>
      </c>
    </row>
    <row r="153" spans="1:6" x14ac:dyDescent="0.2">
      <c r="A153" s="30">
        <v>45833</v>
      </c>
      <c r="B153" s="28" t="s">
        <v>1898</v>
      </c>
      <c r="C153" s="28">
        <v>4.08</v>
      </c>
      <c r="D153" s="28" t="str">
        <f>_xlfn.XLOOKUP(B153,'Payee Ref'!A:A,'Payee Ref'!B:B,"unassigned",0,1)</f>
        <v>Travel</v>
      </c>
      <c r="E153" s="29" t="str">
        <f>_xlfn.XLOOKUP(B153,'Payee Ref'!A:A,'Payee Ref'!C:C,"unassigned",0,1)</f>
        <v>Luxury</v>
      </c>
      <c r="F153" s="28" t="s">
        <v>2207</v>
      </c>
    </row>
    <row r="154" spans="1:6" x14ac:dyDescent="0.2">
      <c r="A154" s="30">
        <v>45830</v>
      </c>
      <c r="B154" s="28" t="s">
        <v>1894</v>
      </c>
      <c r="C154" s="28">
        <v>4.16</v>
      </c>
      <c r="D154" s="28" t="str">
        <f>_xlfn.XLOOKUP(B154,'Payee Ref'!A:A,'Payee Ref'!B:B,"unassigned",0,1)</f>
        <v>Travel</v>
      </c>
      <c r="E154" s="29" t="str">
        <f>_xlfn.XLOOKUP(B154,'Payee Ref'!A:A,'Payee Ref'!C:C,"unassigned",0,1)</f>
        <v>Luxury</v>
      </c>
      <c r="F154" s="28" t="s">
        <v>2207</v>
      </c>
    </row>
    <row r="155" spans="1:6" x14ac:dyDescent="0.2">
      <c r="A155" s="30">
        <v>45662</v>
      </c>
      <c r="B155" s="28" t="s">
        <v>2188</v>
      </c>
      <c r="C155" s="28">
        <v>4.18</v>
      </c>
      <c r="D155" s="28" t="str">
        <f>_xlfn.XLOOKUP(B155,'Payee Ref'!A:A,'Payee Ref'!B:B,"unassigned",0,1)</f>
        <v>Subscriptions / Digital</v>
      </c>
      <c r="E155" s="29" t="str">
        <f>_xlfn.XLOOKUP(B155,'Payee Ref'!A:A,'Payee Ref'!C:C,"unassigned",0,1)</f>
        <v>Luxury</v>
      </c>
      <c r="F155" s="28" t="s">
        <v>2207</v>
      </c>
    </row>
    <row r="156" spans="1:6" x14ac:dyDescent="0.2">
      <c r="A156" s="30">
        <v>45688</v>
      </c>
      <c r="B156" s="28" t="s">
        <v>2143</v>
      </c>
      <c r="C156" s="28">
        <v>4.2</v>
      </c>
      <c r="D156" s="28" t="str">
        <f>_xlfn.XLOOKUP(B156,'Payee Ref'!A:A,'Payee Ref'!B:B,"unassigned",0,1)</f>
        <v>Travel</v>
      </c>
      <c r="E156" s="29" t="str">
        <f>_xlfn.XLOOKUP(B156,'Payee Ref'!A:A,'Payee Ref'!C:C,"unassigned",0,1)</f>
        <v>Luxury</v>
      </c>
      <c r="F156" s="28" t="s">
        <v>2207</v>
      </c>
    </row>
    <row r="157" spans="1:6" x14ac:dyDescent="0.2">
      <c r="A157" s="30">
        <v>45807</v>
      </c>
      <c r="B157" s="28" t="s">
        <v>1971</v>
      </c>
      <c r="C157" s="28">
        <v>4.21</v>
      </c>
      <c r="D157" s="28" t="str">
        <f>_xlfn.XLOOKUP(B157,'Payee Ref'!A:A,'Payee Ref'!B:B,"unassigned",0,1)</f>
        <v>Dining</v>
      </c>
      <c r="E157" s="29" t="str">
        <f>_xlfn.XLOOKUP(B157,'Payee Ref'!A:A,'Payee Ref'!C:C,"unassigned",0,1)</f>
        <v>Basic</v>
      </c>
      <c r="F157" s="28" t="s">
        <v>2207</v>
      </c>
    </row>
    <row r="158" spans="1:6" x14ac:dyDescent="0.2">
      <c r="A158" s="30">
        <v>45942</v>
      </c>
      <c r="B158" s="28" t="s">
        <v>11</v>
      </c>
      <c r="C158" s="28">
        <v>4.29</v>
      </c>
      <c r="D158" s="28" t="str">
        <f>_xlfn.XLOOKUP(B158,'Payee Ref'!A:A,'Payee Ref'!B:B,"unassigned",0,1)</f>
        <v>Auto</v>
      </c>
      <c r="E158" s="29" t="str">
        <f>_xlfn.XLOOKUP(B158,'Payee Ref'!A:A,'Payee Ref'!C:C,"unassigned",0,1)</f>
        <v>Basic</v>
      </c>
      <c r="F158" s="28" t="s">
        <v>2207</v>
      </c>
    </row>
    <row r="159" spans="1:6" x14ac:dyDescent="0.2">
      <c r="A159" s="30">
        <v>45740</v>
      </c>
      <c r="B159" s="31" t="s">
        <v>954</v>
      </c>
      <c r="C159" s="28">
        <v>4.3600000000000003</v>
      </c>
      <c r="D159" s="28" t="str">
        <f>_xlfn.XLOOKUP(B159,'Payee Ref'!A:A,'Payee Ref'!B:B,"unassigned",0,1)</f>
        <v>Transportation</v>
      </c>
      <c r="E159" s="29" t="str">
        <f>_xlfn.XLOOKUP(B159,'Payee Ref'!A:A,'Payee Ref'!C:C,"unassigned",0,1)</f>
        <v>Basic</v>
      </c>
      <c r="F159" s="28" t="s">
        <v>2207</v>
      </c>
    </row>
    <row r="160" spans="1:6" x14ac:dyDescent="0.2">
      <c r="A160" s="30">
        <v>45953</v>
      </c>
      <c r="B160" s="28" t="s">
        <v>25</v>
      </c>
      <c r="C160" s="28">
        <v>4.38</v>
      </c>
      <c r="D160" s="28" t="str">
        <f>_xlfn.XLOOKUP(B160,'Payee Ref'!A:A,'Payee Ref'!B:B,"unassigned",0,1)</f>
        <v>Travel</v>
      </c>
      <c r="E160" s="29" t="str">
        <f>_xlfn.XLOOKUP(B160,'Payee Ref'!A:A,'Payee Ref'!C:C,"unassigned",0,1)</f>
        <v>Luxury</v>
      </c>
      <c r="F160" s="28" t="s">
        <v>2207</v>
      </c>
    </row>
    <row r="161" spans="1:6" x14ac:dyDescent="0.2">
      <c r="A161" s="30">
        <v>45974</v>
      </c>
      <c r="B161" s="28" t="s">
        <v>592</v>
      </c>
      <c r="C161" s="28">
        <v>4.4000000000000004</v>
      </c>
      <c r="D161" s="28" t="str">
        <f>_xlfn.XLOOKUP(B161,'Payee Ref'!A:A,'Payee Ref'!B:B,"unassigned",0,1)</f>
        <v>Hardware Technology</v>
      </c>
      <c r="E161" s="29" t="str">
        <f>_xlfn.XLOOKUP(B161,'Payee Ref'!A:A,'Payee Ref'!C:C,"unassigned",0,1)</f>
        <v>Basic</v>
      </c>
      <c r="F161" s="28" t="s">
        <v>2207</v>
      </c>
    </row>
    <row r="162" spans="1:6" x14ac:dyDescent="0.2">
      <c r="A162" s="30">
        <v>45865</v>
      </c>
      <c r="B162" s="31" t="s">
        <v>1543</v>
      </c>
      <c r="C162" s="28">
        <v>4.4000000000000004</v>
      </c>
      <c r="D162" s="28" t="str">
        <f>_xlfn.XLOOKUP(B162,'Payee Ref'!A:A,'Payee Ref'!B:B,"unassigned",0,1)</f>
        <v>Subscriptions / Digital</v>
      </c>
      <c r="E162" s="29" t="str">
        <f>_xlfn.XLOOKUP(B162,'Payee Ref'!A:A,'Payee Ref'!C:C,"unassigned",0,1)</f>
        <v>Luxury</v>
      </c>
      <c r="F162" s="28" t="s">
        <v>2207</v>
      </c>
    </row>
    <row r="163" spans="1:6" x14ac:dyDescent="0.2">
      <c r="A163" s="30">
        <v>45854</v>
      </c>
      <c r="B163" s="31" t="s">
        <v>1543</v>
      </c>
      <c r="C163" s="28">
        <v>4.4000000000000004</v>
      </c>
      <c r="D163" s="28" t="str">
        <f>_xlfn.XLOOKUP(B163,'Payee Ref'!A:A,'Payee Ref'!B:B,"unassigned",0,1)</f>
        <v>Subscriptions / Digital</v>
      </c>
      <c r="E163" s="29" t="str">
        <f>_xlfn.XLOOKUP(B163,'Payee Ref'!A:A,'Payee Ref'!C:C,"unassigned",0,1)</f>
        <v>Luxury</v>
      </c>
      <c r="F163" s="28" t="s">
        <v>2207</v>
      </c>
    </row>
    <row r="164" spans="1:6" x14ac:dyDescent="0.2">
      <c r="A164" s="30">
        <v>45680</v>
      </c>
      <c r="B164" s="28" t="s">
        <v>2154</v>
      </c>
      <c r="C164" s="28">
        <v>4.4000000000000004</v>
      </c>
      <c r="D164" s="28" t="str">
        <f>_xlfn.XLOOKUP(B164,'Payee Ref'!A:A,'Payee Ref'!B:B,"unassigned",0,1)</f>
        <v>Subscriptions / Digital</v>
      </c>
      <c r="E164" s="29" t="str">
        <f>_xlfn.XLOOKUP(B164,'Payee Ref'!A:A,'Payee Ref'!C:C,"unassigned",0,1)</f>
        <v>Luxury</v>
      </c>
      <c r="F164" s="28" t="s">
        <v>2207</v>
      </c>
    </row>
    <row r="165" spans="1:6" x14ac:dyDescent="0.2">
      <c r="A165" s="30">
        <v>45662</v>
      </c>
      <c r="B165" s="28" t="s">
        <v>2184</v>
      </c>
      <c r="C165" s="28">
        <v>4.4000000000000004</v>
      </c>
      <c r="D165" s="28" t="str">
        <f>_xlfn.XLOOKUP(B165,'Payee Ref'!A:A,'Payee Ref'!B:B,"unassigned",0,1)</f>
        <v>Subscriptions / Digital</v>
      </c>
      <c r="E165" s="29" t="str">
        <f>_xlfn.XLOOKUP(B165,'Payee Ref'!A:A,'Payee Ref'!C:C,"unassigned",0,1)</f>
        <v>Luxury</v>
      </c>
      <c r="F165" s="28" t="s">
        <v>2207</v>
      </c>
    </row>
    <row r="166" spans="1:6" x14ac:dyDescent="0.2">
      <c r="A166" s="30">
        <v>45928</v>
      </c>
      <c r="B166" s="28" t="s">
        <v>1613</v>
      </c>
      <c r="C166" s="28">
        <v>4.4000000000000004</v>
      </c>
      <c r="D166" s="28" t="str">
        <f>_xlfn.XLOOKUP(B166,'Payee Ref'!A:A,'Payee Ref'!B:B,"unassigned",0,1)</f>
        <v>unassigned</v>
      </c>
      <c r="E166" s="29" t="str">
        <f>_xlfn.XLOOKUP(B166,'Payee Ref'!A:A,'Payee Ref'!C:C,"unassigned",0,1)</f>
        <v>unassigned</v>
      </c>
      <c r="F166" s="28" t="s">
        <v>2207</v>
      </c>
    </row>
    <row r="167" spans="1:6" x14ac:dyDescent="0.2">
      <c r="A167" s="30">
        <v>45833</v>
      </c>
      <c r="B167" s="28" t="s">
        <v>1894</v>
      </c>
      <c r="C167" s="28">
        <v>4.42</v>
      </c>
      <c r="D167" s="28" t="str">
        <f>_xlfn.XLOOKUP(B167,'Payee Ref'!A:A,'Payee Ref'!B:B,"unassigned",0,1)</f>
        <v>Travel</v>
      </c>
      <c r="E167" s="29" t="str">
        <f>_xlfn.XLOOKUP(B167,'Payee Ref'!A:A,'Payee Ref'!C:C,"unassigned",0,1)</f>
        <v>Luxury</v>
      </c>
      <c r="F167" s="28" t="s">
        <v>2207</v>
      </c>
    </row>
    <row r="168" spans="1:6" x14ac:dyDescent="0.2">
      <c r="A168" s="30">
        <v>45975</v>
      </c>
      <c r="B168" s="28" t="s">
        <v>218</v>
      </c>
      <c r="C168" s="28">
        <v>4.46</v>
      </c>
      <c r="D168" s="28" t="str">
        <f>_xlfn.XLOOKUP(B168,'Payee Ref'!A:A,'Payee Ref'!B:B,"unassigned",0,1)</f>
        <v>Travel</v>
      </c>
      <c r="E168" s="29" t="str">
        <f>_xlfn.XLOOKUP(B168,'Payee Ref'!A:A,'Payee Ref'!C:C,"unassigned",0,1)</f>
        <v>Luxury</v>
      </c>
      <c r="F168" s="28" t="s">
        <v>2207</v>
      </c>
    </row>
    <row r="169" spans="1:6" x14ac:dyDescent="0.2">
      <c r="A169" s="30">
        <v>45969</v>
      </c>
      <c r="B169" s="28" t="s">
        <v>218</v>
      </c>
      <c r="C169" s="28">
        <v>4.46</v>
      </c>
      <c r="D169" s="28" t="str">
        <f>_xlfn.XLOOKUP(B169,'Payee Ref'!A:A,'Payee Ref'!B:B,"unassigned",0,1)</f>
        <v>Travel</v>
      </c>
      <c r="E169" s="29" t="str">
        <f>_xlfn.XLOOKUP(B169,'Payee Ref'!A:A,'Payee Ref'!C:C,"unassigned",0,1)</f>
        <v>Luxury</v>
      </c>
      <c r="F169" s="28" t="s">
        <v>2207</v>
      </c>
    </row>
    <row r="170" spans="1:6" x14ac:dyDescent="0.2">
      <c r="A170" s="30">
        <v>45694</v>
      </c>
      <c r="B170" s="28" t="s">
        <v>2134</v>
      </c>
      <c r="C170" s="28">
        <v>4.49</v>
      </c>
      <c r="D170" s="28" t="str">
        <f>_xlfn.XLOOKUP(B170,'Payee Ref'!A:A,'Payee Ref'!B:B,"unassigned",0,1)</f>
        <v>Groceries</v>
      </c>
      <c r="E170" s="29" t="str">
        <f>_xlfn.XLOOKUP(B170,'Payee Ref'!A:A,'Payee Ref'!C:C,"unassigned",0,1)</f>
        <v>Basic</v>
      </c>
      <c r="F170" s="28" t="s">
        <v>2207</v>
      </c>
    </row>
    <row r="171" spans="1:6" x14ac:dyDescent="0.2">
      <c r="A171" s="30">
        <v>45830</v>
      </c>
      <c r="B171" s="28" t="s">
        <v>1894</v>
      </c>
      <c r="C171" s="28">
        <v>4.5</v>
      </c>
      <c r="D171" s="28" t="str">
        <f>_xlfn.XLOOKUP(B171,'Payee Ref'!A:A,'Payee Ref'!B:B,"unassigned",0,1)</f>
        <v>Travel</v>
      </c>
      <c r="E171" s="29" t="str">
        <f>_xlfn.XLOOKUP(B171,'Payee Ref'!A:A,'Payee Ref'!C:C,"unassigned",0,1)</f>
        <v>Luxury</v>
      </c>
      <c r="F171" s="28" t="s">
        <v>2207</v>
      </c>
    </row>
    <row r="172" spans="1:6" x14ac:dyDescent="0.2">
      <c r="A172" s="30">
        <v>45826</v>
      </c>
      <c r="B172" s="28" t="s">
        <v>1925</v>
      </c>
      <c r="C172" s="28">
        <v>4.51</v>
      </c>
      <c r="D172" s="28" t="str">
        <f>_xlfn.XLOOKUP(B172,'Payee Ref'!A:A,'Payee Ref'!B:B,"unassigned",0,1)</f>
        <v>Dining</v>
      </c>
      <c r="E172" s="29" t="str">
        <f>_xlfn.XLOOKUP(B172,'Payee Ref'!A:A,'Payee Ref'!C:C,"unassigned",0,1)</f>
        <v>Luxury</v>
      </c>
      <c r="F172" s="28" t="s">
        <v>2207</v>
      </c>
    </row>
    <row r="173" spans="1:6" x14ac:dyDescent="0.2">
      <c r="A173" s="30">
        <v>45894</v>
      </c>
      <c r="B173" s="28" t="s">
        <v>1621</v>
      </c>
      <c r="C173" s="28">
        <v>4.6100000000000003</v>
      </c>
      <c r="D173" s="28" t="str">
        <f>_xlfn.XLOOKUP(B173,'Payee Ref'!A:A,'Payee Ref'!B:B,"unassigned",0,1)</f>
        <v>unassigned</v>
      </c>
      <c r="E173" s="29" t="str">
        <f>_xlfn.XLOOKUP(B173,'Payee Ref'!A:A,'Payee Ref'!C:C,"unassigned",0,1)</f>
        <v>unassigned</v>
      </c>
      <c r="F173" s="28" t="s">
        <v>2207</v>
      </c>
    </row>
    <row r="174" spans="1:6" x14ac:dyDescent="0.2">
      <c r="A174" s="30">
        <v>45835</v>
      </c>
      <c r="B174" s="28" t="s">
        <v>1886</v>
      </c>
      <c r="C174" s="28">
        <v>4.6399999999999997</v>
      </c>
      <c r="D174" s="28" t="str">
        <f>_xlfn.XLOOKUP(B174,'Payee Ref'!A:A,'Payee Ref'!B:B,"unassigned",0,1)</f>
        <v>Travel</v>
      </c>
      <c r="E174" s="29" t="str">
        <f>_xlfn.XLOOKUP(B174,'Payee Ref'!A:A,'Payee Ref'!C:C,"unassigned",0,1)</f>
        <v>Luxury</v>
      </c>
      <c r="F174" s="28" t="s">
        <v>2207</v>
      </c>
    </row>
    <row r="175" spans="1:6" x14ac:dyDescent="0.2">
      <c r="A175" s="30">
        <v>45835</v>
      </c>
      <c r="B175" s="28" t="s">
        <v>1886</v>
      </c>
      <c r="C175" s="28">
        <v>4.6399999999999997</v>
      </c>
      <c r="D175" s="28" t="str">
        <f>_xlfn.XLOOKUP(B175,'Payee Ref'!A:A,'Payee Ref'!B:B,"unassigned",0,1)</f>
        <v>Travel</v>
      </c>
      <c r="E175" s="29" t="str">
        <f>_xlfn.XLOOKUP(B175,'Payee Ref'!A:A,'Payee Ref'!C:C,"unassigned",0,1)</f>
        <v>Luxury</v>
      </c>
      <c r="F175" s="28" t="s">
        <v>2207</v>
      </c>
    </row>
    <row r="176" spans="1:6" x14ac:dyDescent="0.2">
      <c r="A176" s="30">
        <v>45672</v>
      </c>
      <c r="B176" s="28" t="s">
        <v>2165</v>
      </c>
      <c r="C176" s="28">
        <v>4.6500000000000004</v>
      </c>
      <c r="D176" s="28" t="str">
        <f>_xlfn.XLOOKUP(B176,'Payee Ref'!A:A,'Payee Ref'!B:B,"unassigned",0,1)</f>
        <v>Dining</v>
      </c>
      <c r="E176" s="29" t="str">
        <f>_xlfn.XLOOKUP(B176,'Payee Ref'!A:A,'Payee Ref'!C:C,"unassigned",0,1)</f>
        <v>Luxury</v>
      </c>
      <c r="F176" s="28" t="s">
        <v>2207</v>
      </c>
    </row>
    <row r="177" spans="1:6" x14ac:dyDescent="0.2">
      <c r="A177" s="30">
        <v>45786</v>
      </c>
      <c r="B177" s="28" t="s">
        <v>1952</v>
      </c>
      <c r="C177" s="28">
        <v>4.66</v>
      </c>
      <c r="D177" s="28" t="str">
        <f>_xlfn.XLOOKUP(B177,'Payee Ref'!A:A,'Payee Ref'!B:B,"unassigned",0,1)</f>
        <v>Groceries</v>
      </c>
      <c r="E177" s="29" t="str">
        <f>_xlfn.XLOOKUP(B177,'Payee Ref'!A:A,'Payee Ref'!C:C,"unassigned",0,1)</f>
        <v>Basic</v>
      </c>
      <c r="F177" s="28" t="s">
        <v>2207</v>
      </c>
    </row>
    <row r="178" spans="1:6" x14ac:dyDescent="0.2">
      <c r="A178" s="30">
        <v>45933</v>
      </c>
      <c r="B178" s="28" t="s">
        <v>40</v>
      </c>
      <c r="C178" s="28">
        <v>4.67</v>
      </c>
      <c r="D178" s="28" t="str">
        <f>_xlfn.XLOOKUP(B178,'Payee Ref'!A:A,'Payee Ref'!B:B,"unassigned",0,1)</f>
        <v>Auto</v>
      </c>
      <c r="E178" s="29" t="str">
        <f>_xlfn.XLOOKUP(B178,'Payee Ref'!A:A,'Payee Ref'!C:C,"unassigned",0,1)</f>
        <v>Basic</v>
      </c>
      <c r="F178" s="28" t="s">
        <v>2207</v>
      </c>
    </row>
    <row r="179" spans="1:6" x14ac:dyDescent="0.2">
      <c r="A179" s="30">
        <v>45857</v>
      </c>
      <c r="B179" s="28" t="s">
        <v>1662</v>
      </c>
      <c r="C179" s="28">
        <v>4.7300000000000004</v>
      </c>
      <c r="D179" s="28" t="str">
        <f>_xlfn.XLOOKUP(B179,'Payee Ref'!A:A,'Payee Ref'!B:B,"unassigned",0,1)</f>
        <v>unassigned</v>
      </c>
      <c r="E179" s="29" t="str">
        <f>_xlfn.XLOOKUP(B179,'Payee Ref'!A:A,'Payee Ref'!C:C,"unassigned",0,1)</f>
        <v>unassigned</v>
      </c>
      <c r="F179" s="28" t="s">
        <v>2207</v>
      </c>
    </row>
    <row r="180" spans="1:6" x14ac:dyDescent="0.2">
      <c r="A180" s="30">
        <v>45905</v>
      </c>
      <c r="B180" s="28" t="s">
        <v>1662</v>
      </c>
      <c r="C180" s="28">
        <v>4.7300000000000004</v>
      </c>
      <c r="D180" s="28" t="str">
        <f>_xlfn.XLOOKUP(B180,'Payee Ref'!A:A,'Payee Ref'!B:B,"unassigned",0,1)</f>
        <v>unassigned</v>
      </c>
      <c r="E180" s="29" t="str">
        <f>_xlfn.XLOOKUP(B180,'Payee Ref'!A:A,'Payee Ref'!C:C,"unassigned",0,1)</f>
        <v>unassigned</v>
      </c>
      <c r="F180" s="28" t="s">
        <v>2207</v>
      </c>
    </row>
    <row r="181" spans="1:6" x14ac:dyDescent="0.2">
      <c r="A181" s="30">
        <v>45915</v>
      </c>
      <c r="B181" s="28" t="s">
        <v>1534</v>
      </c>
      <c r="C181" s="28">
        <v>4.8600000000000003</v>
      </c>
      <c r="D181" s="28" t="str">
        <f>_xlfn.XLOOKUP(B181,'Payee Ref'!A:A,'Payee Ref'!B:B,"unassigned",0,1)</f>
        <v>Dining</v>
      </c>
      <c r="E181" s="29" t="str">
        <f>_xlfn.XLOOKUP(B181,'Payee Ref'!A:A,'Payee Ref'!C:C,"unassigned",0,1)</f>
        <v>Luxury</v>
      </c>
      <c r="F181" s="28" t="s">
        <v>2207</v>
      </c>
    </row>
    <row r="182" spans="1:6" x14ac:dyDescent="0.2">
      <c r="A182" s="30">
        <v>45739</v>
      </c>
      <c r="B182" s="28" t="s">
        <v>2075</v>
      </c>
      <c r="C182" s="28">
        <v>4.88</v>
      </c>
      <c r="D182" s="28" t="str">
        <f>_xlfn.XLOOKUP(B182,'Payee Ref'!A:A,'Payee Ref'!B:B,"unassigned",0,1)</f>
        <v>Dining</v>
      </c>
      <c r="E182" s="29" t="str">
        <f>_xlfn.XLOOKUP(B182,'Payee Ref'!A:A,'Payee Ref'!C:C,"unassigned",0,1)</f>
        <v>Luxury</v>
      </c>
      <c r="F182" s="28" t="s">
        <v>2207</v>
      </c>
    </row>
    <row r="183" spans="1:6" x14ac:dyDescent="0.2">
      <c r="A183" s="30">
        <v>45822</v>
      </c>
      <c r="B183" s="28" t="s">
        <v>1939</v>
      </c>
      <c r="C183" s="28">
        <v>4.8899999999999997</v>
      </c>
      <c r="D183" s="28" t="str">
        <f>_xlfn.XLOOKUP(B183,'Payee Ref'!A:A,'Payee Ref'!B:B,"unassigned",0,1)</f>
        <v>Dining</v>
      </c>
      <c r="E183" s="29" t="str">
        <f>_xlfn.XLOOKUP(B183,'Payee Ref'!A:A,'Payee Ref'!C:C,"unassigned",0,1)</f>
        <v>Luxury</v>
      </c>
      <c r="F183" s="28" t="s">
        <v>2207</v>
      </c>
    </row>
    <row r="184" spans="1:6" x14ac:dyDescent="0.2">
      <c r="A184" s="30">
        <v>45983</v>
      </c>
      <c r="B184" s="28" t="s">
        <v>852</v>
      </c>
      <c r="C184" s="28">
        <v>4.95</v>
      </c>
      <c r="D184" s="28" t="str">
        <f>_xlfn.XLOOKUP(B184,'Payee Ref'!A:A,'Payee Ref'!B:B,"unassigned",0,1)</f>
        <v>Pharmacy</v>
      </c>
      <c r="E184" s="29" t="str">
        <f>_xlfn.XLOOKUP(B184,'Payee Ref'!A:A,'Payee Ref'!C:C,"unassigned",0,1)</f>
        <v>Basic</v>
      </c>
      <c r="F184" s="28" t="s">
        <v>2207</v>
      </c>
    </row>
    <row r="185" spans="1:6" x14ac:dyDescent="0.2">
      <c r="A185" s="30">
        <v>45695</v>
      </c>
      <c r="B185" s="28" t="s">
        <v>2092</v>
      </c>
      <c r="C185" s="28">
        <v>4.97</v>
      </c>
      <c r="D185" s="28" t="str">
        <f>_xlfn.XLOOKUP(B185,'Payee Ref'!A:A,'Payee Ref'!B:B,"unassigned",0,1)</f>
        <v>Dining</v>
      </c>
      <c r="E185" s="29" t="str">
        <f>_xlfn.XLOOKUP(B185,'Payee Ref'!A:A,'Payee Ref'!C:C,"unassigned",0,1)</f>
        <v>Luxury</v>
      </c>
      <c r="F185" s="28" t="s">
        <v>2207</v>
      </c>
    </row>
    <row r="186" spans="1:6" x14ac:dyDescent="0.2">
      <c r="A186" s="30">
        <v>45855</v>
      </c>
      <c r="B186" s="28" t="s">
        <v>1794</v>
      </c>
      <c r="C186" s="28">
        <v>4.99</v>
      </c>
      <c r="D186" s="28" t="str">
        <f>_xlfn.XLOOKUP(B186,'Payee Ref'!A:A,'Payee Ref'!B:B,"unassigned",0,1)</f>
        <v>Travel</v>
      </c>
      <c r="E186" s="29" t="str">
        <f>_xlfn.XLOOKUP(B186,'Payee Ref'!A:A,'Payee Ref'!C:C,"unassigned",0,1)</f>
        <v>Luxury</v>
      </c>
      <c r="F186" s="28" t="s">
        <v>2207</v>
      </c>
    </row>
    <row r="187" spans="1:6" x14ac:dyDescent="0.2">
      <c r="A187" s="30">
        <v>45821</v>
      </c>
      <c r="B187" s="28" t="s">
        <v>1945</v>
      </c>
      <c r="C187" s="28">
        <v>5</v>
      </c>
      <c r="D187" s="28" t="str">
        <f>_xlfn.XLOOKUP(B187,'Payee Ref'!A:A,'Payee Ref'!B:B,"unassigned",0,1)</f>
        <v>Auto</v>
      </c>
      <c r="E187" s="29" t="str">
        <f>_xlfn.XLOOKUP(B187,'Payee Ref'!A:A,'Payee Ref'!C:C,"unassigned",0,1)</f>
        <v>Basic</v>
      </c>
      <c r="F187" s="28" t="s">
        <v>2207</v>
      </c>
    </row>
    <row r="188" spans="1:6" x14ac:dyDescent="0.2">
      <c r="A188" s="30">
        <v>45955</v>
      </c>
      <c r="B188" s="28" t="s">
        <v>390</v>
      </c>
      <c r="C188" s="28">
        <v>5</v>
      </c>
      <c r="D188" s="28" t="str">
        <f>_xlfn.XLOOKUP(B188,'Payee Ref'!A:A,'Payee Ref'!B:B,"unassigned",0,1)</f>
        <v>Dining</v>
      </c>
      <c r="E188" s="29" t="str">
        <f>_xlfn.XLOOKUP(B188,'Payee Ref'!A:A,'Payee Ref'!C:C,"unassigned",0,1)</f>
        <v>Luxury</v>
      </c>
      <c r="F188" s="28" t="s">
        <v>2207</v>
      </c>
    </row>
    <row r="189" spans="1:6" x14ac:dyDescent="0.2">
      <c r="A189" s="30">
        <v>45770</v>
      </c>
      <c r="B189" s="28" t="s">
        <v>1847</v>
      </c>
      <c r="C189" s="28">
        <v>5</v>
      </c>
      <c r="D189" s="28" t="str">
        <f>_xlfn.XLOOKUP(B189,'Payee Ref'!A:A,'Payee Ref'!B:B,"unassigned",0,1)</f>
        <v>Parking</v>
      </c>
      <c r="E189" s="29" t="str">
        <f>_xlfn.XLOOKUP(B189,'Payee Ref'!A:A,'Payee Ref'!C:C,"unassigned",0,1)</f>
        <v>Basic</v>
      </c>
      <c r="F189" s="28" t="s">
        <v>2207</v>
      </c>
    </row>
    <row r="190" spans="1:6" x14ac:dyDescent="0.2">
      <c r="A190" s="30">
        <v>45679</v>
      </c>
      <c r="B190" s="28" t="s">
        <v>1847</v>
      </c>
      <c r="C190" s="28">
        <v>5</v>
      </c>
      <c r="D190" s="28" t="str">
        <f>_xlfn.XLOOKUP(B190,'Payee Ref'!A:A,'Payee Ref'!B:B,"unassigned",0,1)</f>
        <v>Parking</v>
      </c>
      <c r="E190" s="29" t="str">
        <f>_xlfn.XLOOKUP(B190,'Payee Ref'!A:A,'Payee Ref'!C:C,"unassigned",0,1)</f>
        <v>Basic</v>
      </c>
      <c r="F190" s="28" t="s">
        <v>2207</v>
      </c>
    </row>
    <row r="191" spans="1:6" x14ac:dyDescent="0.2">
      <c r="A191" s="30">
        <v>45660</v>
      </c>
      <c r="B191" s="28" t="s">
        <v>2190</v>
      </c>
      <c r="C191" s="28">
        <v>5</v>
      </c>
      <c r="D191" s="28" t="str">
        <f>_xlfn.XLOOKUP(B191,'Payee Ref'!A:A,'Payee Ref'!B:B,"unassigned",0,1)</f>
        <v>Parking</v>
      </c>
      <c r="E191" s="29" t="str">
        <f>_xlfn.XLOOKUP(B191,'Payee Ref'!A:A,'Payee Ref'!C:C,"unassigned",0,1)</f>
        <v>Basic</v>
      </c>
      <c r="F191" s="28" t="s">
        <v>2207</v>
      </c>
    </row>
    <row r="192" spans="1:6" x14ac:dyDescent="0.2">
      <c r="A192" s="30">
        <v>45975</v>
      </c>
      <c r="B192" s="28" t="s">
        <v>1179</v>
      </c>
      <c r="C192" s="28">
        <v>5</v>
      </c>
      <c r="D192" s="28" t="str">
        <f>_xlfn.XLOOKUP(B192,'Payee Ref'!A:A,'Payee Ref'!B:B,"unassigned",0,1)</f>
        <v>Van</v>
      </c>
      <c r="E192" s="29" t="str">
        <f>_xlfn.XLOOKUP(B192,'Payee Ref'!A:A,'Payee Ref'!C:C,"unassigned",0,1)</f>
        <v>Luxury</v>
      </c>
      <c r="F192" s="28" t="s">
        <v>2207</v>
      </c>
    </row>
    <row r="193" spans="1:6" x14ac:dyDescent="0.2">
      <c r="A193" s="30">
        <v>45944</v>
      </c>
      <c r="B193" s="28" t="s">
        <v>1179</v>
      </c>
      <c r="C193" s="28">
        <v>5</v>
      </c>
      <c r="D193" s="28" t="str">
        <f>_xlfn.XLOOKUP(B193,'Payee Ref'!A:A,'Payee Ref'!B:B,"unassigned",0,1)</f>
        <v>Van</v>
      </c>
      <c r="E193" s="29" t="str">
        <f>_xlfn.XLOOKUP(B193,'Payee Ref'!A:A,'Payee Ref'!C:C,"unassigned",0,1)</f>
        <v>Luxury</v>
      </c>
      <c r="F193" s="28" t="s">
        <v>2207</v>
      </c>
    </row>
    <row r="194" spans="1:6" x14ac:dyDescent="0.2">
      <c r="A194" s="30">
        <v>45956</v>
      </c>
      <c r="B194" s="28" t="s">
        <v>179</v>
      </c>
      <c r="C194" s="28">
        <v>5.01</v>
      </c>
      <c r="D194" s="28" t="str">
        <f>_xlfn.XLOOKUP(B194,'Payee Ref'!A:A,'Payee Ref'!B:B,"unassigned",0,1)</f>
        <v>Dining</v>
      </c>
      <c r="E194" s="29" t="str">
        <f>_xlfn.XLOOKUP(B194,'Payee Ref'!A:A,'Payee Ref'!C:C,"unassigned",0,1)</f>
        <v>Luxury</v>
      </c>
      <c r="F194" s="28" t="s">
        <v>2207</v>
      </c>
    </row>
    <row r="195" spans="1:6" x14ac:dyDescent="0.2">
      <c r="A195" s="30">
        <v>45683</v>
      </c>
      <c r="B195" s="31" t="s">
        <v>2150</v>
      </c>
      <c r="C195" s="28">
        <v>5.07</v>
      </c>
      <c r="D195" s="28" t="str">
        <f>_xlfn.XLOOKUP(B195,'Payee Ref'!A:A,'Payee Ref'!B:B,"unassigned",0,1)</f>
        <v>Home &amp; Garden</v>
      </c>
      <c r="E195" s="29" t="str">
        <f>_xlfn.XLOOKUP(B195,'Payee Ref'!A:A,'Payee Ref'!C:C,"unassigned",0,1)</f>
        <v>Basic</v>
      </c>
      <c r="F195" s="28" t="s">
        <v>2207</v>
      </c>
    </row>
    <row r="196" spans="1:6" x14ac:dyDescent="0.2">
      <c r="A196" s="30">
        <v>45886</v>
      </c>
      <c r="B196" s="28" t="s">
        <v>1714</v>
      </c>
      <c r="C196" s="28">
        <v>5.07</v>
      </c>
      <c r="D196" s="28" t="str">
        <f>_xlfn.XLOOKUP(B196,'Payee Ref'!A:A,'Payee Ref'!B:B,"unassigned",0,1)</f>
        <v>unassigned</v>
      </c>
      <c r="E196" s="29" t="str">
        <f>_xlfn.XLOOKUP(B196,'Payee Ref'!A:A,'Payee Ref'!C:C,"unassigned",0,1)</f>
        <v>unassigned</v>
      </c>
      <c r="F196" s="28" t="s">
        <v>2207</v>
      </c>
    </row>
    <row r="197" spans="1:6" x14ac:dyDescent="0.2">
      <c r="A197" s="30">
        <v>45832</v>
      </c>
      <c r="B197" s="28" t="s">
        <v>1894</v>
      </c>
      <c r="C197" s="28">
        <v>5.0999999999999996</v>
      </c>
      <c r="D197" s="28" t="str">
        <f>_xlfn.XLOOKUP(B197,'Payee Ref'!A:A,'Payee Ref'!B:B,"unassigned",0,1)</f>
        <v>Travel</v>
      </c>
      <c r="E197" s="29" t="str">
        <f>_xlfn.XLOOKUP(B197,'Payee Ref'!A:A,'Payee Ref'!C:C,"unassigned",0,1)</f>
        <v>Luxury</v>
      </c>
      <c r="F197" s="28" t="s">
        <v>2207</v>
      </c>
    </row>
    <row r="198" spans="1:6" x14ac:dyDescent="0.2">
      <c r="A198" s="30">
        <v>45833</v>
      </c>
      <c r="B198" s="28" t="s">
        <v>1894</v>
      </c>
      <c r="C198" s="28">
        <v>5.12</v>
      </c>
      <c r="D198" s="28" t="str">
        <f>_xlfn.XLOOKUP(B198,'Payee Ref'!A:A,'Payee Ref'!B:B,"unassigned",0,1)</f>
        <v>Travel</v>
      </c>
      <c r="E198" s="29" t="str">
        <f>_xlfn.XLOOKUP(B198,'Payee Ref'!A:A,'Payee Ref'!C:C,"unassigned",0,1)</f>
        <v>Luxury</v>
      </c>
      <c r="F198" s="28" t="s">
        <v>2207</v>
      </c>
    </row>
    <row r="199" spans="1:6" x14ac:dyDescent="0.2">
      <c r="A199" s="30">
        <v>45833</v>
      </c>
      <c r="B199" s="28" t="s">
        <v>1894</v>
      </c>
      <c r="C199" s="28">
        <v>5.12</v>
      </c>
      <c r="D199" s="28" t="str">
        <f>_xlfn.XLOOKUP(B199,'Payee Ref'!A:A,'Payee Ref'!B:B,"unassigned",0,1)</f>
        <v>Travel</v>
      </c>
      <c r="E199" s="29" t="str">
        <f>_xlfn.XLOOKUP(B199,'Payee Ref'!A:A,'Payee Ref'!C:C,"unassigned",0,1)</f>
        <v>Luxury</v>
      </c>
      <c r="F199" s="28" t="s">
        <v>2207</v>
      </c>
    </row>
    <row r="200" spans="1:6" x14ac:dyDescent="0.2">
      <c r="A200" s="30">
        <v>45938</v>
      </c>
      <c r="B200" s="28" t="s">
        <v>1576</v>
      </c>
      <c r="C200" s="28">
        <v>5.15</v>
      </c>
      <c r="D200" s="28" t="str">
        <f>_xlfn.XLOOKUP(B200,'Payee Ref'!A:A,'Payee Ref'!B:B,"unassigned",0,1)</f>
        <v>Bank Fees</v>
      </c>
      <c r="E200" s="29" t="str">
        <f>_xlfn.XLOOKUP(B200,'Payee Ref'!A:A,'Payee Ref'!C:C,"unassigned",0,1)</f>
        <v>Luxury</v>
      </c>
      <c r="F200" s="28" t="s">
        <v>2207</v>
      </c>
    </row>
    <row r="201" spans="1:6" x14ac:dyDescent="0.2">
      <c r="A201" s="30">
        <v>45898</v>
      </c>
      <c r="B201" s="31" t="s">
        <v>1681</v>
      </c>
      <c r="C201" s="28">
        <v>5.24</v>
      </c>
      <c r="D201" s="28" t="str">
        <f>_xlfn.XLOOKUP(B201,'Payee Ref'!A:A,'Payee Ref'!B:B,"unassigned",0,1)</f>
        <v>unassigned</v>
      </c>
      <c r="E201" s="29" t="str">
        <f>_xlfn.XLOOKUP(B201,'Payee Ref'!A:A,'Payee Ref'!C:C,"unassigned",0,1)</f>
        <v>unassigned</v>
      </c>
      <c r="F201" s="28" t="s">
        <v>2207</v>
      </c>
    </row>
    <row r="202" spans="1:6" x14ac:dyDescent="0.2">
      <c r="A202" s="30">
        <v>45969</v>
      </c>
      <c r="B202" s="28" t="s">
        <v>459</v>
      </c>
      <c r="C202" s="28">
        <v>5.26</v>
      </c>
      <c r="D202" s="28" t="str">
        <f>_xlfn.XLOOKUP(B202,'Payee Ref'!A:A,'Payee Ref'!B:B,"unassigned",0,1)</f>
        <v>Dining</v>
      </c>
      <c r="E202" s="29" t="str">
        <f>_xlfn.XLOOKUP(B202,'Payee Ref'!A:A,'Payee Ref'!C:C,"unassigned",0,1)</f>
        <v>Luxury</v>
      </c>
      <c r="F202" s="28" t="s">
        <v>2207</v>
      </c>
    </row>
    <row r="203" spans="1:6" x14ac:dyDescent="0.2">
      <c r="A203" s="30">
        <v>45832</v>
      </c>
      <c r="B203" s="28" t="s">
        <v>1894</v>
      </c>
      <c r="C203" s="28">
        <v>5.33</v>
      </c>
      <c r="D203" s="28" t="str">
        <f>_xlfn.XLOOKUP(B203,'Payee Ref'!A:A,'Payee Ref'!B:B,"unassigned",0,1)</f>
        <v>Travel</v>
      </c>
      <c r="E203" s="29" t="str">
        <f>_xlfn.XLOOKUP(B203,'Payee Ref'!A:A,'Payee Ref'!C:C,"unassigned",0,1)</f>
        <v>Luxury</v>
      </c>
      <c r="F203" s="28" t="s">
        <v>2207</v>
      </c>
    </row>
    <row r="204" spans="1:6" x14ac:dyDescent="0.2">
      <c r="A204" s="30">
        <v>45969</v>
      </c>
      <c r="B204" s="28" t="s">
        <v>546</v>
      </c>
      <c r="C204" s="28">
        <v>5.34</v>
      </c>
      <c r="D204" s="28" t="str">
        <f>_xlfn.XLOOKUP(B204,'Payee Ref'!A:A,'Payee Ref'!B:B,"unassigned",0,1)</f>
        <v>Groceries</v>
      </c>
      <c r="E204" s="29" t="str">
        <f>_xlfn.XLOOKUP(B204,'Payee Ref'!A:A,'Payee Ref'!C:C,"unassigned",0,1)</f>
        <v>Basic</v>
      </c>
      <c r="F204" s="28" t="s">
        <v>2207</v>
      </c>
    </row>
    <row r="205" spans="1:6" x14ac:dyDescent="0.2">
      <c r="A205" s="30">
        <v>45669</v>
      </c>
      <c r="B205" s="28" t="s">
        <v>2170</v>
      </c>
      <c r="C205" s="28">
        <v>5.42</v>
      </c>
      <c r="D205" s="28" t="str">
        <f>_xlfn.XLOOKUP(B205,'Payee Ref'!A:A,'Payee Ref'!B:B,"unassigned",0,1)</f>
        <v>Groceries</v>
      </c>
      <c r="E205" s="29" t="str">
        <f>_xlfn.XLOOKUP(B205,'Payee Ref'!A:A,'Payee Ref'!C:C,"unassigned",0,1)</f>
        <v>Basic</v>
      </c>
      <c r="F205" s="28" t="s">
        <v>2207</v>
      </c>
    </row>
    <row r="206" spans="1:6" x14ac:dyDescent="0.2">
      <c r="A206" s="30">
        <v>45785</v>
      </c>
      <c r="B206" s="28" t="s">
        <v>72</v>
      </c>
      <c r="C206" s="28">
        <v>5.44</v>
      </c>
      <c r="D206" s="28" t="str">
        <f>_xlfn.XLOOKUP(B206,'Payee Ref'!A:A,'Payee Ref'!B:B,"unassigned",0,1)</f>
        <v>Bank Fees</v>
      </c>
      <c r="E206" s="29" t="str">
        <f>_xlfn.XLOOKUP(B206,'Payee Ref'!A:A,'Payee Ref'!C:C,"unassigned",0,1)</f>
        <v>Luxury</v>
      </c>
      <c r="F206" s="28" t="s">
        <v>2207</v>
      </c>
    </row>
    <row r="207" spans="1:6" x14ac:dyDescent="0.2">
      <c r="A207" s="30">
        <v>45941</v>
      </c>
      <c r="B207" s="28" t="s">
        <v>40</v>
      </c>
      <c r="C207" s="28">
        <v>5.5</v>
      </c>
      <c r="D207" s="28" t="str">
        <f>_xlfn.XLOOKUP(B207,'Payee Ref'!A:A,'Payee Ref'!B:B,"unassigned",0,1)</f>
        <v>Auto</v>
      </c>
      <c r="E207" s="29" t="str">
        <f>_xlfn.XLOOKUP(B207,'Payee Ref'!A:A,'Payee Ref'!C:C,"unassigned",0,1)</f>
        <v>Basic</v>
      </c>
      <c r="F207" s="28" t="s">
        <v>2207</v>
      </c>
    </row>
    <row r="208" spans="1:6" x14ac:dyDescent="0.2">
      <c r="A208" s="30">
        <v>45824</v>
      </c>
      <c r="B208" s="28" t="s">
        <v>1847</v>
      </c>
      <c r="C208" s="28">
        <v>5.5</v>
      </c>
      <c r="D208" s="28" t="str">
        <f>_xlfn.XLOOKUP(B208,'Payee Ref'!A:A,'Payee Ref'!B:B,"unassigned",0,1)</f>
        <v>Parking</v>
      </c>
      <c r="E208" s="29" t="str">
        <f>_xlfn.XLOOKUP(B208,'Payee Ref'!A:A,'Payee Ref'!C:C,"unassigned",0,1)</f>
        <v>Basic</v>
      </c>
      <c r="F208" s="28" t="s">
        <v>2207</v>
      </c>
    </row>
    <row r="209" spans="1:6" x14ac:dyDescent="0.2">
      <c r="A209" s="30">
        <v>45679</v>
      </c>
      <c r="B209" s="28" t="s">
        <v>1547</v>
      </c>
      <c r="C209" s="28">
        <v>5.5</v>
      </c>
      <c r="D209" s="28" t="str">
        <f>_xlfn.XLOOKUP(B209,'Payee Ref'!A:A,'Payee Ref'!B:B,"unassigned",0,1)</f>
        <v>Pharmacy</v>
      </c>
      <c r="E209" s="29" t="str">
        <f>_xlfn.XLOOKUP(B209,'Payee Ref'!A:A,'Payee Ref'!C:C,"unassigned",0,1)</f>
        <v>Basic</v>
      </c>
      <c r="F209" s="28" t="s">
        <v>2207</v>
      </c>
    </row>
    <row r="210" spans="1:6" x14ac:dyDescent="0.2">
      <c r="A210" s="30">
        <v>45885</v>
      </c>
      <c r="B210" s="28" t="s">
        <v>1550</v>
      </c>
      <c r="C210" s="28">
        <v>5.5</v>
      </c>
      <c r="D210" s="28" t="str">
        <f>_xlfn.XLOOKUP(B210,'Payee Ref'!A:A,'Payee Ref'!B:B,"unassigned",0,1)</f>
        <v>unassigned</v>
      </c>
      <c r="E210" s="29" t="str">
        <f>_xlfn.XLOOKUP(B210,'Payee Ref'!A:A,'Payee Ref'!C:C,"unassigned",0,1)</f>
        <v>unassigned</v>
      </c>
      <c r="F210" s="28" t="s">
        <v>2207</v>
      </c>
    </row>
    <row r="211" spans="1:6" x14ac:dyDescent="0.2">
      <c r="A211" s="30">
        <v>45887</v>
      </c>
      <c r="B211" s="28" t="s">
        <v>1550</v>
      </c>
      <c r="C211" s="28">
        <v>5.5</v>
      </c>
      <c r="D211" s="28" t="str">
        <f>_xlfn.XLOOKUP(B211,'Payee Ref'!A:A,'Payee Ref'!B:B,"unassigned",0,1)</f>
        <v>unassigned</v>
      </c>
      <c r="E211" s="29" t="str">
        <f>_xlfn.XLOOKUP(B211,'Payee Ref'!A:A,'Payee Ref'!C:C,"unassigned",0,1)</f>
        <v>unassigned</v>
      </c>
      <c r="F211" s="28" t="s">
        <v>2207</v>
      </c>
    </row>
    <row r="212" spans="1:6" x14ac:dyDescent="0.2">
      <c r="A212" s="30">
        <v>45884</v>
      </c>
      <c r="B212" s="28" t="s">
        <v>1603</v>
      </c>
      <c r="C212" s="28">
        <v>5.51</v>
      </c>
      <c r="D212" s="28" t="str">
        <f>_xlfn.XLOOKUP(B212,'Payee Ref'!A:A,'Payee Ref'!B:B,"unassigned",0,1)</f>
        <v>Auto</v>
      </c>
      <c r="E212" s="29" t="str">
        <f>_xlfn.XLOOKUP(B212,'Payee Ref'!A:A,'Payee Ref'!C:C,"unassigned",0,1)</f>
        <v>Basic</v>
      </c>
      <c r="F212" s="28" t="s">
        <v>2207</v>
      </c>
    </row>
    <row r="213" spans="1:6" x14ac:dyDescent="0.2">
      <c r="A213" s="30">
        <v>45783</v>
      </c>
      <c r="B213" s="28" t="s">
        <v>1953</v>
      </c>
      <c r="C213" s="28">
        <v>5.51</v>
      </c>
      <c r="D213" s="28" t="str">
        <f>_xlfn.XLOOKUP(B213,'Payee Ref'!A:A,'Payee Ref'!B:B,"unassigned",0,1)</f>
        <v>Dining</v>
      </c>
      <c r="E213" s="29" t="str">
        <f>_xlfn.XLOOKUP(B213,'Payee Ref'!A:A,'Payee Ref'!C:C,"unassigned",0,1)</f>
        <v>Luxury</v>
      </c>
      <c r="F213" s="28" t="s">
        <v>2207</v>
      </c>
    </row>
    <row r="214" spans="1:6" x14ac:dyDescent="0.2">
      <c r="A214" s="30">
        <v>45939</v>
      </c>
      <c r="B214" s="28" t="s">
        <v>592</v>
      </c>
      <c r="C214" s="28">
        <v>5.51</v>
      </c>
      <c r="D214" s="28" t="str">
        <f>_xlfn.XLOOKUP(B214,'Payee Ref'!A:A,'Payee Ref'!B:B,"unassigned",0,1)</f>
        <v>Hardware Technology</v>
      </c>
      <c r="E214" s="29" t="str">
        <f>_xlfn.XLOOKUP(B214,'Payee Ref'!A:A,'Payee Ref'!C:C,"unassigned",0,1)</f>
        <v>Basic</v>
      </c>
      <c r="F214" s="28" t="s">
        <v>2207</v>
      </c>
    </row>
    <row r="215" spans="1:6" x14ac:dyDescent="0.2">
      <c r="A215" s="30">
        <v>45815</v>
      </c>
      <c r="B215" s="31" t="s">
        <v>1543</v>
      </c>
      <c r="C215" s="28">
        <v>5.51</v>
      </c>
      <c r="D215" s="28" t="str">
        <f>_xlfn.XLOOKUP(B215,'Payee Ref'!A:A,'Payee Ref'!B:B,"unassigned",0,1)</f>
        <v>Subscriptions / Digital</v>
      </c>
      <c r="E215" s="29" t="str">
        <f>_xlfn.XLOOKUP(B215,'Payee Ref'!A:A,'Payee Ref'!C:C,"unassigned",0,1)</f>
        <v>Luxury</v>
      </c>
      <c r="F215" s="28" t="s">
        <v>2207</v>
      </c>
    </row>
    <row r="216" spans="1:6" x14ac:dyDescent="0.2">
      <c r="A216" s="30">
        <v>45909</v>
      </c>
      <c r="B216" s="28" t="s">
        <v>1547</v>
      </c>
      <c r="C216" s="28">
        <v>5.52</v>
      </c>
      <c r="D216" s="28" t="str">
        <f>_xlfn.XLOOKUP(B216,'Payee Ref'!A:A,'Payee Ref'!B:B,"unassigned",0,1)</f>
        <v>Pharmacy</v>
      </c>
      <c r="E216" s="29" t="str">
        <f>_xlfn.XLOOKUP(B216,'Payee Ref'!A:A,'Payee Ref'!C:C,"unassigned",0,1)</f>
        <v>Basic</v>
      </c>
      <c r="F216" s="28" t="s">
        <v>2207</v>
      </c>
    </row>
    <row r="217" spans="1:6" x14ac:dyDescent="0.2">
      <c r="A217" s="30">
        <v>45887</v>
      </c>
      <c r="B217" s="28" t="s">
        <v>1547</v>
      </c>
      <c r="C217" s="28">
        <v>5.52</v>
      </c>
      <c r="D217" s="28" t="str">
        <f>_xlfn.XLOOKUP(B217,'Payee Ref'!A:A,'Payee Ref'!B:B,"unassigned",0,1)</f>
        <v>Pharmacy</v>
      </c>
      <c r="E217" s="29" t="str">
        <f>_xlfn.XLOOKUP(B217,'Payee Ref'!A:A,'Payee Ref'!C:C,"unassigned",0,1)</f>
        <v>Basic</v>
      </c>
      <c r="F217" s="28" t="s">
        <v>2207</v>
      </c>
    </row>
    <row r="218" spans="1:6" x14ac:dyDescent="0.2">
      <c r="A218" s="30">
        <v>45880</v>
      </c>
      <c r="B218" s="28" t="s">
        <v>1547</v>
      </c>
      <c r="C218" s="28">
        <v>5.52</v>
      </c>
      <c r="D218" s="28" t="str">
        <f>_xlfn.XLOOKUP(B218,'Payee Ref'!A:A,'Payee Ref'!B:B,"unassigned",0,1)</f>
        <v>Pharmacy</v>
      </c>
      <c r="E218" s="29" t="str">
        <f>_xlfn.XLOOKUP(B218,'Payee Ref'!A:A,'Payee Ref'!C:C,"unassigned",0,1)</f>
        <v>Basic</v>
      </c>
      <c r="F218" s="28" t="s">
        <v>2207</v>
      </c>
    </row>
    <row r="219" spans="1:6" x14ac:dyDescent="0.2">
      <c r="A219" s="30">
        <v>45847</v>
      </c>
      <c r="B219" s="28" t="s">
        <v>1547</v>
      </c>
      <c r="C219" s="28">
        <v>5.52</v>
      </c>
      <c r="D219" s="28" t="str">
        <f>_xlfn.XLOOKUP(B219,'Payee Ref'!A:A,'Payee Ref'!B:B,"unassigned",0,1)</f>
        <v>Pharmacy</v>
      </c>
      <c r="E219" s="29" t="str">
        <f>_xlfn.XLOOKUP(B219,'Payee Ref'!A:A,'Payee Ref'!C:C,"unassigned",0,1)</f>
        <v>Basic</v>
      </c>
      <c r="F219" s="28" t="s">
        <v>2207</v>
      </c>
    </row>
    <row r="220" spans="1:6" x14ac:dyDescent="0.2">
      <c r="A220" s="30">
        <v>45839</v>
      </c>
      <c r="B220" s="28" t="s">
        <v>1547</v>
      </c>
      <c r="C220" s="28">
        <v>5.52</v>
      </c>
      <c r="D220" s="28" t="str">
        <f>_xlfn.XLOOKUP(B220,'Payee Ref'!A:A,'Payee Ref'!B:B,"unassigned",0,1)</f>
        <v>Pharmacy</v>
      </c>
      <c r="E220" s="29" t="str">
        <f>_xlfn.XLOOKUP(B220,'Payee Ref'!A:A,'Payee Ref'!C:C,"unassigned",0,1)</f>
        <v>Basic</v>
      </c>
      <c r="F220" s="28" t="s">
        <v>2207</v>
      </c>
    </row>
    <row r="221" spans="1:6" x14ac:dyDescent="0.2">
      <c r="A221" s="30">
        <v>45789</v>
      </c>
      <c r="B221" s="28" t="s">
        <v>1547</v>
      </c>
      <c r="C221" s="28">
        <v>5.52</v>
      </c>
      <c r="D221" s="28" t="str">
        <f>_xlfn.XLOOKUP(B221,'Payee Ref'!A:A,'Payee Ref'!B:B,"unassigned",0,1)</f>
        <v>Pharmacy</v>
      </c>
      <c r="E221" s="29" t="str">
        <f>_xlfn.XLOOKUP(B221,'Payee Ref'!A:A,'Payee Ref'!C:C,"unassigned",0,1)</f>
        <v>Basic</v>
      </c>
      <c r="F221" s="28" t="s">
        <v>2207</v>
      </c>
    </row>
    <row r="222" spans="1:6" x14ac:dyDescent="0.2">
      <c r="A222" s="30">
        <v>45769</v>
      </c>
      <c r="B222" s="28" t="s">
        <v>1547</v>
      </c>
      <c r="C222" s="28">
        <v>5.52</v>
      </c>
      <c r="D222" s="28" t="str">
        <f>_xlfn.XLOOKUP(B222,'Payee Ref'!A:A,'Payee Ref'!B:B,"unassigned",0,1)</f>
        <v>Pharmacy</v>
      </c>
      <c r="E222" s="29" t="str">
        <f>_xlfn.XLOOKUP(B222,'Payee Ref'!A:A,'Payee Ref'!C:C,"unassigned",0,1)</f>
        <v>Basic</v>
      </c>
      <c r="F222" s="28" t="s">
        <v>2207</v>
      </c>
    </row>
    <row r="223" spans="1:6" x14ac:dyDescent="0.2">
      <c r="A223" s="30">
        <v>45758</v>
      </c>
      <c r="B223" s="28" t="s">
        <v>1547</v>
      </c>
      <c r="C223" s="28">
        <v>5.52</v>
      </c>
      <c r="D223" s="28" t="str">
        <f>_xlfn.XLOOKUP(B223,'Payee Ref'!A:A,'Payee Ref'!B:B,"unassigned",0,1)</f>
        <v>Pharmacy</v>
      </c>
      <c r="E223" s="29" t="str">
        <f>_xlfn.XLOOKUP(B223,'Payee Ref'!A:A,'Payee Ref'!C:C,"unassigned",0,1)</f>
        <v>Basic</v>
      </c>
      <c r="F223" s="28" t="s">
        <v>2207</v>
      </c>
    </row>
    <row r="224" spans="1:6" x14ac:dyDescent="0.2">
      <c r="A224" s="30">
        <v>45735</v>
      </c>
      <c r="B224" s="28" t="s">
        <v>1547</v>
      </c>
      <c r="C224" s="28">
        <v>5.52</v>
      </c>
      <c r="D224" s="28" t="str">
        <f>_xlfn.XLOOKUP(B224,'Payee Ref'!A:A,'Payee Ref'!B:B,"unassigned",0,1)</f>
        <v>Pharmacy</v>
      </c>
      <c r="E224" s="29" t="str">
        <f>_xlfn.XLOOKUP(B224,'Payee Ref'!A:A,'Payee Ref'!C:C,"unassigned",0,1)</f>
        <v>Basic</v>
      </c>
      <c r="F224" s="28" t="s">
        <v>2207</v>
      </c>
    </row>
    <row r="225" spans="1:6" x14ac:dyDescent="0.2">
      <c r="A225" s="30">
        <v>45706</v>
      </c>
      <c r="B225" s="28" t="s">
        <v>1547</v>
      </c>
      <c r="C225" s="28">
        <v>5.52</v>
      </c>
      <c r="D225" s="28" t="str">
        <f>_xlfn.XLOOKUP(B225,'Payee Ref'!A:A,'Payee Ref'!B:B,"unassigned",0,1)</f>
        <v>Pharmacy</v>
      </c>
      <c r="E225" s="29" t="str">
        <f>_xlfn.XLOOKUP(B225,'Payee Ref'!A:A,'Payee Ref'!C:C,"unassigned",0,1)</f>
        <v>Basic</v>
      </c>
      <c r="F225" s="28" t="s">
        <v>2207</v>
      </c>
    </row>
    <row r="226" spans="1:6" x14ac:dyDescent="0.2">
      <c r="A226" s="30">
        <v>45831</v>
      </c>
      <c r="B226" s="28" t="s">
        <v>1906</v>
      </c>
      <c r="C226" s="28">
        <v>5.54</v>
      </c>
      <c r="D226" s="28" t="str">
        <f>_xlfn.XLOOKUP(B226,'Payee Ref'!A:A,'Payee Ref'!B:B,"unassigned",0,1)</f>
        <v>Travel</v>
      </c>
      <c r="E226" s="29" t="str">
        <f>_xlfn.XLOOKUP(B226,'Payee Ref'!A:A,'Payee Ref'!C:C,"unassigned",0,1)</f>
        <v>Luxury</v>
      </c>
      <c r="F226" s="28" t="s">
        <v>2207</v>
      </c>
    </row>
    <row r="227" spans="1:6" x14ac:dyDescent="0.2">
      <c r="A227" s="30">
        <v>45772</v>
      </c>
      <c r="B227" s="28" t="s">
        <v>1847</v>
      </c>
      <c r="C227" s="28">
        <v>5.59</v>
      </c>
      <c r="D227" s="28" t="str">
        <f>_xlfn.XLOOKUP(B227,'Payee Ref'!A:A,'Payee Ref'!B:B,"unassigned",0,1)</f>
        <v>Parking</v>
      </c>
      <c r="E227" s="29" t="str">
        <f>_xlfn.XLOOKUP(B227,'Payee Ref'!A:A,'Payee Ref'!C:C,"unassigned",0,1)</f>
        <v>Basic</v>
      </c>
      <c r="F227" s="28" t="s">
        <v>2207</v>
      </c>
    </row>
    <row r="228" spans="1:6" x14ac:dyDescent="0.2">
      <c r="A228" s="30">
        <v>45792</v>
      </c>
      <c r="B228" s="28" t="s">
        <v>1997</v>
      </c>
      <c r="C228" s="28">
        <v>5.62</v>
      </c>
      <c r="D228" s="28" t="str">
        <f>_xlfn.XLOOKUP(B228,'Payee Ref'!A:A,'Payee Ref'!B:B,"unassigned",0,1)</f>
        <v>Clothing</v>
      </c>
      <c r="E228" s="29" t="str">
        <f>_xlfn.XLOOKUP(B228,'Payee Ref'!A:A,'Payee Ref'!C:C,"unassigned",0,1)</f>
        <v>Luxury</v>
      </c>
      <c r="F228" s="28" t="s">
        <v>2207</v>
      </c>
    </row>
    <row r="229" spans="1:6" x14ac:dyDescent="0.2">
      <c r="A229" s="30">
        <v>45926</v>
      </c>
      <c r="B229" s="28" t="s">
        <v>1547</v>
      </c>
      <c r="C229" s="28">
        <v>5.62</v>
      </c>
      <c r="D229" s="28" t="str">
        <f>_xlfn.XLOOKUP(B229,'Payee Ref'!A:A,'Payee Ref'!B:B,"unassigned",0,1)</f>
        <v>Pharmacy</v>
      </c>
      <c r="E229" s="29" t="str">
        <f>_xlfn.XLOOKUP(B229,'Payee Ref'!A:A,'Payee Ref'!C:C,"unassigned",0,1)</f>
        <v>Basic</v>
      </c>
      <c r="F229" s="28" t="s">
        <v>2207</v>
      </c>
    </row>
    <row r="230" spans="1:6" x14ac:dyDescent="0.2">
      <c r="A230" s="30">
        <v>45658</v>
      </c>
      <c r="B230" s="28" t="s">
        <v>2202</v>
      </c>
      <c r="C230" s="28">
        <v>5.63</v>
      </c>
      <c r="D230" s="28" t="str">
        <f>_xlfn.XLOOKUP(B230,'Payee Ref'!A:A,'Payee Ref'!B:B,"unassigned",0,1)</f>
        <v>Groceries</v>
      </c>
      <c r="E230" s="29" t="str">
        <f>_xlfn.XLOOKUP(B230,'Payee Ref'!A:A,'Payee Ref'!C:C,"unassigned",0,1)</f>
        <v>Basic</v>
      </c>
      <c r="F230" s="28" t="s">
        <v>2207</v>
      </c>
    </row>
    <row r="231" spans="1:6" x14ac:dyDescent="0.2">
      <c r="A231" s="30">
        <v>45808</v>
      </c>
      <c r="B231" s="28" t="s">
        <v>1847</v>
      </c>
      <c r="C231" s="28">
        <v>5.63</v>
      </c>
      <c r="D231" s="28" t="str">
        <f>_xlfn.XLOOKUP(B231,'Payee Ref'!A:A,'Payee Ref'!B:B,"unassigned",0,1)</f>
        <v>Parking</v>
      </c>
      <c r="E231" s="29" t="str">
        <f>_xlfn.XLOOKUP(B231,'Payee Ref'!A:A,'Payee Ref'!C:C,"unassigned",0,1)</f>
        <v>Basic</v>
      </c>
      <c r="F231" s="28" t="s">
        <v>2207</v>
      </c>
    </row>
    <row r="232" spans="1:6" x14ac:dyDescent="0.2">
      <c r="A232" s="30">
        <v>45838</v>
      </c>
      <c r="B232" s="28" t="s">
        <v>1547</v>
      </c>
      <c r="C232" s="28">
        <v>5.63</v>
      </c>
      <c r="D232" s="28" t="str">
        <f>_xlfn.XLOOKUP(B232,'Payee Ref'!A:A,'Payee Ref'!B:B,"unassigned",0,1)</f>
        <v>Pharmacy</v>
      </c>
      <c r="E232" s="29" t="str">
        <f>_xlfn.XLOOKUP(B232,'Payee Ref'!A:A,'Payee Ref'!C:C,"unassigned",0,1)</f>
        <v>Basic</v>
      </c>
      <c r="F232" s="28" t="s">
        <v>2207</v>
      </c>
    </row>
    <row r="233" spans="1:6" x14ac:dyDescent="0.2">
      <c r="A233" s="30">
        <v>45844</v>
      </c>
      <c r="B233" s="28" t="s">
        <v>1754</v>
      </c>
      <c r="C233" s="28">
        <v>5.65</v>
      </c>
      <c r="D233" s="28" t="str">
        <f>_xlfn.XLOOKUP(B233,'Payee Ref'!A:A,'Payee Ref'!B:B,"unassigned",0,1)</f>
        <v>Utilities</v>
      </c>
      <c r="E233" s="29" t="str">
        <f>_xlfn.XLOOKUP(B233,'Payee Ref'!A:A,'Payee Ref'!C:C,"unassigned",0,1)</f>
        <v>Basic</v>
      </c>
      <c r="F233" s="28" t="s">
        <v>2207</v>
      </c>
    </row>
    <row r="234" spans="1:6" x14ac:dyDescent="0.2">
      <c r="A234" s="30">
        <v>45789</v>
      </c>
      <c r="B234" s="28" t="s">
        <v>2000</v>
      </c>
      <c r="C234" s="28">
        <v>5.7</v>
      </c>
      <c r="D234" s="28" t="str">
        <f>_xlfn.XLOOKUP(B234,'Payee Ref'!A:A,'Payee Ref'!B:B,"unassigned",0,1)</f>
        <v>Dining</v>
      </c>
      <c r="E234" s="29" t="str">
        <f>_xlfn.XLOOKUP(B234,'Payee Ref'!A:A,'Payee Ref'!C:C,"unassigned",0,1)</f>
        <v>Luxury</v>
      </c>
      <c r="F234" s="28" t="s">
        <v>2207</v>
      </c>
    </row>
    <row r="235" spans="1:6" x14ac:dyDescent="0.2">
      <c r="A235" s="30">
        <v>45726</v>
      </c>
      <c r="B235" s="28" t="s">
        <v>2092</v>
      </c>
      <c r="C235" s="28">
        <v>5.72</v>
      </c>
      <c r="D235" s="28" t="str">
        <f>_xlfn.XLOOKUP(B235,'Payee Ref'!A:A,'Payee Ref'!B:B,"unassigned",0,1)</f>
        <v>Dining</v>
      </c>
      <c r="E235" s="29" t="str">
        <f>_xlfn.XLOOKUP(B235,'Payee Ref'!A:A,'Payee Ref'!C:C,"unassigned",0,1)</f>
        <v>Luxury</v>
      </c>
      <c r="F235" s="28" t="s">
        <v>2207</v>
      </c>
    </row>
    <row r="236" spans="1:6" x14ac:dyDescent="0.2">
      <c r="A236" s="30">
        <v>45983</v>
      </c>
      <c r="B236" s="28" t="s">
        <v>25</v>
      </c>
      <c r="C236" s="28">
        <v>5.78</v>
      </c>
      <c r="D236" s="28" t="str">
        <f>_xlfn.XLOOKUP(B236,'Payee Ref'!A:A,'Payee Ref'!B:B,"unassigned",0,1)</f>
        <v>Travel</v>
      </c>
      <c r="E236" s="29" t="str">
        <f>_xlfn.XLOOKUP(B236,'Payee Ref'!A:A,'Payee Ref'!C:C,"unassigned",0,1)</f>
        <v>Luxury</v>
      </c>
      <c r="F236" s="28" t="s">
        <v>2207</v>
      </c>
    </row>
    <row r="237" spans="1:6" x14ac:dyDescent="0.2">
      <c r="A237" s="30">
        <v>45798</v>
      </c>
      <c r="B237" s="28" t="s">
        <v>1983</v>
      </c>
      <c r="C237" s="28">
        <v>5.78</v>
      </c>
      <c r="D237" s="28" t="str">
        <f>_xlfn.XLOOKUP(B237,'Payee Ref'!A:A,'Payee Ref'!B:B,"unassigned",0,1)</f>
        <v>Travel</v>
      </c>
      <c r="E237" s="29" t="str">
        <f>_xlfn.XLOOKUP(B237,'Payee Ref'!A:A,'Payee Ref'!C:C,"unassigned",0,1)</f>
        <v>Luxury</v>
      </c>
      <c r="F237" s="28" t="s">
        <v>2207</v>
      </c>
    </row>
    <row r="238" spans="1:6" x14ac:dyDescent="0.2">
      <c r="A238" s="30">
        <v>45750</v>
      </c>
      <c r="B238" s="28" t="s">
        <v>2052</v>
      </c>
      <c r="C238" s="28">
        <v>5.85</v>
      </c>
      <c r="D238" s="28" t="str">
        <f>_xlfn.XLOOKUP(B238,'Payee Ref'!A:A,'Payee Ref'!B:B,"unassigned",0,1)</f>
        <v>Travel</v>
      </c>
      <c r="E238" s="29" t="str">
        <f>_xlfn.XLOOKUP(B238,'Payee Ref'!A:A,'Payee Ref'!C:C,"unassigned",0,1)</f>
        <v>Luxury</v>
      </c>
      <c r="F238" s="28" t="s">
        <v>2207</v>
      </c>
    </row>
    <row r="239" spans="1:6" x14ac:dyDescent="0.2">
      <c r="A239" s="30">
        <v>45682</v>
      </c>
      <c r="B239" s="28" t="s">
        <v>2152</v>
      </c>
      <c r="C239" s="28">
        <v>5.89</v>
      </c>
      <c r="D239" s="28" t="str">
        <f>_xlfn.XLOOKUP(B239,'Payee Ref'!A:A,'Payee Ref'!B:B,"unassigned",0,1)</f>
        <v>Dining</v>
      </c>
      <c r="E239" s="29" t="str">
        <f>_xlfn.XLOOKUP(B239,'Payee Ref'!A:A,'Payee Ref'!C:C,"unassigned",0,1)</f>
        <v>Luxury</v>
      </c>
      <c r="F239" s="28" t="s">
        <v>2207</v>
      </c>
    </row>
    <row r="240" spans="1:6" x14ac:dyDescent="0.2">
      <c r="A240" s="30">
        <v>45828</v>
      </c>
      <c r="B240" s="28" t="s">
        <v>1923</v>
      </c>
      <c r="C240" s="28">
        <v>5.89</v>
      </c>
      <c r="D240" s="28" t="str">
        <f>_xlfn.XLOOKUP(B240,'Payee Ref'!A:A,'Payee Ref'!B:B,"unassigned",0,1)</f>
        <v>Travel</v>
      </c>
      <c r="E240" s="29" t="str">
        <f>_xlfn.XLOOKUP(B240,'Payee Ref'!A:A,'Payee Ref'!C:C,"unassigned",0,1)</f>
        <v>Luxury</v>
      </c>
      <c r="F240" s="28" t="s">
        <v>2207</v>
      </c>
    </row>
    <row r="241" spans="1:6" x14ac:dyDescent="0.2">
      <c r="A241" s="30">
        <v>45822</v>
      </c>
      <c r="B241" s="31" t="s">
        <v>1934</v>
      </c>
      <c r="C241" s="28">
        <v>5.98</v>
      </c>
      <c r="D241" s="28" t="str">
        <f>_xlfn.XLOOKUP(B241,'Payee Ref'!A:A,'Payee Ref'!B:B,"unassigned",0,1)</f>
        <v>Auto</v>
      </c>
      <c r="E241" s="29" t="str">
        <f>_xlfn.XLOOKUP(B241,'Payee Ref'!A:A,'Payee Ref'!C:C,"unassigned",0,1)</f>
        <v>Basic</v>
      </c>
      <c r="F241" s="28" t="s">
        <v>2207</v>
      </c>
    </row>
    <row r="242" spans="1:6" x14ac:dyDescent="0.2">
      <c r="A242" s="30">
        <v>45685</v>
      </c>
      <c r="B242" s="28" t="s">
        <v>2024</v>
      </c>
      <c r="C242" s="28">
        <v>5.99</v>
      </c>
      <c r="D242" s="28" t="str">
        <f>_xlfn.XLOOKUP(B242,'Payee Ref'!A:A,'Payee Ref'!B:B,"unassigned",0,1)</f>
        <v>Groceries</v>
      </c>
      <c r="E242" s="29" t="str">
        <f>_xlfn.XLOOKUP(B242,'Payee Ref'!A:A,'Payee Ref'!C:C,"unassigned",0,1)</f>
        <v>Luxury</v>
      </c>
      <c r="F242" s="28" t="s">
        <v>2207</v>
      </c>
    </row>
    <row r="243" spans="1:6" x14ac:dyDescent="0.2">
      <c r="A243" s="30">
        <v>45809</v>
      </c>
      <c r="B243" s="28" t="s">
        <v>1966</v>
      </c>
      <c r="C243" s="28">
        <v>6</v>
      </c>
      <c r="D243" s="28" t="str">
        <f>_xlfn.XLOOKUP(B243,'Payee Ref'!A:A,'Payee Ref'!B:B,"unassigned",0,1)</f>
        <v>Auto</v>
      </c>
      <c r="E243" s="29" t="str">
        <f>_xlfn.XLOOKUP(B243,'Payee Ref'!A:A,'Payee Ref'!C:C,"unassigned",0,1)</f>
        <v>Basic</v>
      </c>
      <c r="F243" s="28" t="s">
        <v>2207</v>
      </c>
    </row>
    <row r="244" spans="1:6" x14ac:dyDescent="0.2">
      <c r="A244" s="30">
        <v>45844</v>
      </c>
      <c r="B244" s="28" t="s">
        <v>1855</v>
      </c>
      <c r="C244" s="28">
        <v>6</v>
      </c>
      <c r="D244" s="28" t="str">
        <f>_xlfn.XLOOKUP(B244,'Payee Ref'!A:A,'Payee Ref'!B:B,"unassigned",0,1)</f>
        <v>Dining</v>
      </c>
      <c r="E244" s="29" t="str">
        <f>_xlfn.XLOOKUP(B244,'Payee Ref'!A:A,'Payee Ref'!C:C,"unassigned",0,1)</f>
        <v>Luxury</v>
      </c>
      <c r="F244" s="28" t="s">
        <v>2207</v>
      </c>
    </row>
    <row r="245" spans="1:6" x14ac:dyDescent="0.2">
      <c r="A245" s="30">
        <v>45847</v>
      </c>
      <c r="B245" s="28" t="s">
        <v>1847</v>
      </c>
      <c r="C245" s="28">
        <v>6</v>
      </c>
      <c r="D245" s="28" t="str">
        <f>_xlfn.XLOOKUP(B245,'Payee Ref'!A:A,'Payee Ref'!B:B,"unassigned",0,1)</f>
        <v>Parking</v>
      </c>
      <c r="E245" s="29" t="str">
        <f>_xlfn.XLOOKUP(B245,'Payee Ref'!A:A,'Payee Ref'!C:C,"unassigned",0,1)</f>
        <v>Basic</v>
      </c>
      <c r="F245" s="28" t="s">
        <v>2207</v>
      </c>
    </row>
    <row r="246" spans="1:6" x14ac:dyDescent="0.2">
      <c r="A246" s="30">
        <v>45761</v>
      </c>
      <c r="B246" s="28" t="s">
        <v>1847</v>
      </c>
      <c r="C246" s="28">
        <v>6</v>
      </c>
      <c r="D246" s="28" t="str">
        <f>_xlfn.XLOOKUP(B246,'Payee Ref'!A:A,'Payee Ref'!B:B,"unassigned",0,1)</f>
        <v>Parking</v>
      </c>
      <c r="E246" s="29" t="str">
        <f>_xlfn.XLOOKUP(B246,'Payee Ref'!A:A,'Payee Ref'!C:C,"unassigned",0,1)</f>
        <v>Basic</v>
      </c>
      <c r="F246" s="28" t="s">
        <v>2207</v>
      </c>
    </row>
    <row r="247" spans="1:6" x14ac:dyDescent="0.2">
      <c r="A247" s="30">
        <v>45686</v>
      </c>
      <c r="B247" s="28" t="s">
        <v>1847</v>
      </c>
      <c r="C247" s="28">
        <v>6</v>
      </c>
      <c r="D247" s="28" t="str">
        <f>_xlfn.XLOOKUP(B247,'Payee Ref'!A:A,'Payee Ref'!B:B,"unassigned",0,1)</f>
        <v>Parking</v>
      </c>
      <c r="E247" s="29" t="str">
        <f>_xlfn.XLOOKUP(B247,'Payee Ref'!A:A,'Payee Ref'!C:C,"unassigned",0,1)</f>
        <v>Basic</v>
      </c>
      <c r="F247" s="28" t="s">
        <v>2207</v>
      </c>
    </row>
    <row r="248" spans="1:6" x14ac:dyDescent="0.2">
      <c r="A248" s="30">
        <v>45781</v>
      </c>
      <c r="B248" s="28" t="s">
        <v>1626</v>
      </c>
      <c r="C248" s="28">
        <v>6</v>
      </c>
      <c r="D248" s="28" t="str">
        <f>_xlfn.XLOOKUP(B248,'Payee Ref'!A:A,'Payee Ref'!B:B,"unassigned",0,1)</f>
        <v>Travel</v>
      </c>
      <c r="E248" s="29" t="str">
        <f>_xlfn.XLOOKUP(B248,'Payee Ref'!A:A,'Payee Ref'!C:C,"unassigned",0,1)</f>
        <v>Luxury</v>
      </c>
      <c r="F248" s="28" t="s">
        <v>2207</v>
      </c>
    </row>
    <row r="249" spans="1:6" x14ac:dyDescent="0.2">
      <c r="A249" s="30">
        <v>45781</v>
      </c>
      <c r="B249" s="28" t="s">
        <v>1626</v>
      </c>
      <c r="C249" s="28">
        <v>6</v>
      </c>
      <c r="D249" s="28" t="str">
        <f>_xlfn.XLOOKUP(B249,'Payee Ref'!A:A,'Payee Ref'!B:B,"unassigned",0,1)</f>
        <v>Travel</v>
      </c>
      <c r="E249" s="29" t="str">
        <f>_xlfn.XLOOKUP(B249,'Payee Ref'!A:A,'Payee Ref'!C:C,"unassigned",0,1)</f>
        <v>Luxury</v>
      </c>
      <c r="F249" s="28" t="s">
        <v>2207</v>
      </c>
    </row>
    <row r="250" spans="1:6" x14ac:dyDescent="0.2">
      <c r="A250" s="30">
        <v>45724</v>
      </c>
      <c r="B250" s="28" t="s">
        <v>1626</v>
      </c>
      <c r="C250" s="28">
        <v>6</v>
      </c>
      <c r="D250" s="28" t="str">
        <f>_xlfn.XLOOKUP(B250,'Payee Ref'!A:A,'Payee Ref'!B:B,"unassigned",0,1)</f>
        <v>Travel</v>
      </c>
      <c r="E250" s="29" t="str">
        <f>_xlfn.XLOOKUP(B250,'Payee Ref'!A:A,'Payee Ref'!C:C,"unassigned",0,1)</f>
        <v>Luxury</v>
      </c>
      <c r="F250" s="28" t="s">
        <v>2207</v>
      </c>
    </row>
    <row r="251" spans="1:6" x14ac:dyDescent="0.2">
      <c r="A251" s="30">
        <v>45759</v>
      </c>
      <c r="B251" s="28" t="s">
        <v>1847</v>
      </c>
      <c r="C251" s="28">
        <v>6.03</v>
      </c>
      <c r="D251" s="28" t="str">
        <f>_xlfn.XLOOKUP(B251,'Payee Ref'!A:A,'Payee Ref'!B:B,"unassigned",0,1)</f>
        <v>Parking</v>
      </c>
      <c r="E251" s="29" t="str">
        <f>_xlfn.XLOOKUP(B251,'Payee Ref'!A:A,'Payee Ref'!C:C,"unassigned",0,1)</f>
        <v>Basic</v>
      </c>
      <c r="F251" s="28" t="s">
        <v>2207</v>
      </c>
    </row>
    <row r="252" spans="1:6" x14ac:dyDescent="0.2">
      <c r="A252" s="30">
        <v>45834</v>
      </c>
      <c r="B252" s="28" t="s">
        <v>1894</v>
      </c>
      <c r="C252" s="28">
        <v>6.07</v>
      </c>
      <c r="D252" s="28" t="str">
        <f>_xlfn.XLOOKUP(B252,'Payee Ref'!A:A,'Payee Ref'!B:B,"unassigned",0,1)</f>
        <v>Travel</v>
      </c>
      <c r="E252" s="29" t="str">
        <f>_xlfn.XLOOKUP(B252,'Payee Ref'!A:A,'Payee Ref'!C:C,"unassigned",0,1)</f>
        <v>Luxury</v>
      </c>
      <c r="F252" s="28" t="s">
        <v>2207</v>
      </c>
    </row>
    <row r="253" spans="1:6" x14ac:dyDescent="0.2">
      <c r="A253" s="30">
        <v>45981</v>
      </c>
      <c r="B253" s="28" t="s">
        <v>1556</v>
      </c>
      <c r="C253" s="28">
        <v>6.09</v>
      </c>
      <c r="D253" s="28" t="str">
        <f>_xlfn.XLOOKUP(B253,'Payee Ref'!A:A,'Payee Ref'!B:B,"unassigned",0,1)</f>
        <v>Pharmacy</v>
      </c>
      <c r="E253" s="29" t="str">
        <f>_xlfn.XLOOKUP(B253,'Payee Ref'!A:A,'Payee Ref'!C:C,"unassigned",0,1)</f>
        <v>Basic</v>
      </c>
      <c r="F253" s="28" t="s">
        <v>2207</v>
      </c>
    </row>
    <row r="254" spans="1:6" x14ac:dyDescent="0.2">
      <c r="A254" s="30">
        <v>45894</v>
      </c>
      <c r="B254" s="28" t="s">
        <v>1547</v>
      </c>
      <c r="C254" s="28">
        <v>6.1</v>
      </c>
      <c r="D254" s="28" t="str">
        <f>_xlfn.XLOOKUP(B254,'Payee Ref'!A:A,'Payee Ref'!B:B,"unassigned",0,1)</f>
        <v>Pharmacy</v>
      </c>
      <c r="E254" s="29" t="str">
        <f>_xlfn.XLOOKUP(B254,'Payee Ref'!A:A,'Payee Ref'!C:C,"unassigned",0,1)</f>
        <v>Basic</v>
      </c>
      <c r="F254" s="28" t="s">
        <v>2207</v>
      </c>
    </row>
    <row r="255" spans="1:6" x14ac:dyDescent="0.2">
      <c r="A255" s="30">
        <v>45958</v>
      </c>
      <c r="B255" s="28" t="s">
        <v>852</v>
      </c>
      <c r="C255" s="28">
        <v>6.1</v>
      </c>
      <c r="D255" s="28" t="str">
        <f>_xlfn.XLOOKUP(B255,'Payee Ref'!A:A,'Payee Ref'!B:B,"unassigned",0,1)</f>
        <v>Pharmacy</v>
      </c>
      <c r="E255" s="29" t="str">
        <f>_xlfn.XLOOKUP(B255,'Payee Ref'!A:A,'Payee Ref'!C:C,"unassigned",0,1)</f>
        <v>Basic</v>
      </c>
      <c r="F255" s="28" t="s">
        <v>2207</v>
      </c>
    </row>
    <row r="256" spans="1:6" x14ac:dyDescent="0.2">
      <c r="A256" s="30">
        <v>45974</v>
      </c>
      <c r="B256" s="28" t="s">
        <v>46</v>
      </c>
      <c r="C256" s="28">
        <v>6.19</v>
      </c>
      <c r="D256" s="28" t="str">
        <f>_xlfn.XLOOKUP(B256,'Payee Ref'!A:A,'Payee Ref'!B:B,"unassigned",0,1)</f>
        <v>Auto</v>
      </c>
      <c r="E256" s="29" t="str">
        <f>_xlfn.XLOOKUP(B256,'Payee Ref'!A:A,'Payee Ref'!C:C,"unassigned",0,1)</f>
        <v>Basic</v>
      </c>
      <c r="F256" s="28" t="s">
        <v>2207</v>
      </c>
    </row>
    <row r="257" spans="1:6" x14ac:dyDescent="0.2">
      <c r="A257" s="30">
        <v>45839</v>
      </c>
      <c r="B257" s="28" t="s">
        <v>1547</v>
      </c>
      <c r="C257" s="28">
        <v>6.19</v>
      </c>
      <c r="D257" s="28" t="str">
        <f>_xlfn.XLOOKUP(B257,'Payee Ref'!A:A,'Payee Ref'!B:B,"unassigned",0,1)</f>
        <v>Pharmacy</v>
      </c>
      <c r="E257" s="29" t="str">
        <f>_xlfn.XLOOKUP(B257,'Payee Ref'!A:A,'Payee Ref'!C:C,"unassigned",0,1)</f>
        <v>Basic</v>
      </c>
      <c r="F257" s="28" t="s">
        <v>2207</v>
      </c>
    </row>
    <row r="258" spans="1:6" x14ac:dyDescent="0.2">
      <c r="A258" s="30">
        <v>45782</v>
      </c>
      <c r="B258" s="28" t="s">
        <v>1547</v>
      </c>
      <c r="C258" s="28">
        <v>6.19</v>
      </c>
      <c r="D258" s="28" t="str">
        <f>_xlfn.XLOOKUP(B258,'Payee Ref'!A:A,'Payee Ref'!B:B,"unassigned",0,1)</f>
        <v>Pharmacy</v>
      </c>
      <c r="E258" s="29" t="str">
        <f>_xlfn.XLOOKUP(B258,'Payee Ref'!A:A,'Payee Ref'!C:C,"unassigned",0,1)</f>
        <v>Basic</v>
      </c>
      <c r="F258" s="28" t="s">
        <v>2207</v>
      </c>
    </row>
    <row r="259" spans="1:6" x14ac:dyDescent="0.2">
      <c r="A259" s="30">
        <v>45728</v>
      </c>
      <c r="B259" s="28" t="s">
        <v>1547</v>
      </c>
      <c r="C259" s="28">
        <v>6.19</v>
      </c>
      <c r="D259" s="28" t="str">
        <f>_xlfn.XLOOKUP(B259,'Payee Ref'!A:A,'Payee Ref'!B:B,"unassigned",0,1)</f>
        <v>Pharmacy</v>
      </c>
      <c r="E259" s="29" t="str">
        <f>_xlfn.XLOOKUP(B259,'Payee Ref'!A:A,'Payee Ref'!C:C,"unassigned",0,1)</f>
        <v>Basic</v>
      </c>
      <c r="F259" s="28" t="s">
        <v>2207</v>
      </c>
    </row>
    <row r="260" spans="1:6" x14ac:dyDescent="0.2">
      <c r="A260" s="30">
        <v>45822</v>
      </c>
      <c r="B260" s="28" t="s">
        <v>1937</v>
      </c>
      <c r="C260" s="28">
        <v>6.19</v>
      </c>
      <c r="D260" s="28" t="str">
        <f>_xlfn.XLOOKUP(B260,'Payee Ref'!A:A,'Payee Ref'!B:B,"unassigned",0,1)</f>
        <v>Travel</v>
      </c>
      <c r="E260" s="29" t="str">
        <f>_xlfn.XLOOKUP(B260,'Payee Ref'!A:A,'Payee Ref'!C:C,"unassigned",0,1)</f>
        <v>Luxury</v>
      </c>
      <c r="F260" s="28" t="s">
        <v>2207</v>
      </c>
    </row>
    <row r="261" spans="1:6" x14ac:dyDescent="0.2">
      <c r="A261" s="30">
        <v>45793</v>
      </c>
      <c r="B261" s="28" t="s">
        <v>1953</v>
      </c>
      <c r="C261" s="28">
        <v>6.26</v>
      </c>
      <c r="D261" s="28" t="str">
        <f>_xlfn.XLOOKUP(B261,'Payee Ref'!A:A,'Payee Ref'!B:B,"unassigned",0,1)</f>
        <v>Dining</v>
      </c>
      <c r="E261" s="29" t="str">
        <f>_xlfn.XLOOKUP(B261,'Payee Ref'!A:A,'Payee Ref'!C:C,"unassigned",0,1)</f>
        <v>Luxury</v>
      </c>
      <c r="F261" s="28" t="s">
        <v>2207</v>
      </c>
    </row>
    <row r="262" spans="1:6" x14ac:dyDescent="0.2">
      <c r="A262" s="30">
        <v>45842</v>
      </c>
      <c r="B262" s="28" t="s">
        <v>1860</v>
      </c>
      <c r="C262" s="28">
        <v>6.29</v>
      </c>
      <c r="D262" s="28" t="str">
        <f>_xlfn.XLOOKUP(B262,'Payee Ref'!A:A,'Payee Ref'!B:B,"unassigned",0,1)</f>
        <v>Dining</v>
      </c>
      <c r="E262" s="29" t="str">
        <f>_xlfn.XLOOKUP(B262,'Payee Ref'!A:A,'Payee Ref'!C:C,"unassigned",0,1)</f>
        <v>Luxury</v>
      </c>
      <c r="F262" s="28" t="s">
        <v>2207</v>
      </c>
    </row>
    <row r="263" spans="1:6" x14ac:dyDescent="0.2">
      <c r="A263" s="30">
        <v>45730</v>
      </c>
      <c r="B263" s="28" t="s">
        <v>2081</v>
      </c>
      <c r="C263" s="28">
        <v>6.29</v>
      </c>
      <c r="D263" s="28" t="str">
        <f>_xlfn.XLOOKUP(B263,'Payee Ref'!A:A,'Payee Ref'!B:B,"unassigned",0,1)</f>
        <v>Membership</v>
      </c>
      <c r="E263" s="29" t="str">
        <f>_xlfn.XLOOKUP(B263,'Payee Ref'!A:A,'Payee Ref'!C:C,"unassigned",0,1)</f>
        <v>Luxury</v>
      </c>
      <c r="F263" s="28" t="s">
        <v>2207</v>
      </c>
    </row>
    <row r="264" spans="1:6" x14ac:dyDescent="0.2">
      <c r="A264" s="30">
        <v>45767</v>
      </c>
      <c r="B264" s="31" t="s">
        <v>2032</v>
      </c>
      <c r="C264" s="28">
        <v>6.3</v>
      </c>
      <c r="D264" s="28" t="str">
        <f>_xlfn.XLOOKUP(B264,'Payee Ref'!A:A,'Payee Ref'!B:B,"unassigned",0,1)</f>
        <v>Transportation</v>
      </c>
      <c r="E264" s="29" t="str">
        <f>_xlfn.XLOOKUP(B264,'Payee Ref'!A:A,'Payee Ref'!C:C,"unassigned",0,1)</f>
        <v>Basic</v>
      </c>
      <c r="F264" s="28" t="s">
        <v>2207</v>
      </c>
    </row>
    <row r="265" spans="1:6" x14ac:dyDescent="0.2">
      <c r="A265" s="30">
        <v>45949</v>
      </c>
      <c r="B265" s="28" t="s">
        <v>402</v>
      </c>
      <c r="C265" s="28">
        <v>6.32</v>
      </c>
      <c r="D265" s="28" t="str">
        <f>_xlfn.XLOOKUP(B265,'Payee Ref'!A:A,'Payee Ref'!B:B,"unassigned",0,1)</f>
        <v>Dining</v>
      </c>
      <c r="E265" s="29" t="str">
        <f>_xlfn.XLOOKUP(B265,'Payee Ref'!A:A,'Payee Ref'!C:C,"unassigned",0,1)</f>
        <v>Luxury</v>
      </c>
      <c r="F265" s="28" t="s">
        <v>2207</v>
      </c>
    </row>
    <row r="266" spans="1:6" x14ac:dyDescent="0.2">
      <c r="A266" s="30">
        <v>45829</v>
      </c>
      <c r="B266" s="28" t="s">
        <v>1919</v>
      </c>
      <c r="C266" s="28">
        <v>6.35</v>
      </c>
      <c r="D266" s="28" t="str">
        <f>_xlfn.XLOOKUP(B266,'Payee Ref'!A:A,'Payee Ref'!B:B,"unassigned",0,1)</f>
        <v>Travel</v>
      </c>
      <c r="E266" s="29" t="str">
        <f>_xlfn.XLOOKUP(B266,'Payee Ref'!A:A,'Payee Ref'!C:C,"unassigned",0,1)</f>
        <v>Luxury</v>
      </c>
      <c r="F266" s="28" t="s">
        <v>2207</v>
      </c>
    </row>
    <row r="267" spans="1:6" x14ac:dyDescent="0.2">
      <c r="A267" s="30">
        <v>45726</v>
      </c>
      <c r="B267" s="28" t="s">
        <v>2090</v>
      </c>
      <c r="C267" s="28">
        <v>6.36</v>
      </c>
      <c r="D267" s="28" t="str">
        <f>_xlfn.XLOOKUP(B267,'Payee Ref'!A:A,'Payee Ref'!B:B,"unassigned",0,1)</f>
        <v>Dining</v>
      </c>
      <c r="E267" s="29" t="str">
        <f>_xlfn.XLOOKUP(B267,'Payee Ref'!A:A,'Payee Ref'!C:C,"unassigned",0,1)</f>
        <v>Luxury</v>
      </c>
      <c r="F267" s="28" t="s">
        <v>2207</v>
      </c>
    </row>
    <row r="268" spans="1:6" x14ac:dyDescent="0.2">
      <c r="A268" s="30">
        <v>45721</v>
      </c>
      <c r="B268" s="28" t="s">
        <v>1666</v>
      </c>
      <c r="C268" s="28">
        <v>6.36</v>
      </c>
      <c r="D268" s="28" t="str">
        <f>_xlfn.XLOOKUP(B268,'Payee Ref'!A:A,'Payee Ref'!B:B,"unassigned",0,1)</f>
        <v>Dining</v>
      </c>
      <c r="E268" s="29" t="str">
        <f>_xlfn.XLOOKUP(B268,'Payee Ref'!A:A,'Payee Ref'!C:C,"unassigned",0,1)</f>
        <v>Luxury</v>
      </c>
      <c r="F268" s="28" t="s">
        <v>2207</v>
      </c>
    </row>
    <row r="269" spans="1:6" x14ac:dyDescent="0.2">
      <c r="A269" s="30">
        <v>45847</v>
      </c>
      <c r="B269" s="28" t="s">
        <v>1848</v>
      </c>
      <c r="C269" s="28">
        <v>6.38</v>
      </c>
      <c r="D269" s="28" t="str">
        <f>_xlfn.XLOOKUP(B269,'Payee Ref'!A:A,'Payee Ref'!B:B,"unassigned",0,1)</f>
        <v>Dining</v>
      </c>
      <c r="E269" s="29" t="str">
        <f>_xlfn.XLOOKUP(B269,'Payee Ref'!A:A,'Payee Ref'!C:C,"unassigned",0,1)</f>
        <v>Luxury</v>
      </c>
      <c r="F269" s="28" t="s">
        <v>2207</v>
      </c>
    </row>
    <row r="270" spans="1:6" x14ac:dyDescent="0.2">
      <c r="A270" s="30">
        <v>45853</v>
      </c>
      <c r="B270" s="28" t="s">
        <v>1547</v>
      </c>
      <c r="C270" s="28">
        <v>6.41</v>
      </c>
      <c r="D270" s="28" t="str">
        <f>_xlfn.XLOOKUP(B270,'Payee Ref'!A:A,'Payee Ref'!B:B,"unassigned",0,1)</f>
        <v>Pharmacy</v>
      </c>
      <c r="E270" s="29" t="str">
        <f>_xlfn.XLOOKUP(B270,'Payee Ref'!A:A,'Payee Ref'!C:C,"unassigned",0,1)</f>
        <v>Basic</v>
      </c>
      <c r="F270" s="28" t="s">
        <v>2207</v>
      </c>
    </row>
    <row r="271" spans="1:6" x14ac:dyDescent="0.2">
      <c r="A271" s="30">
        <v>45943</v>
      </c>
      <c r="B271" s="28" t="s">
        <v>852</v>
      </c>
      <c r="C271" s="28">
        <v>6.41</v>
      </c>
      <c r="D271" s="28" t="str">
        <f>_xlfn.XLOOKUP(B271,'Payee Ref'!A:A,'Payee Ref'!B:B,"unassigned",0,1)</f>
        <v>Pharmacy</v>
      </c>
      <c r="E271" s="29" t="str">
        <f>_xlfn.XLOOKUP(B271,'Payee Ref'!A:A,'Payee Ref'!C:C,"unassigned",0,1)</f>
        <v>Basic</v>
      </c>
      <c r="F271" s="28" t="s">
        <v>2207</v>
      </c>
    </row>
    <row r="272" spans="1:6" x14ac:dyDescent="0.2">
      <c r="A272" s="30">
        <v>45672</v>
      </c>
      <c r="B272" s="28" t="s">
        <v>1952</v>
      </c>
      <c r="C272" s="28">
        <v>6.47</v>
      </c>
      <c r="D272" s="28" t="str">
        <f>_xlfn.XLOOKUP(B272,'Payee Ref'!A:A,'Payee Ref'!B:B,"unassigned",0,1)</f>
        <v>Groceries</v>
      </c>
      <c r="E272" s="29" t="str">
        <f>_xlfn.XLOOKUP(B272,'Payee Ref'!A:A,'Payee Ref'!C:C,"unassigned",0,1)</f>
        <v>Basic</v>
      </c>
      <c r="F272" s="28" t="s">
        <v>2207</v>
      </c>
    </row>
    <row r="273" spans="1:6" x14ac:dyDescent="0.2">
      <c r="A273" s="30">
        <v>45763</v>
      </c>
      <c r="B273" s="28" t="s">
        <v>2035</v>
      </c>
      <c r="C273" s="28">
        <v>6.49</v>
      </c>
      <c r="D273" s="28" t="str">
        <f>_xlfn.XLOOKUP(B273,'Payee Ref'!A:A,'Payee Ref'!B:B,"unassigned",0,1)</f>
        <v>Travel</v>
      </c>
      <c r="E273" s="29" t="str">
        <f>_xlfn.XLOOKUP(B273,'Payee Ref'!A:A,'Payee Ref'!C:C,"unassigned",0,1)</f>
        <v>Luxury</v>
      </c>
      <c r="F273" s="28" t="s">
        <v>2207</v>
      </c>
    </row>
    <row r="274" spans="1:6" x14ac:dyDescent="0.2">
      <c r="A274" s="30">
        <v>45840</v>
      </c>
      <c r="B274" s="28" t="s">
        <v>1847</v>
      </c>
      <c r="C274" s="28">
        <v>6.5</v>
      </c>
      <c r="D274" s="28" t="str">
        <f>_xlfn.XLOOKUP(B274,'Payee Ref'!A:A,'Payee Ref'!B:B,"unassigned",0,1)</f>
        <v>Parking</v>
      </c>
      <c r="E274" s="29" t="str">
        <f>_xlfn.XLOOKUP(B274,'Payee Ref'!A:A,'Payee Ref'!C:C,"unassigned",0,1)</f>
        <v>Basic</v>
      </c>
      <c r="F274" s="28" t="s">
        <v>2207</v>
      </c>
    </row>
    <row r="275" spans="1:6" x14ac:dyDescent="0.2">
      <c r="A275" s="30">
        <v>45815</v>
      </c>
      <c r="B275" s="28" t="s">
        <v>1953</v>
      </c>
      <c r="C275" s="28">
        <v>6.51</v>
      </c>
      <c r="D275" s="28" t="str">
        <f>_xlfn.XLOOKUP(B275,'Payee Ref'!A:A,'Payee Ref'!B:B,"unassigned",0,1)</f>
        <v>Dining</v>
      </c>
      <c r="E275" s="29" t="str">
        <f>_xlfn.XLOOKUP(B275,'Payee Ref'!A:A,'Payee Ref'!C:C,"unassigned",0,1)</f>
        <v>Luxury</v>
      </c>
      <c r="F275" s="28" t="s">
        <v>2207</v>
      </c>
    </row>
    <row r="276" spans="1:6" x14ac:dyDescent="0.2">
      <c r="A276" s="30">
        <v>45789</v>
      </c>
      <c r="B276" s="28" t="s">
        <v>1953</v>
      </c>
      <c r="C276" s="28">
        <v>6.51</v>
      </c>
      <c r="D276" s="28" t="str">
        <f>_xlfn.XLOOKUP(B276,'Payee Ref'!A:A,'Payee Ref'!B:B,"unassigned",0,1)</f>
        <v>Dining</v>
      </c>
      <c r="E276" s="29" t="str">
        <f>_xlfn.XLOOKUP(B276,'Payee Ref'!A:A,'Payee Ref'!C:C,"unassigned",0,1)</f>
        <v>Luxury</v>
      </c>
      <c r="F276" s="28" t="s">
        <v>2207</v>
      </c>
    </row>
    <row r="277" spans="1:6" x14ac:dyDescent="0.2">
      <c r="A277" s="30">
        <v>45770</v>
      </c>
      <c r="B277" s="28" t="s">
        <v>1953</v>
      </c>
      <c r="C277" s="28">
        <v>6.51</v>
      </c>
      <c r="D277" s="28" t="str">
        <f>_xlfn.XLOOKUP(B277,'Payee Ref'!A:A,'Payee Ref'!B:B,"unassigned",0,1)</f>
        <v>Dining</v>
      </c>
      <c r="E277" s="29" t="str">
        <f>_xlfn.XLOOKUP(B277,'Payee Ref'!A:A,'Payee Ref'!C:C,"unassigned",0,1)</f>
        <v>Luxury</v>
      </c>
      <c r="F277" s="28" t="s">
        <v>2207</v>
      </c>
    </row>
    <row r="278" spans="1:6" x14ac:dyDescent="0.2">
      <c r="A278" s="30">
        <v>45831</v>
      </c>
      <c r="B278" s="28" t="s">
        <v>1906</v>
      </c>
      <c r="C278" s="28">
        <v>6.58</v>
      </c>
      <c r="D278" s="28" t="str">
        <f>_xlfn.XLOOKUP(B278,'Payee Ref'!A:A,'Payee Ref'!B:B,"unassigned",0,1)</f>
        <v>Travel</v>
      </c>
      <c r="E278" s="29" t="str">
        <f>_xlfn.XLOOKUP(B278,'Payee Ref'!A:A,'Payee Ref'!C:C,"unassigned",0,1)</f>
        <v>Luxury</v>
      </c>
      <c r="F278" s="28" t="s">
        <v>2207</v>
      </c>
    </row>
    <row r="279" spans="1:6" x14ac:dyDescent="0.2">
      <c r="A279" s="30">
        <v>45840</v>
      </c>
      <c r="B279" s="28" t="s">
        <v>1636</v>
      </c>
      <c r="C279" s="28">
        <v>6.59</v>
      </c>
      <c r="D279" s="28" t="str">
        <f>_xlfn.XLOOKUP(B279,'Payee Ref'!A:A,'Payee Ref'!B:B,"unassigned",0,1)</f>
        <v>Home &amp; Garden</v>
      </c>
      <c r="E279" s="29" t="str">
        <f>_xlfn.XLOOKUP(B279,'Payee Ref'!A:A,'Payee Ref'!C:C,"unassigned",0,1)</f>
        <v>Basic</v>
      </c>
      <c r="F279" s="28" t="s">
        <v>2207</v>
      </c>
    </row>
    <row r="280" spans="1:6" x14ac:dyDescent="0.2">
      <c r="A280" s="30">
        <v>45752</v>
      </c>
      <c r="B280" s="28" t="s">
        <v>2047</v>
      </c>
      <c r="C280" s="28">
        <v>6.59</v>
      </c>
      <c r="D280" s="28" t="str">
        <f>_xlfn.XLOOKUP(B280,'Payee Ref'!A:A,'Payee Ref'!B:B,"unassigned",0,1)</f>
        <v>Travel</v>
      </c>
      <c r="E280" s="29" t="str">
        <f>_xlfn.XLOOKUP(B280,'Payee Ref'!A:A,'Payee Ref'!C:C,"unassigned",0,1)</f>
        <v>Luxury</v>
      </c>
      <c r="F280" s="28" t="s">
        <v>2207</v>
      </c>
    </row>
    <row r="281" spans="1:6" x14ac:dyDescent="0.2">
      <c r="A281" s="30">
        <v>45896</v>
      </c>
      <c r="B281" s="28" t="s">
        <v>1621</v>
      </c>
      <c r="C281" s="28">
        <v>6.6</v>
      </c>
      <c r="D281" s="28" t="str">
        <f>_xlfn.XLOOKUP(B281,'Payee Ref'!A:A,'Payee Ref'!B:B,"unassigned",0,1)</f>
        <v>unassigned</v>
      </c>
      <c r="E281" s="29" t="str">
        <f>_xlfn.XLOOKUP(B281,'Payee Ref'!A:A,'Payee Ref'!C:C,"unassigned",0,1)</f>
        <v>unassigned</v>
      </c>
      <c r="F281" s="28" t="s">
        <v>2207</v>
      </c>
    </row>
    <row r="282" spans="1:6" x14ac:dyDescent="0.2">
      <c r="A282" s="30">
        <v>45898</v>
      </c>
      <c r="B282" s="28" t="s">
        <v>1621</v>
      </c>
      <c r="C282" s="28">
        <v>6.6</v>
      </c>
      <c r="D282" s="28" t="str">
        <f>_xlfn.XLOOKUP(B282,'Payee Ref'!A:A,'Payee Ref'!B:B,"unassigned",0,1)</f>
        <v>unassigned</v>
      </c>
      <c r="E282" s="29" t="str">
        <f>_xlfn.XLOOKUP(B282,'Payee Ref'!A:A,'Payee Ref'!C:C,"unassigned",0,1)</f>
        <v>unassigned</v>
      </c>
      <c r="F282" s="28" t="s">
        <v>2207</v>
      </c>
    </row>
    <row r="283" spans="1:6" x14ac:dyDescent="0.2">
      <c r="A283" s="30">
        <v>45761</v>
      </c>
      <c r="B283" s="31" t="s">
        <v>1543</v>
      </c>
      <c r="C283" s="28">
        <v>6.61</v>
      </c>
      <c r="D283" s="28" t="str">
        <f>_xlfn.XLOOKUP(B283,'Payee Ref'!A:A,'Payee Ref'!B:B,"unassigned",0,1)</f>
        <v>Subscriptions / Digital</v>
      </c>
      <c r="E283" s="29" t="str">
        <f>_xlfn.XLOOKUP(B283,'Payee Ref'!A:A,'Payee Ref'!C:C,"unassigned",0,1)</f>
        <v>Luxury</v>
      </c>
      <c r="F283" s="28" t="s">
        <v>2207</v>
      </c>
    </row>
    <row r="284" spans="1:6" x14ac:dyDescent="0.2">
      <c r="A284" s="30">
        <v>45879</v>
      </c>
      <c r="B284" s="28" t="s">
        <v>1565</v>
      </c>
      <c r="C284" s="28">
        <v>6.61</v>
      </c>
      <c r="D284" s="28" t="str">
        <f>_xlfn.XLOOKUP(B284,'Payee Ref'!A:A,'Payee Ref'!B:B,"unassigned",0,1)</f>
        <v>Home &amp; Garden</v>
      </c>
      <c r="E284" s="29" t="str">
        <f>_xlfn.XLOOKUP(B284,'Payee Ref'!A:A,'Payee Ref'!C:C,"unassigned",0,1)</f>
        <v>Basic</v>
      </c>
      <c r="F284" s="28" t="s">
        <v>2207</v>
      </c>
    </row>
    <row r="285" spans="1:6" x14ac:dyDescent="0.2">
      <c r="A285" s="30">
        <v>45865</v>
      </c>
      <c r="B285" s="28" t="s">
        <v>1764</v>
      </c>
      <c r="C285" s="28">
        <v>6.63</v>
      </c>
      <c r="D285" s="28" t="str">
        <f>_xlfn.XLOOKUP(B285,'Payee Ref'!A:A,'Payee Ref'!B:B,"unassigned",0,1)</f>
        <v>unassigned</v>
      </c>
      <c r="E285" s="29" t="str">
        <f>_xlfn.XLOOKUP(B285,'Payee Ref'!A:A,'Payee Ref'!C:C,"unassigned",0,1)</f>
        <v>unassigned</v>
      </c>
      <c r="F285" s="28" t="s">
        <v>2207</v>
      </c>
    </row>
    <row r="286" spans="1:6" x14ac:dyDescent="0.2">
      <c r="A286" s="30">
        <v>45673</v>
      </c>
      <c r="B286" s="28" t="s">
        <v>1547</v>
      </c>
      <c r="C286" s="28">
        <v>6.66</v>
      </c>
      <c r="D286" s="28" t="str">
        <f>_xlfn.XLOOKUP(B286,'Payee Ref'!A:A,'Payee Ref'!B:B,"unassigned",0,1)</f>
        <v>Pharmacy</v>
      </c>
      <c r="E286" s="29" t="str">
        <f>_xlfn.XLOOKUP(B286,'Payee Ref'!A:A,'Payee Ref'!C:C,"unassigned",0,1)</f>
        <v>Basic</v>
      </c>
      <c r="F286" s="28" t="s">
        <v>2207</v>
      </c>
    </row>
    <row r="287" spans="1:6" x14ac:dyDescent="0.2">
      <c r="A287" s="30">
        <v>45940</v>
      </c>
      <c r="B287" s="28" t="s">
        <v>406</v>
      </c>
      <c r="C287" s="28">
        <v>6.69</v>
      </c>
      <c r="D287" s="28" t="str">
        <f>_xlfn.XLOOKUP(B287,'Payee Ref'!A:A,'Payee Ref'!B:B,"unassigned",0,1)</f>
        <v>Dining</v>
      </c>
      <c r="E287" s="29" t="str">
        <f>_xlfn.XLOOKUP(B287,'Payee Ref'!A:A,'Payee Ref'!C:C,"unassigned",0,1)</f>
        <v>Luxury</v>
      </c>
      <c r="F287" s="28" t="s">
        <v>2207</v>
      </c>
    </row>
    <row r="288" spans="1:6" x14ac:dyDescent="0.2">
      <c r="A288" s="30">
        <v>45870</v>
      </c>
      <c r="B288" s="28" t="s">
        <v>1758</v>
      </c>
      <c r="C288" s="28">
        <v>6.75</v>
      </c>
      <c r="D288" s="28" t="str">
        <f>_xlfn.XLOOKUP(B288,'Payee Ref'!A:A,'Payee Ref'!B:B,"unassigned",0,1)</f>
        <v>unassigned</v>
      </c>
      <c r="E288" s="29" t="str">
        <f>_xlfn.XLOOKUP(B288,'Payee Ref'!A:A,'Payee Ref'!C:C,"unassigned",0,1)</f>
        <v>unassigned</v>
      </c>
      <c r="F288" s="28" t="s">
        <v>2207</v>
      </c>
    </row>
    <row r="289" spans="1:6" x14ac:dyDescent="0.2">
      <c r="A289" s="30">
        <v>45893</v>
      </c>
      <c r="B289" s="28" t="s">
        <v>1695</v>
      </c>
      <c r="C289" s="28">
        <v>6.75</v>
      </c>
      <c r="D289" s="28" t="str">
        <f>_xlfn.XLOOKUP(B289,'Payee Ref'!A:A,'Payee Ref'!B:B,"unassigned",0,1)</f>
        <v>unassigned</v>
      </c>
      <c r="E289" s="29" t="str">
        <f>_xlfn.XLOOKUP(B289,'Payee Ref'!A:A,'Payee Ref'!C:C,"unassigned",0,1)</f>
        <v>unassigned</v>
      </c>
      <c r="F289" s="28" t="s">
        <v>2207</v>
      </c>
    </row>
    <row r="290" spans="1:6" x14ac:dyDescent="0.2">
      <c r="A290" s="30">
        <v>45869</v>
      </c>
      <c r="B290" s="28" t="s">
        <v>1763</v>
      </c>
      <c r="C290" s="28">
        <v>6.77</v>
      </c>
      <c r="D290" s="28" t="str">
        <f>_xlfn.XLOOKUP(B290,'Payee Ref'!A:A,'Payee Ref'!B:B,"unassigned",0,1)</f>
        <v>unassigned</v>
      </c>
      <c r="E290" s="29" t="str">
        <f>_xlfn.XLOOKUP(B290,'Payee Ref'!A:A,'Payee Ref'!C:C,"unassigned",0,1)</f>
        <v>unassigned</v>
      </c>
      <c r="F290" s="28" t="s">
        <v>2207</v>
      </c>
    </row>
    <row r="291" spans="1:6" x14ac:dyDescent="0.2">
      <c r="A291" s="30">
        <v>45825</v>
      </c>
      <c r="B291" s="28" t="s">
        <v>1928</v>
      </c>
      <c r="C291" s="28">
        <v>6.78</v>
      </c>
      <c r="D291" s="28" t="str">
        <f>_xlfn.XLOOKUP(B291,'Payee Ref'!A:A,'Payee Ref'!B:B,"unassigned",0,1)</f>
        <v>Auto</v>
      </c>
      <c r="E291" s="29" t="str">
        <f>_xlfn.XLOOKUP(B291,'Payee Ref'!A:A,'Payee Ref'!C:C,"unassigned",0,1)</f>
        <v>Basic</v>
      </c>
      <c r="F291" s="28" t="s">
        <v>2207</v>
      </c>
    </row>
    <row r="292" spans="1:6" x14ac:dyDescent="0.2">
      <c r="A292" s="30">
        <v>45830</v>
      </c>
      <c r="B292" s="28" t="s">
        <v>1916</v>
      </c>
      <c r="C292" s="28">
        <v>6.78</v>
      </c>
      <c r="D292" s="28" t="str">
        <f>_xlfn.XLOOKUP(B292,'Payee Ref'!A:A,'Payee Ref'!B:B,"unassigned",0,1)</f>
        <v>Travel</v>
      </c>
      <c r="E292" s="29" t="str">
        <f>_xlfn.XLOOKUP(B292,'Payee Ref'!A:A,'Payee Ref'!C:C,"unassigned",0,1)</f>
        <v>Luxury</v>
      </c>
      <c r="F292" s="28" t="s">
        <v>2207</v>
      </c>
    </row>
    <row r="293" spans="1:6" x14ac:dyDescent="0.2">
      <c r="A293" s="30">
        <v>45884</v>
      </c>
      <c r="B293" s="28" t="s">
        <v>1719</v>
      </c>
      <c r="C293" s="28">
        <v>6.79</v>
      </c>
      <c r="D293" s="28" t="str">
        <f>_xlfn.XLOOKUP(B293,'Payee Ref'!A:A,'Payee Ref'!B:B,"unassigned",0,1)</f>
        <v>unassigned</v>
      </c>
      <c r="E293" s="29" t="str">
        <f>_xlfn.XLOOKUP(B293,'Payee Ref'!A:A,'Payee Ref'!C:C,"unassigned",0,1)</f>
        <v>unassigned</v>
      </c>
      <c r="F293" s="28" t="s">
        <v>2207</v>
      </c>
    </row>
    <row r="294" spans="1:6" x14ac:dyDescent="0.2">
      <c r="A294" s="30">
        <v>45866</v>
      </c>
      <c r="B294" s="28" t="s">
        <v>1787</v>
      </c>
      <c r="C294" s="28">
        <v>6.81</v>
      </c>
      <c r="D294" s="28" t="str">
        <f>_xlfn.XLOOKUP(B294,'Payee Ref'!A:A,'Payee Ref'!B:B,"unassigned",0,1)</f>
        <v>unassigned</v>
      </c>
      <c r="E294" s="29" t="str">
        <f>_xlfn.XLOOKUP(B294,'Payee Ref'!A:A,'Payee Ref'!C:C,"unassigned",0,1)</f>
        <v>unassigned</v>
      </c>
      <c r="F294" s="28" t="s">
        <v>2207</v>
      </c>
    </row>
    <row r="295" spans="1:6" x14ac:dyDescent="0.2">
      <c r="A295" s="30">
        <v>45683</v>
      </c>
      <c r="B295" s="28" t="s">
        <v>1536</v>
      </c>
      <c r="C295" s="28">
        <v>6.91</v>
      </c>
      <c r="D295" s="28" t="str">
        <f>_xlfn.XLOOKUP(B295,'Payee Ref'!A:A,'Payee Ref'!B:B,"unassigned",0,1)</f>
        <v>Groceries</v>
      </c>
      <c r="E295" s="29" t="str">
        <f>_xlfn.XLOOKUP(B295,'Payee Ref'!A:A,'Payee Ref'!C:C,"unassigned",0,1)</f>
        <v>Basic</v>
      </c>
      <c r="F295" s="28" t="s">
        <v>2207</v>
      </c>
    </row>
    <row r="296" spans="1:6" x14ac:dyDescent="0.2">
      <c r="A296" s="30">
        <v>45815</v>
      </c>
      <c r="B296" s="28" t="s">
        <v>1746</v>
      </c>
      <c r="C296" s="28">
        <v>6.91</v>
      </c>
      <c r="D296" s="28" t="str">
        <f>_xlfn.XLOOKUP(B296,'Payee Ref'!A:A,'Payee Ref'!B:B,"unassigned",0,1)</f>
        <v>Parking</v>
      </c>
      <c r="E296" s="29" t="str">
        <f>_xlfn.XLOOKUP(B296,'Payee Ref'!A:A,'Payee Ref'!C:C,"unassigned",0,1)</f>
        <v>Basic</v>
      </c>
      <c r="F296" s="28" t="s">
        <v>2207</v>
      </c>
    </row>
    <row r="297" spans="1:6" x14ac:dyDescent="0.2">
      <c r="A297" s="30">
        <v>45800</v>
      </c>
      <c r="B297" s="28" t="s">
        <v>1746</v>
      </c>
      <c r="C297" s="28">
        <v>6.91</v>
      </c>
      <c r="D297" s="28" t="str">
        <f>_xlfn.XLOOKUP(B297,'Payee Ref'!A:A,'Payee Ref'!B:B,"unassigned",0,1)</f>
        <v>Parking</v>
      </c>
      <c r="E297" s="29" t="str">
        <f>_xlfn.XLOOKUP(B297,'Payee Ref'!A:A,'Payee Ref'!C:C,"unassigned",0,1)</f>
        <v>Basic</v>
      </c>
      <c r="F297" s="28" t="s">
        <v>2207</v>
      </c>
    </row>
    <row r="298" spans="1:6" x14ac:dyDescent="0.2">
      <c r="A298" s="30">
        <v>45789</v>
      </c>
      <c r="B298" s="28" t="s">
        <v>1746</v>
      </c>
      <c r="C298" s="28">
        <v>6.91</v>
      </c>
      <c r="D298" s="28" t="str">
        <f>_xlfn.XLOOKUP(B298,'Payee Ref'!A:A,'Payee Ref'!B:B,"unassigned",0,1)</f>
        <v>Parking</v>
      </c>
      <c r="E298" s="29" t="str">
        <f>_xlfn.XLOOKUP(B298,'Payee Ref'!A:A,'Payee Ref'!C:C,"unassigned",0,1)</f>
        <v>Basic</v>
      </c>
      <c r="F298" s="28" t="s">
        <v>2207</v>
      </c>
    </row>
    <row r="299" spans="1:6" x14ac:dyDescent="0.2">
      <c r="A299" s="30">
        <v>45779</v>
      </c>
      <c r="B299" s="28" t="s">
        <v>1746</v>
      </c>
      <c r="C299" s="28">
        <v>6.91</v>
      </c>
      <c r="D299" s="28" t="str">
        <f>_xlfn.XLOOKUP(B299,'Payee Ref'!A:A,'Payee Ref'!B:B,"unassigned",0,1)</f>
        <v>Parking</v>
      </c>
      <c r="E299" s="29" t="str">
        <f>_xlfn.XLOOKUP(B299,'Payee Ref'!A:A,'Payee Ref'!C:C,"unassigned",0,1)</f>
        <v>Basic</v>
      </c>
      <c r="F299" s="28" t="s">
        <v>2207</v>
      </c>
    </row>
    <row r="300" spans="1:6" x14ac:dyDescent="0.2">
      <c r="A300" s="30">
        <v>45772</v>
      </c>
      <c r="B300" s="28" t="s">
        <v>1746</v>
      </c>
      <c r="C300" s="28">
        <v>6.91</v>
      </c>
      <c r="D300" s="28" t="str">
        <f>_xlfn.XLOOKUP(B300,'Payee Ref'!A:A,'Payee Ref'!B:B,"unassigned",0,1)</f>
        <v>Parking</v>
      </c>
      <c r="E300" s="29" t="str">
        <f>_xlfn.XLOOKUP(B300,'Payee Ref'!A:A,'Payee Ref'!C:C,"unassigned",0,1)</f>
        <v>Basic</v>
      </c>
      <c r="F300" s="28" t="s">
        <v>2207</v>
      </c>
    </row>
    <row r="301" spans="1:6" x14ac:dyDescent="0.2">
      <c r="A301" s="30">
        <v>45823</v>
      </c>
      <c r="B301" s="28" t="s">
        <v>1851</v>
      </c>
      <c r="C301" s="28">
        <v>6.93</v>
      </c>
      <c r="D301" s="28" t="str">
        <f>_xlfn.XLOOKUP(B301,'Payee Ref'!A:A,'Payee Ref'!B:B,"unassigned",0,1)</f>
        <v>Groceries</v>
      </c>
      <c r="E301" s="29" t="str">
        <f>_xlfn.XLOOKUP(B301,'Payee Ref'!A:A,'Payee Ref'!C:C,"unassigned",0,1)</f>
        <v>Basic</v>
      </c>
      <c r="F301" s="28" t="s">
        <v>2207</v>
      </c>
    </row>
    <row r="302" spans="1:6" x14ac:dyDescent="0.2">
      <c r="A302" s="30">
        <v>45742</v>
      </c>
      <c r="B302" s="28" t="s">
        <v>1796</v>
      </c>
      <c r="C302" s="28">
        <v>6.97</v>
      </c>
      <c r="D302" s="28" t="str">
        <f>_xlfn.XLOOKUP(B302,'Payee Ref'!A:A,'Payee Ref'!B:B,"unassigned",0,1)</f>
        <v>Dining</v>
      </c>
      <c r="E302" s="29" t="str">
        <f>_xlfn.XLOOKUP(B302,'Payee Ref'!A:A,'Payee Ref'!C:C,"unassigned",0,1)</f>
        <v>Luxury</v>
      </c>
      <c r="F302" s="28" t="s">
        <v>2207</v>
      </c>
    </row>
    <row r="303" spans="1:6" x14ac:dyDescent="0.2">
      <c r="A303" s="30">
        <v>45845</v>
      </c>
      <c r="B303" s="28" t="s">
        <v>1588</v>
      </c>
      <c r="C303" s="28">
        <v>6.99</v>
      </c>
      <c r="D303" s="28" t="str">
        <f>_xlfn.XLOOKUP(B303,'Payee Ref'!A:A,'Payee Ref'!B:B,"unassigned",0,1)</f>
        <v>Groceries</v>
      </c>
      <c r="E303" s="29" t="str">
        <f>_xlfn.XLOOKUP(B303,'Payee Ref'!A:A,'Payee Ref'!C:C,"unassigned",0,1)</f>
        <v>Basic</v>
      </c>
      <c r="F303" s="28" t="s">
        <v>2207</v>
      </c>
    </row>
    <row r="304" spans="1:6" x14ac:dyDescent="0.2">
      <c r="A304" s="30">
        <v>45824</v>
      </c>
      <c r="B304" s="28" t="s">
        <v>1913</v>
      </c>
      <c r="C304" s="28">
        <v>7</v>
      </c>
      <c r="D304" s="28" t="str">
        <f>_xlfn.XLOOKUP(B304,'Payee Ref'!A:A,'Payee Ref'!B:B,"unassigned",0,1)</f>
        <v>Dining</v>
      </c>
      <c r="E304" s="29" t="str">
        <f>_xlfn.XLOOKUP(B304,'Payee Ref'!A:A,'Payee Ref'!C:C,"unassigned",0,1)</f>
        <v>Luxury</v>
      </c>
      <c r="F304" s="28" t="s">
        <v>2207</v>
      </c>
    </row>
    <row r="305" spans="1:6" x14ac:dyDescent="0.2">
      <c r="A305" s="30">
        <v>45847</v>
      </c>
      <c r="B305" s="28" t="s">
        <v>1850</v>
      </c>
      <c r="C305" s="28">
        <v>7.07</v>
      </c>
      <c r="D305" s="28" t="str">
        <f>_xlfn.XLOOKUP(B305,'Payee Ref'!A:A,'Payee Ref'!B:B,"unassigned",0,1)</f>
        <v>Dining</v>
      </c>
      <c r="E305" s="29" t="str">
        <f>_xlfn.XLOOKUP(B305,'Payee Ref'!A:A,'Payee Ref'!C:C,"unassigned",0,1)</f>
        <v>Luxury</v>
      </c>
      <c r="F305" s="28" t="s">
        <v>2207</v>
      </c>
    </row>
    <row r="306" spans="1:6" x14ac:dyDescent="0.2">
      <c r="A306" s="30">
        <v>45748</v>
      </c>
      <c r="B306" s="28" t="s">
        <v>1555</v>
      </c>
      <c r="C306" s="28">
        <v>7.09</v>
      </c>
      <c r="D306" s="28" t="str">
        <f>_xlfn.XLOOKUP(B306,'Payee Ref'!A:A,'Payee Ref'!B:B,"unassigned",0,1)</f>
        <v>Education: Secondary</v>
      </c>
      <c r="E306" s="29" t="str">
        <f>_xlfn.XLOOKUP(B306,'Payee Ref'!A:A,'Payee Ref'!C:C,"unassigned",0,1)</f>
        <v>Basic</v>
      </c>
      <c r="F306" s="28" t="s">
        <v>2207</v>
      </c>
    </row>
    <row r="307" spans="1:6" x14ac:dyDescent="0.2">
      <c r="A307" s="30">
        <v>45878</v>
      </c>
      <c r="B307" s="28" t="s">
        <v>1746</v>
      </c>
      <c r="C307" s="28">
        <v>7.16</v>
      </c>
      <c r="D307" s="28" t="str">
        <f>_xlfn.XLOOKUP(B307,'Payee Ref'!A:A,'Payee Ref'!B:B,"unassigned",0,1)</f>
        <v>Parking</v>
      </c>
      <c r="E307" s="29" t="str">
        <f>_xlfn.XLOOKUP(B307,'Payee Ref'!A:A,'Payee Ref'!C:C,"unassigned",0,1)</f>
        <v>Basic</v>
      </c>
      <c r="F307" s="28" t="s">
        <v>2207</v>
      </c>
    </row>
    <row r="308" spans="1:6" x14ac:dyDescent="0.2">
      <c r="A308" s="30">
        <v>45927</v>
      </c>
      <c r="B308" s="28" t="s">
        <v>1618</v>
      </c>
      <c r="C308" s="28">
        <v>7.24</v>
      </c>
      <c r="D308" s="28" t="str">
        <f>_xlfn.XLOOKUP(B308,'Payee Ref'!A:A,'Payee Ref'!B:B,"unassigned",0,1)</f>
        <v>Auto</v>
      </c>
      <c r="E308" s="29" t="str">
        <f>_xlfn.XLOOKUP(B308,'Payee Ref'!A:A,'Payee Ref'!C:C,"unassigned",0,1)</f>
        <v>Luxury</v>
      </c>
      <c r="F308" s="28" t="s">
        <v>2207</v>
      </c>
    </row>
    <row r="309" spans="1:6" x14ac:dyDescent="0.2">
      <c r="A309" s="30">
        <v>45856</v>
      </c>
      <c r="B309" s="28" t="s">
        <v>1819</v>
      </c>
      <c r="C309" s="28">
        <v>7.25</v>
      </c>
      <c r="D309" s="28" t="str">
        <f>_xlfn.XLOOKUP(B309,'Payee Ref'!A:A,'Payee Ref'!B:B,"unassigned",0,1)</f>
        <v>unassigned</v>
      </c>
      <c r="E309" s="29" t="str">
        <f>_xlfn.XLOOKUP(B309,'Payee Ref'!A:A,'Payee Ref'!C:C,"unassigned",0,1)</f>
        <v>unassigned</v>
      </c>
      <c r="F309" s="28" t="s">
        <v>2207</v>
      </c>
    </row>
    <row r="310" spans="1:6" x14ac:dyDescent="0.2">
      <c r="A310" s="30">
        <v>45719</v>
      </c>
      <c r="B310" s="28" t="s">
        <v>2092</v>
      </c>
      <c r="C310" s="28">
        <v>7.3</v>
      </c>
      <c r="D310" s="28" t="str">
        <f>_xlfn.XLOOKUP(B310,'Payee Ref'!A:A,'Payee Ref'!B:B,"unassigned",0,1)</f>
        <v>Dining</v>
      </c>
      <c r="E310" s="29" t="str">
        <f>_xlfn.XLOOKUP(B310,'Payee Ref'!A:A,'Payee Ref'!C:C,"unassigned",0,1)</f>
        <v>Luxury</v>
      </c>
      <c r="F310" s="28" t="s">
        <v>2207</v>
      </c>
    </row>
    <row r="311" spans="1:6" x14ac:dyDescent="0.2">
      <c r="A311" s="30">
        <v>45899</v>
      </c>
      <c r="B311" s="28" t="s">
        <v>1675</v>
      </c>
      <c r="C311" s="28">
        <v>7.33</v>
      </c>
      <c r="D311" s="28" t="str">
        <f>_xlfn.XLOOKUP(B311,'Payee Ref'!A:A,'Payee Ref'!B:B,"unassigned",0,1)</f>
        <v>unassigned</v>
      </c>
      <c r="E311" s="29" t="str">
        <f>_xlfn.XLOOKUP(B311,'Payee Ref'!A:A,'Payee Ref'!C:C,"unassigned",0,1)</f>
        <v>unassigned</v>
      </c>
      <c r="F311" s="28" t="s">
        <v>2207</v>
      </c>
    </row>
    <row r="312" spans="1:6" x14ac:dyDescent="0.2">
      <c r="A312" s="30">
        <v>45807</v>
      </c>
      <c r="B312" s="28" t="s">
        <v>1971</v>
      </c>
      <c r="C312" s="28">
        <v>7.46</v>
      </c>
      <c r="D312" s="28" t="str">
        <f>_xlfn.XLOOKUP(B312,'Payee Ref'!A:A,'Payee Ref'!B:B,"unassigned",0,1)</f>
        <v>Dining</v>
      </c>
      <c r="E312" s="29" t="str">
        <f>_xlfn.XLOOKUP(B312,'Payee Ref'!A:A,'Payee Ref'!C:C,"unassigned",0,1)</f>
        <v>Basic</v>
      </c>
      <c r="F312" s="28" t="s">
        <v>2207</v>
      </c>
    </row>
    <row r="313" spans="1:6" x14ac:dyDescent="0.2">
      <c r="A313" s="30">
        <v>45755</v>
      </c>
      <c r="B313" s="28" t="s">
        <v>1796</v>
      </c>
      <c r="C313" s="28">
        <v>7.52</v>
      </c>
      <c r="D313" s="28" t="str">
        <f>_xlfn.XLOOKUP(B313,'Payee Ref'!A:A,'Payee Ref'!B:B,"unassigned",0,1)</f>
        <v>Dining</v>
      </c>
      <c r="E313" s="29" t="str">
        <f>_xlfn.XLOOKUP(B313,'Payee Ref'!A:A,'Payee Ref'!C:C,"unassigned",0,1)</f>
        <v>Luxury</v>
      </c>
      <c r="F313" s="28" t="s">
        <v>2207</v>
      </c>
    </row>
    <row r="314" spans="1:6" x14ac:dyDescent="0.2">
      <c r="A314" s="30">
        <v>45908</v>
      </c>
      <c r="B314" s="28" t="s">
        <v>1658</v>
      </c>
      <c r="C314" s="28">
        <v>7.7</v>
      </c>
      <c r="D314" s="28" t="str">
        <f>_xlfn.XLOOKUP(B314,'Payee Ref'!A:A,'Payee Ref'!B:B,"unassigned",0,1)</f>
        <v>Gifts</v>
      </c>
      <c r="E314" s="29" t="str">
        <f>_xlfn.XLOOKUP(B314,'Payee Ref'!A:A,'Payee Ref'!C:C,"unassigned",0,1)</f>
        <v>Luxury</v>
      </c>
      <c r="F314" s="28" t="s">
        <v>2207</v>
      </c>
    </row>
    <row r="315" spans="1:6" x14ac:dyDescent="0.2">
      <c r="A315" s="30">
        <v>45858</v>
      </c>
      <c r="B315" s="28" t="s">
        <v>1600</v>
      </c>
      <c r="C315" s="28">
        <v>7.71</v>
      </c>
      <c r="D315" s="28" t="str">
        <f>_xlfn.XLOOKUP(B315,'Payee Ref'!A:A,'Payee Ref'!B:B,"unassigned",0,1)</f>
        <v>Pets</v>
      </c>
      <c r="E315" s="29" t="str">
        <f>_xlfn.XLOOKUP(B315,'Payee Ref'!A:A,'Payee Ref'!C:C,"unassigned",0,1)</f>
        <v>Luxury</v>
      </c>
      <c r="F315" s="28" t="s">
        <v>2207</v>
      </c>
    </row>
    <row r="316" spans="1:6" x14ac:dyDescent="0.2">
      <c r="A316" s="30">
        <v>45777</v>
      </c>
      <c r="B316" s="28" t="s">
        <v>1589</v>
      </c>
      <c r="C316" s="28">
        <v>7.71</v>
      </c>
      <c r="D316" s="28" t="str">
        <f>_xlfn.XLOOKUP(B316,'Payee Ref'!A:A,'Payee Ref'!B:B,"unassigned",0,1)</f>
        <v>Professional</v>
      </c>
      <c r="E316" s="29" t="str">
        <f>_xlfn.XLOOKUP(B316,'Payee Ref'!A:A,'Payee Ref'!C:C,"unassigned",0,1)</f>
        <v>Luxury</v>
      </c>
      <c r="F316" s="28" t="s">
        <v>2207</v>
      </c>
    </row>
    <row r="317" spans="1:6" x14ac:dyDescent="0.2">
      <c r="A317" s="30">
        <v>45746</v>
      </c>
      <c r="B317" s="28" t="s">
        <v>1589</v>
      </c>
      <c r="C317" s="28">
        <v>7.71</v>
      </c>
      <c r="D317" s="28" t="str">
        <f>_xlfn.XLOOKUP(B317,'Payee Ref'!A:A,'Payee Ref'!B:B,"unassigned",0,1)</f>
        <v>Professional</v>
      </c>
      <c r="E317" s="29" t="str">
        <f>_xlfn.XLOOKUP(B317,'Payee Ref'!A:A,'Payee Ref'!C:C,"unassigned",0,1)</f>
        <v>Luxury</v>
      </c>
      <c r="F317" s="28" t="s">
        <v>2207</v>
      </c>
    </row>
    <row r="318" spans="1:6" x14ac:dyDescent="0.2">
      <c r="A318" s="30">
        <v>45717</v>
      </c>
      <c r="B318" s="28" t="s">
        <v>1589</v>
      </c>
      <c r="C318" s="28">
        <v>7.71</v>
      </c>
      <c r="D318" s="28" t="str">
        <f>_xlfn.XLOOKUP(B318,'Payee Ref'!A:A,'Payee Ref'!B:B,"unassigned",0,1)</f>
        <v>Professional</v>
      </c>
      <c r="E318" s="29" t="str">
        <f>_xlfn.XLOOKUP(B318,'Payee Ref'!A:A,'Payee Ref'!C:C,"unassigned",0,1)</f>
        <v>Luxury</v>
      </c>
      <c r="F318" s="28" t="s">
        <v>2207</v>
      </c>
    </row>
    <row r="319" spans="1:6" x14ac:dyDescent="0.2">
      <c r="A319" s="30">
        <v>45687</v>
      </c>
      <c r="B319" s="28" t="s">
        <v>1589</v>
      </c>
      <c r="C319" s="28">
        <v>7.71</v>
      </c>
      <c r="D319" s="28" t="str">
        <f>_xlfn.XLOOKUP(B319,'Payee Ref'!A:A,'Payee Ref'!B:B,"unassigned",0,1)</f>
        <v>Professional</v>
      </c>
      <c r="E319" s="29" t="str">
        <f>_xlfn.XLOOKUP(B319,'Payee Ref'!A:A,'Payee Ref'!C:C,"unassigned",0,1)</f>
        <v>Luxury</v>
      </c>
      <c r="F319" s="28" t="s">
        <v>2207</v>
      </c>
    </row>
    <row r="320" spans="1:6" x14ac:dyDescent="0.2">
      <c r="A320" s="30">
        <v>45836</v>
      </c>
      <c r="B320" s="28" t="s">
        <v>1884</v>
      </c>
      <c r="C320" s="28">
        <v>7.71</v>
      </c>
      <c r="D320" s="28" t="str">
        <f>_xlfn.XLOOKUP(B320,'Payee Ref'!A:A,'Payee Ref'!B:B,"unassigned",0,1)</f>
        <v>Travel</v>
      </c>
      <c r="E320" s="29" t="str">
        <f>_xlfn.XLOOKUP(B320,'Payee Ref'!A:A,'Payee Ref'!C:C,"unassigned",0,1)</f>
        <v>Luxury</v>
      </c>
      <c r="F320" s="28" t="s">
        <v>2207</v>
      </c>
    </row>
    <row r="321" spans="1:6" x14ac:dyDescent="0.2">
      <c r="A321" s="30">
        <v>45782</v>
      </c>
      <c r="B321" s="28" t="s">
        <v>1555</v>
      </c>
      <c r="C321" s="28">
        <v>7.72</v>
      </c>
      <c r="D321" s="28" t="str">
        <f>_xlfn.XLOOKUP(B321,'Payee Ref'!A:A,'Payee Ref'!B:B,"unassigned",0,1)</f>
        <v>Education: Secondary</v>
      </c>
      <c r="E321" s="29" t="str">
        <f>_xlfn.XLOOKUP(B321,'Payee Ref'!A:A,'Payee Ref'!C:C,"unassigned",0,1)</f>
        <v>Basic</v>
      </c>
      <c r="F321" s="28" t="s">
        <v>2207</v>
      </c>
    </row>
    <row r="322" spans="1:6" x14ac:dyDescent="0.2">
      <c r="A322" s="30">
        <v>45960</v>
      </c>
      <c r="B322" s="28" t="s">
        <v>226</v>
      </c>
      <c r="C322" s="28">
        <v>7.73</v>
      </c>
      <c r="D322" s="28" t="str">
        <f>_xlfn.XLOOKUP(B322,'Payee Ref'!A:A,'Payee Ref'!B:B,"unassigned",0,1)</f>
        <v>Travel</v>
      </c>
      <c r="E322" s="29" t="str">
        <f>_xlfn.XLOOKUP(B322,'Payee Ref'!A:A,'Payee Ref'!C:C,"unassigned",0,1)</f>
        <v>Luxury</v>
      </c>
      <c r="F322" s="28" t="s">
        <v>2207</v>
      </c>
    </row>
    <row r="323" spans="1:6" x14ac:dyDescent="0.2">
      <c r="A323" s="30">
        <v>45867</v>
      </c>
      <c r="B323" s="28" t="s">
        <v>1778</v>
      </c>
      <c r="C323" s="28">
        <v>7.83</v>
      </c>
      <c r="D323" s="28" t="str">
        <f>_xlfn.XLOOKUP(B323,'Payee Ref'!A:A,'Payee Ref'!B:B,"unassigned",0,1)</f>
        <v>Travel</v>
      </c>
      <c r="E323" s="29" t="str">
        <f>_xlfn.XLOOKUP(B323,'Payee Ref'!A:A,'Payee Ref'!C:C,"unassigned",0,1)</f>
        <v>Luxury</v>
      </c>
      <c r="F323" s="28" t="s">
        <v>2207</v>
      </c>
    </row>
    <row r="324" spans="1:6" x14ac:dyDescent="0.2">
      <c r="A324" s="30">
        <v>45755</v>
      </c>
      <c r="B324" s="28" t="s">
        <v>2044</v>
      </c>
      <c r="C324" s="28">
        <v>7.86</v>
      </c>
      <c r="D324" s="28" t="str">
        <f>_xlfn.XLOOKUP(B324,'Payee Ref'!A:A,'Payee Ref'!B:B,"unassigned",0,1)</f>
        <v>Health &amp; Medical</v>
      </c>
      <c r="E324" s="29" t="str">
        <f>_xlfn.XLOOKUP(B324,'Payee Ref'!A:A,'Payee Ref'!C:C,"unassigned",0,1)</f>
        <v>Basic</v>
      </c>
      <c r="F324" s="28" t="s">
        <v>2207</v>
      </c>
    </row>
    <row r="325" spans="1:6" x14ac:dyDescent="0.2">
      <c r="A325" s="30">
        <v>45716</v>
      </c>
      <c r="B325" s="28" t="s">
        <v>1534</v>
      </c>
      <c r="C325" s="28">
        <v>7.9</v>
      </c>
      <c r="D325" s="28" t="str">
        <f>_xlfn.XLOOKUP(B325,'Payee Ref'!A:A,'Payee Ref'!B:B,"unassigned",0,1)</f>
        <v>Dining</v>
      </c>
      <c r="E325" s="29" t="str">
        <f>_xlfn.XLOOKUP(B325,'Payee Ref'!A:A,'Payee Ref'!C:C,"unassigned",0,1)</f>
        <v>Luxury</v>
      </c>
      <c r="F325" s="28" t="s">
        <v>2207</v>
      </c>
    </row>
    <row r="326" spans="1:6" x14ac:dyDescent="0.2">
      <c r="A326" s="30">
        <v>45890</v>
      </c>
      <c r="B326" s="28" t="s">
        <v>1701</v>
      </c>
      <c r="C326" s="28">
        <v>7.9</v>
      </c>
      <c r="D326" s="28" t="str">
        <f>_xlfn.XLOOKUP(B326,'Payee Ref'!A:A,'Payee Ref'!B:B,"unassigned",0,1)</f>
        <v>unassigned</v>
      </c>
      <c r="E326" s="29" t="str">
        <f>_xlfn.XLOOKUP(B326,'Payee Ref'!A:A,'Payee Ref'!C:C,"unassigned",0,1)</f>
        <v>unassigned</v>
      </c>
      <c r="F326" s="28" t="s">
        <v>2207</v>
      </c>
    </row>
    <row r="327" spans="1:6" x14ac:dyDescent="0.2">
      <c r="A327" s="30">
        <v>45986</v>
      </c>
      <c r="B327" s="28" t="s">
        <v>546</v>
      </c>
      <c r="C327" s="28">
        <v>7.98</v>
      </c>
      <c r="D327" s="28" t="str">
        <f>_xlfn.XLOOKUP(B327,'Payee Ref'!A:A,'Payee Ref'!B:B,"unassigned",0,1)</f>
        <v>Groceries</v>
      </c>
      <c r="E327" s="29" t="str">
        <f>_xlfn.XLOOKUP(B327,'Payee Ref'!A:A,'Payee Ref'!C:C,"unassigned",0,1)</f>
        <v>Basic</v>
      </c>
      <c r="F327" s="28" t="s">
        <v>2207</v>
      </c>
    </row>
    <row r="328" spans="1:6" x14ac:dyDescent="0.2">
      <c r="A328" s="30">
        <v>45684</v>
      </c>
      <c r="B328" s="28" t="s">
        <v>2079</v>
      </c>
      <c r="C328" s="28">
        <v>7.99</v>
      </c>
      <c r="D328" s="28" t="str">
        <f>_xlfn.XLOOKUP(B328,'Payee Ref'!A:A,'Payee Ref'!B:B,"unassigned",0,1)</f>
        <v>Parking</v>
      </c>
      <c r="E328" s="29" t="str">
        <f>_xlfn.XLOOKUP(B328,'Payee Ref'!A:A,'Payee Ref'!C:C,"unassigned",0,1)</f>
        <v>Basic</v>
      </c>
      <c r="F328" s="28" t="s">
        <v>2207</v>
      </c>
    </row>
    <row r="329" spans="1:6" x14ac:dyDescent="0.2">
      <c r="A329" s="30">
        <v>45676</v>
      </c>
      <c r="B329" s="28" t="s">
        <v>2160</v>
      </c>
      <c r="C329" s="28">
        <v>8</v>
      </c>
      <c r="D329" s="28" t="str">
        <f>_xlfn.XLOOKUP(B329,'Payee Ref'!A:A,'Payee Ref'!B:B,"unassigned",0,1)</f>
        <v>Dining</v>
      </c>
      <c r="E329" s="29" t="str">
        <f>_xlfn.XLOOKUP(B329,'Payee Ref'!A:A,'Payee Ref'!C:C,"unassigned",0,1)</f>
        <v>Luxury</v>
      </c>
      <c r="F329" s="28" t="s">
        <v>2207</v>
      </c>
    </row>
    <row r="330" spans="1:6" x14ac:dyDescent="0.2">
      <c r="A330" s="30">
        <v>45726</v>
      </c>
      <c r="B330" s="28" t="s">
        <v>2080</v>
      </c>
      <c r="C330" s="28">
        <v>8</v>
      </c>
      <c r="D330" s="28" t="str">
        <f>_xlfn.XLOOKUP(B330,'Payee Ref'!A:A,'Payee Ref'!B:B,"unassigned",0,1)</f>
        <v>Education: Secondary</v>
      </c>
      <c r="E330" s="29" t="str">
        <f>_xlfn.XLOOKUP(B330,'Payee Ref'!A:A,'Payee Ref'!C:C,"unassigned",0,1)</f>
        <v>Basic</v>
      </c>
      <c r="F330" s="28" t="s">
        <v>2207</v>
      </c>
    </row>
    <row r="331" spans="1:6" x14ac:dyDescent="0.2">
      <c r="A331" s="30">
        <v>45757</v>
      </c>
      <c r="B331" s="28" t="s">
        <v>2041</v>
      </c>
      <c r="C331" s="28">
        <v>8</v>
      </c>
      <c r="D331" s="28" t="str">
        <f>_xlfn.XLOOKUP(B331,'Payee Ref'!A:A,'Payee Ref'!B:B,"unassigned",0,1)</f>
        <v>Parking</v>
      </c>
      <c r="E331" s="29" t="str">
        <f>_xlfn.XLOOKUP(B331,'Payee Ref'!A:A,'Payee Ref'!C:C,"unassigned",0,1)</f>
        <v>Basic</v>
      </c>
      <c r="F331" s="28" t="s">
        <v>2207</v>
      </c>
    </row>
    <row r="332" spans="1:6" x14ac:dyDescent="0.2">
      <c r="A332" s="30">
        <v>45660</v>
      </c>
      <c r="B332" s="28" t="s">
        <v>2196</v>
      </c>
      <c r="C332" s="28">
        <v>8</v>
      </c>
      <c r="D332" s="28" t="str">
        <f>_xlfn.XLOOKUP(B332,'Payee Ref'!A:A,'Payee Ref'!B:B,"unassigned",0,1)</f>
        <v>Parking</v>
      </c>
      <c r="E332" s="29" t="str">
        <f>_xlfn.XLOOKUP(B332,'Payee Ref'!A:A,'Payee Ref'!C:C,"unassigned",0,1)</f>
        <v>Basic</v>
      </c>
      <c r="F332" s="28" t="s">
        <v>2207</v>
      </c>
    </row>
    <row r="333" spans="1:6" x14ac:dyDescent="0.2">
      <c r="A333" s="30">
        <v>45918</v>
      </c>
      <c r="B333" s="28" t="s">
        <v>1643</v>
      </c>
      <c r="C333" s="28">
        <v>8</v>
      </c>
      <c r="D333" s="28" t="str">
        <f>_xlfn.XLOOKUP(B333,'Payee Ref'!A:A,'Payee Ref'!B:B,"unassigned",0,1)</f>
        <v>Travel</v>
      </c>
      <c r="E333" s="29" t="str">
        <f>_xlfn.XLOOKUP(B333,'Payee Ref'!A:A,'Payee Ref'!C:C,"unassigned",0,1)</f>
        <v>Luxury</v>
      </c>
      <c r="F333" s="28" t="s">
        <v>2207</v>
      </c>
    </row>
    <row r="334" spans="1:6" x14ac:dyDescent="0.2">
      <c r="A334" s="30">
        <v>45862</v>
      </c>
      <c r="B334" s="28" t="s">
        <v>1803</v>
      </c>
      <c r="C334" s="28">
        <v>8.01</v>
      </c>
      <c r="D334" s="28" t="str">
        <f>_xlfn.XLOOKUP(B334,'Payee Ref'!A:A,'Payee Ref'!B:B,"unassigned",0,1)</f>
        <v>unassigned</v>
      </c>
      <c r="E334" s="29" t="str">
        <f>_xlfn.XLOOKUP(B334,'Payee Ref'!A:A,'Payee Ref'!C:C,"unassigned",0,1)</f>
        <v>unassigned</v>
      </c>
      <c r="F334" s="28" t="s">
        <v>2207</v>
      </c>
    </row>
    <row r="335" spans="1:6" x14ac:dyDescent="0.2">
      <c r="A335" s="30">
        <v>45834</v>
      </c>
      <c r="B335" s="28" t="s">
        <v>1894</v>
      </c>
      <c r="C335" s="28">
        <v>8.0500000000000007</v>
      </c>
      <c r="D335" s="28" t="str">
        <f>_xlfn.XLOOKUP(B335,'Payee Ref'!A:A,'Payee Ref'!B:B,"unassigned",0,1)</f>
        <v>Travel</v>
      </c>
      <c r="E335" s="29" t="str">
        <f>_xlfn.XLOOKUP(B335,'Payee Ref'!A:A,'Payee Ref'!C:C,"unassigned",0,1)</f>
        <v>Luxury</v>
      </c>
      <c r="F335" s="28" t="s">
        <v>2207</v>
      </c>
    </row>
    <row r="336" spans="1:6" x14ac:dyDescent="0.2">
      <c r="A336" s="30">
        <v>45869</v>
      </c>
      <c r="B336" s="28" t="s">
        <v>1764</v>
      </c>
      <c r="C336" s="28">
        <v>8.0500000000000007</v>
      </c>
      <c r="D336" s="28" t="str">
        <f>_xlfn.XLOOKUP(B336,'Payee Ref'!A:A,'Payee Ref'!B:B,"unassigned",0,1)</f>
        <v>unassigned</v>
      </c>
      <c r="E336" s="29" t="str">
        <f>_xlfn.XLOOKUP(B336,'Payee Ref'!A:A,'Payee Ref'!C:C,"unassigned",0,1)</f>
        <v>unassigned</v>
      </c>
      <c r="F336" s="28" t="s">
        <v>2207</v>
      </c>
    </row>
    <row r="337" spans="1:6" x14ac:dyDescent="0.2">
      <c r="A337" s="30">
        <v>45868</v>
      </c>
      <c r="B337" s="28" t="s">
        <v>1765</v>
      </c>
      <c r="C337" s="28">
        <v>8.09</v>
      </c>
      <c r="D337" s="28" t="str">
        <f>_xlfn.XLOOKUP(B337,'Payee Ref'!A:A,'Payee Ref'!B:B,"unassigned",0,1)</f>
        <v>unassigned</v>
      </c>
      <c r="E337" s="29" t="str">
        <f>_xlfn.XLOOKUP(B337,'Payee Ref'!A:A,'Payee Ref'!C:C,"unassigned",0,1)</f>
        <v>unassigned</v>
      </c>
      <c r="F337" s="28" t="s">
        <v>2207</v>
      </c>
    </row>
    <row r="338" spans="1:6" x14ac:dyDescent="0.2">
      <c r="A338" s="30">
        <v>45965</v>
      </c>
      <c r="B338" s="28" t="s">
        <v>1131</v>
      </c>
      <c r="C338" s="28">
        <v>8.15</v>
      </c>
      <c r="D338" s="28" t="str">
        <f>_xlfn.XLOOKUP(B338,'Payee Ref'!A:A,'Payee Ref'!B:B,"unassigned",0,1)</f>
        <v>Travel</v>
      </c>
      <c r="E338" s="29" t="str">
        <f>_xlfn.XLOOKUP(B338,'Payee Ref'!A:A,'Payee Ref'!C:C,"unassigned",0,1)</f>
        <v>basic</v>
      </c>
      <c r="F338" s="28" t="s">
        <v>2207</v>
      </c>
    </row>
    <row r="339" spans="1:6" x14ac:dyDescent="0.2">
      <c r="A339" s="30">
        <v>45773</v>
      </c>
      <c r="B339" s="28" t="s">
        <v>1587</v>
      </c>
      <c r="C339" s="28">
        <v>8.16</v>
      </c>
      <c r="D339" s="28" t="str">
        <f>_xlfn.XLOOKUP(B339,'Payee Ref'!A:A,'Payee Ref'!B:B,"unassigned",0,1)</f>
        <v>Travel</v>
      </c>
      <c r="E339" s="29" t="str">
        <f>_xlfn.XLOOKUP(B339,'Payee Ref'!A:A,'Payee Ref'!C:C,"unassigned",0,1)</f>
        <v>Luxury</v>
      </c>
      <c r="F339" s="28" t="s">
        <v>2207</v>
      </c>
    </row>
    <row r="340" spans="1:6" x14ac:dyDescent="0.2">
      <c r="A340" s="30">
        <v>45866</v>
      </c>
      <c r="B340" s="28" t="s">
        <v>1790</v>
      </c>
      <c r="C340" s="28">
        <v>8.17</v>
      </c>
      <c r="D340" s="28" t="str">
        <f>_xlfn.XLOOKUP(B340,'Payee Ref'!A:A,'Payee Ref'!B:B,"unassigned",0,1)</f>
        <v>unassigned</v>
      </c>
      <c r="E340" s="29" t="str">
        <f>_xlfn.XLOOKUP(B340,'Payee Ref'!A:A,'Payee Ref'!C:C,"unassigned",0,1)</f>
        <v>unassigned</v>
      </c>
      <c r="F340" s="28" t="s">
        <v>2207</v>
      </c>
    </row>
    <row r="341" spans="1:6" x14ac:dyDescent="0.2">
      <c r="A341" s="30">
        <v>45867</v>
      </c>
      <c r="B341" s="28" t="s">
        <v>1783</v>
      </c>
      <c r="C341" s="28">
        <v>8.25</v>
      </c>
      <c r="D341" s="28" t="str">
        <f>_xlfn.XLOOKUP(B341,'Payee Ref'!A:A,'Payee Ref'!B:B,"unassigned",0,1)</f>
        <v>unassigned</v>
      </c>
      <c r="E341" s="29" t="str">
        <f>_xlfn.XLOOKUP(B341,'Payee Ref'!A:A,'Payee Ref'!C:C,"unassigned",0,1)</f>
        <v>unassigned</v>
      </c>
      <c r="F341" s="28" t="s">
        <v>2207</v>
      </c>
    </row>
    <row r="342" spans="1:6" x14ac:dyDescent="0.2">
      <c r="A342" s="30">
        <v>45830</v>
      </c>
      <c r="B342" s="28" t="s">
        <v>1917</v>
      </c>
      <c r="C342" s="28">
        <v>8.31</v>
      </c>
      <c r="D342" s="28" t="str">
        <f>_xlfn.XLOOKUP(B342,'Payee Ref'!A:A,'Payee Ref'!B:B,"unassigned",0,1)</f>
        <v>Travel</v>
      </c>
      <c r="E342" s="29" t="str">
        <f>_xlfn.XLOOKUP(B342,'Payee Ref'!A:A,'Payee Ref'!C:C,"unassigned",0,1)</f>
        <v>Luxury</v>
      </c>
      <c r="F342" s="28" t="s">
        <v>2207</v>
      </c>
    </row>
    <row r="343" spans="1:6" x14ac:dyDescent="0.2">
      <c r="A343" s="30">
        <v>45776</v>
      </c>
      <c r="B343" s="28" t="s">
        <v>1952</v>
      </c>
      <c r="C343" s="28">
        <v>8.3800000000000008</v>
      </c>
      <c r="D343" s="28" t="str">
        <f>_xlfn.XLOOKUP(B343,'Payee Ref'!A:A,'Payee Ref'!B:B,"unassigned",0,1)</f>
        <v>Groceries</v>
      </c>
      <c r="E343" s="29" t="str">
        <f>_xlfn.XLOOKUP(B343,'Payee Ref'!A:A,'Payee Ref'!C:C,"unassigned",0,1)</f>
        <v>Basic</v>
      </c>
      <c r="F343" s="28" t="s">
        <v>2207</v>
      </c>
    </row>
    <row r="344" spans="1:6" x14ac:dyDescent="0.2">
      <c r="A344" s="30">
        <v>45749</v>
      </c>
      <c r="B344" s="28" t="s">
        <v>1952</v>
      </c>
      <c r="C344" s="28">
        <v>8.3800000000000008</v>
      </c>
      <c r="D344" s="28" t="str">
        <f>_xlfn.XLOOKUP(B344,'Payee Ref'!A:A,'Payee Ref'!B:B,"unassigned",0,1)</f>
        <v>Groceries</v>
      </c>
      <c r="E344" s="29" t="str">
        <f>_xlfn.XLOOKUP(B344,'Payee Ref'!A:A,'Payee Ref'!C:C,"unassigned",0,1)</f>
        <v>Basic</v>
      </c>
      <c r="F344" s="28" t="s">
        <v>2207</v>
      </c>
    </row>
    <row r="345" spans="1:6" x14ac:dyDescent="0.2">
      <c r="A345" s="30">
        <v>45878</v>
      </c>
      <c r="B345" s="28" t="s">
        <v>1722</v>
      </c>
      <c r="C345" s="28">
        <v>8.4</v>
      </c>
      <c r="D345" s="28" t="str">
        <f>_xlfn.XLOOKUP(B345,'Payee Ref'!A:A,'Payee Ref'!B:B,"unassigned",0,1)</f>
        <v>unassigned</v>
      </c>
      <c r="E345" s="29" t="str">
        <f>_xlfn.XLOOKUP(B345,'Payee Ref'!A:A,'Payee Ref'!C:C,"unassigned",0,1)</f>
        <v>unassigned</v>
      </c>
      <c r="F345" s="28" t="s">
        <v>2207</v>
      </c>
    </row>
    <row r="346" spans="1:6" x14ac:dyDescent="0.2">
      <c r="A346" s="30">
        <v>45716</v>
      </c>
      <c r="B346" s="28" t="s">
        <v>1656</v>
      </c>
      <c r="C346" s="28">
        <v>8.44</v>
      </c>
      <c r="D346" s="28" t="str">
        <f>_xlfn.XLOOKUP(B346,'Payee Ref'!A:A,'Payee Ref'!B:B,"unassigned",0,1)</f>
        <v>Home &amp; Garden</v>
      </c>
      <c r="E346" s="29" t="str">
        <f>_xlfn.XLOOKUP(B346,'Payee Ref'!A:A,'Payee Ref'!C:C,"unassigned",0,1)</f>
        <v>Basic</v>
      </c>
      <c r="F346" s="28" t="s">
        <v>2207</v>
      </c>
    </row>
    <row r="347" spans="1:6" x14ac:dyDescent="0.2">
      <c r="A347" s="30">
        <v>45843</v>
      </c>
      <c r="B347" s="28" t="s">
        <v>1858</v>
      </c>
      <c r="C347" s="28">
        <v>8.7200000000000006</v>
      </c>
      <c r="D347" s="28" t="str">
        <f>_xlfn.XLOOKUP(B347,'Payee Ref'!A:A,'Payee Ref'!B:B,"unassigned",0,1)</f>
        <v>Dining</v>
      </c>
      <c r="E347" s="29" t="str">
        <f>_xlfn.XLOOKUP(B347,'Payee Ref'!A:A,'Payee Ref'!C:C,"unassigned",0,1)</f>
        <v>Luxury</v>
      </c>
      <c r="F347" s="28" t="s">
        <v>2207</v>
      </c>
    </row>
    <row r="348" spans="1:6" x14ac:dyDescent="0.2">
      <c r="A348" s="30">
        <v>45685</v>
      </c>
      <c r="B348" s="28" t="s">
        <v>1620</v>
      </c>
      <c r="C348" s="28">
        <v>8.82</v>
      </c>
      <c r="D348" s="28" t="str">
        <f>_xlfn.XLOOKUP(B348,'Payee Ref'!A:A,'Payee Ref'!B:B,"unassigned",0,1)</f>
        <v>Dining</v>
      </c>
      <c r="E348" s="29" t="str">
        <f>_xlfn.XLOOKUP(B348,'Payee Ref'!A:A,'Payee Ref'!C:C,"unassigned",0,1)</f>
        <v>Luxury</v>
      </c>
      <c r="F348" s="28" t="s">
        <v>2207</v>
      </c>
    </row>
    <row r="349" spans="1:6" x14ac:dyDescent="0.2">
      <c r="A349" s="30">
        <v>45820</v>
      </c>
      <c r="B349" s="28" t="s">
        <v>1949</v>
      </c>
      <c r="C349" s="28">
        <v>8.82</v>
      </c>
      <c r="D349" s="28" t="str">
        <f>_xlfn.XLOOKUP(B349,'Payee Ref'!A:A,'Payee Ref'!B:B,"unassigned",0,1)</f>
        <v>Home &amp; Garden</v>
      </c>
      <c r="E349" s="29" t="str">
        <f>_xlfn.XLOOKUP(B349,'Payee Ref'!A:A,'Payee Ref'!C:C,"unassigned",0,1)</f>
        <v>Basic</v>
      </c>
      <c r="F349" s="28" t="s">
        <v>2207</v>
      </c>
    </row>
    <row r="350" spans="1:6" x14ac:dyDescent="0.2">
      <c r="A350" s="30">
        <v>45673</v>
      </c>
      <c r="B350" s="31" t="s">
        <v>2164</v>
      </c>
      <c r="C350" s="28">
        <v>8.82</v>
      </c>
      <c r="D350" s="28" t="str">
        <f>_xlfn.XLOOKUP(B350,'Payee Ref'!A:A,'Payee Ref'!B:B,"unassigned",0,1)</f>
        <v>Home &amp; Garden</v>
      </c>
      <c r="E350" s="29" t="str">
        <f>_xlfn.XLOOKUP(B350,'Payee Ref'!A:A,'Payee Ref'!C:C,"unassigned",0,1)</f>
        <v>Basic</v>
      </c>
      <c r="F350" s="28" t="s">
        <v>2207</v>
      </c>
    </row>
    <row r="351" spans="1:6" x14ac:dyDescent="0.2">
      <c r="A351" s="30">
        <v>45930</v>
      </c>
      <c r="B351" s="28" t="s">
        <v>1589</v>
      </c>
      <c r="C351" s="28">
        <v>8.82</v>
      </c>
      <c r="D351" s="28" t="str">
        <f>_xlfn.XLOOKUP(B351,'Payee Ref'!A:A,'Payee Ref'!B:B,"unassigned",0,1)</f>
        <v>Professional</v>
      </c>
      <c r="E351" s="29" t="str">
        <f>_xlfn.XLOOKUP(B351,'Payee Ref'!A:A,'Payee Ref'!C:C,"unassigned",0,1)</f>
        <v>Luxury</v>
      </c>
      <c r="F351" s="28" t="s">
        <v>2207</v>
      </c>
    </row>
    <row r="352" spans="1:6" x14ac:dyDescent="0.2">
      <c r="A352" s="30">
        <v>45898</v>
      </c>
      <c r="B352" s="28" t="s">
        <v>1589</v>
      </c>
      <c r="C352" s="28">
        <v>8.82</v>
      </c>
      <c r="D352" s="28" t="str">
        <f>_xlfn.XLOOKUP(B352,'Payee Ref'!A:A,'Payee Ref'!B:B,"unassigned",0,1)</f>
        <v>Professional</v>
      </c>
      <c r="E352" s="29" t="str">
        <f>_xlfn.XLOOKUP(B352,'Payee Ref'!A:A,'Payee Ref'!C:C,"unassigned",0,1)</f>
        <v>Luxury</v>
      </c>
      <c r="F352" s="28" t="s">
        <v>2207</v>
      </c>
    </row>
    <row r="353" spans="1:6" x14ac:dyDescent="0.2">
      <c r="A353" s="30">
        <v>45868</v>
      </c>
      <c r="B353" s="28" t="s">
        <v>1589</v>
      </c>
      <c r="C353" s="28">
        <v>8.82</v>
      </c>
      <c r="D353" s="28" t="str">
        <f>_xlfn.XLOOKUP(B353,'Payee Ref'!A:A,'Payee Ref'!B:B,"unassigned",0,1)</f>
        <v>Professional</v>
      </c>
      <c r="E353" s="29" t="str">
        <f>_xlfn.XLOOKUP(B353,'Payee Ref'!A:A,'Payee Ref'!C:C,"unassigned",0,1)</f>
        <v>Luxury</v>
      </c>
      <c r="F353" s="28" t="s">
        <v>2207</v>
      </c>
    </row>
    <row r="354" spans="1:6" x14ac:dyDescent="0.2">
      <c r="A354" s="30">
        <v>45837</v>
      </c>
      <c r="B354" s="28" t="s">
        <v>1589</v>
      </c>
      <c r="C354" s="28">
        <v>8.82</v>
      </c>
      <c r="D354" s="28" t="str">
        <f>_xlfn.XLOOKUP(B354,'Payee Ref'!A:A,'Payee Ref'!B:B,"unassigned",0,1)</f>
        <v>Professional</v>
      </c>
      <c r="E354" s="29" t="str">
        <f>_xlfn.XLOOKUP(B354,'Payee Ref'!A:A,'Payee Ref'!C:C,"unassigned",0,1)</f>
        <v>Luxury</v>
      </c>
      <c r="F354" s="28" t="s">
        <v>2207</v>
      </c>
    </row>
    <row r="355" spans="1:6" x14ac:dyDescent="0.2">
      <c r="A355" s="30">
        <v>45806</v>
      </c>
      <c r="B355" s="28" t="s">
        <v>1589</v>
      </c>
      <c r="C355" s="28">
        <v>8.82</v>
      </c>
      <c r="D355" s="28" t="str">
        <f>_xlfn.XLOOKUP(B355,'Payee Ref'!A:A,'Payee Ref'!B:B,"unassigned",0,1)</f>
        <v>Professional</v>
      </c>
      <c r="E355" s="29" t="str">
        <f>_xlfn.XLOOKUP(B355,'Payee Ref'!A:A,'Payee Ref'!C:C,"unassigned",0,1)</f>
        <v>Luxury</v>
      </c>
      <c r="F355" s="28" t="s">
        <v>2207</v>
      </c>
    </row>
    <row r="356" spans="1:6" x14ac:dyDescent="0.2">
      <c r="A356" s="30">
        <v>45959</v>
      </c>
      <c r="B356" s="28" t="s">
        <v>871</v>
      </c>
      <c r="C356" s="28">
        <v>8.82</v>
      </c>
      <c r="D356" s="28" t="str">
        <f>_xlfn.XLOOKUP(B356,'Payee Ref'!A:A,'Payee Ref'!B:B,"unassigned",0,1)</f>
        <v>Professional</v>
      </c>
      <c r="E356" s="29" t="str">
        <f>_xlfn.XLOOKUP(B356,'Payee Ref'!A:A,'Payee Ref'!C:C,"unassigned",0,1)</f>
        <v>Basic</v>
      </c>
      <c r="F356" s="28" t="s">
        <v>2207</v>
      </c>
    </row>
    <row r="357" spans="1:6" x14ac:dyDescent="0.2">
      <c r="A357" s="30">
        <v>45990</v>
      </c>
      <c r="B357" s="28" t="s">
        <v>1513</v>
      </c>
      <c r="C357" s="28">
        <v>8.82</v>
      </c>
      <c r="D357" s="28" t="str">
        <f>_xlfn.XLOOKUP(B357,'Payee Ref'!A:A,'Payee Ref'!B:B,"unassigned",0,1)</f>
        <v>unassigned</v>
      </c>
      <c r="E357" s="29" t="str">
        <f>_xlfn.XLOOKUP(B357,'Payee Ref'!A:A,'Payee Ref'!C:C,"unassigned",0,1)</f>
        <v>unassigned</v>
      </c>
      <c r="F357" s="28" t="s">
        <v>2207</v>
      </c>
    </row>
    <row r="358" spans="1:6" x14ac:dyDescent="0.2">
      <c r="A358" s="30">
        <v>45700</v>
      </c>
      <c r="B358" s="28" t="s">
        <v>1950</v>
      </c>
      <c r="C358" s="28">
        <v>8.89</v>
      </c>
      <c r="D358" s="28" t="str">
        <f>_xlfn.XLOOKUP(B358,'Payee Ref'!A:A,'Payee Ref'!B:B,"unassigned",0,1)</f>
        <v>Parking</v>
      </c>
      <c r="E358" s="29" t="str">
        <f>_xlfn.XLOOKUP(B358,'Payee Ref'!A:A,'Payee Ref'!C:C,"unassigned",0,1)</f>
        <v>Basic</v>
      </c>
      <c r="F358" s="28" t="s">
        <v>2207</v>
      </c>
    </row>
    <row r="359" spans="1:6" x14ac:dyDescent="0.2">
      <c r="A359" s="30">
        <v>45755</v>
      </c>
      <c r="B359" s="28" t="s">
        <v>1571</v>
      </c>
      <c r="C359" s="28">
        <v>8.93</v>
      </c>
      <c r="D359" s="28" t="str">
        <f>_xlfn.XLOOKUP(B359,'Payee Ref'!A:A,'Payee Ref'!B:B,"unassigned",0,1)</f>
        <v>Travel</v>
      </c>
      <c r="E359" s="29" t="str">
        <f>_xlfn.XLOOKUP(B359,'Payee Ref'!A:A,'Payee Ref'!C:C,"unassigned",0,1)</f>
        <v>Luxury</v>
      </c>
      <c r="F359" s="28" t="s">
        <v>2207</v>
      </c>
    </row>
    <row r="360" spans="1:6" x14ac:dyDescent="0.2">
      <c r="A360" s="30">
        <v>45670</v>
      </c>
      <c r="B360" s="28" t="s">
        <v>1952</v>
      </c>
      <c r="C360" s="28">
        <v>8.99</v>
      </c>
      <c r="D360" s="28" t="str">
        <f>_xlfn.XLOOKUP(B360,'Payee Ref'!A:A,'Payee Ref'!B:B,"unassigned",0,1)</f>
        <v>Groceries</v>
      </c>
      <c r="E360" s="29" t="str">
        <f>_xlfn.XLOOKUP(B360,'Payee Ref'!A:A,'Payee Ref'!C:C,"unassigned",0,1)</f>
        <v>Basic</v>
      </c>
      <c r="F360" s="28" t="s">
        <v>2207</v>
      </c>
    </row>
    <row r="361" spans="1:6" x14ac:dyDescent="0.2">
      <c r="A361" s="30">
        <v>45912</v>
      </c>
      <c r="B361" s="28" t="s">
        <v>1650</v>
      </c>
      <c r="C361" s="28">
        <v>8.99</v>
      </c>
      <c r="D361" s="28" t="str">
        <f>_xlfn.XLOOKUP(B361,'Payee Ref'!A:A,'Payee Ref'!B:B,"unassigned",0,1)</f>
        <v>unassigned</v>
      </c>
      <c r="E361" s="29" t="str">
        <f>_xlfn.XLOOKUP(B361,'Payee Ref'!A:A,'Payee Ref'!C:C,"unassigned",0,1)</f>
        <v>unassigned</v>
      </c>
      <c r="F361" s="28" t="s">
        <v>2207</v>
      </c>
    </row>
    <row r="362" spans="1:6" x14ac:dyDescent="0.2">
      <c r="A362" s="30">
        <v>45772</v>
      </c>
      <c r="B362" s="28" t="s">
        <v>2020</v>
      </c>
      <c r="C362" s="28">
        <v>9</v>
      </c>
      <c r="D362" s="28" t="str">
        <f>_xlfn.XLOOKUP(B362,'Payee Ref'!A:A,'Payee Ref'!B:B,"unassigned",0,1)</f>
        <v>Parking</v>
      </c>
      <c r="E362" s="29" t="str">
        <f>_xlfn.XLOOKUP(B362,'Payee Ref'!A:A,'Payee Ref'!C:C,"unassigned",0,1)</f>
        <v>Basic</v>
      </c>
      <c r="F362" s="28" t="s">
        <v>2207</v>
      </c>
    </row>
    <row r="363" spans="1:6" x14ac:dyDescent="0.2">
      <c r="A363" s="30">
        <v>45892</v>
      </c>
      <c r="B363" s="28" t="s">
        <v>1550</v>
      </c>
      <c r="C363" s="28">
        <v>9</v>
      </c>
      <c r="D363" s="28" t="str">
        <f>_xlfn.XLOOKUP(B363,'Payee Ref'!A:A,'Payee Ref'!B:B,"unassigned",0,1)</f>
        <v>unassigned</v>
      </c>
      <c r="E363" s="29" t="str">
        <f>_xlfn.XLOOKUP(B363,'Payee Ref'!A:A,'Payee Ref'!C:C,"unassigned",0,1)</f>
        <v>unassigned</v>
      </c>
      <c r="F363" s="28" t="s">
        <v>2207</v>
      </c>
    </row>
    <row r="364" spans="1:6" x14ac:dyDescent="0.2">
      <c r="A364" s="30">
        <v>45924</v>
      </c>
      <c r="B364" s="28" t="s">
        <v>1550</v>
      </c>
      <c r="C364" s="28">
        <v>9</v>
      </c>
      <c r="D364" s="28" t="str">
        <f>_xlfn.XLOOKUP(B364,'Payee Ref'!A:A,'Payee Ref'!B:B,"unassigned",0,1)</f>
        <v>unassigned</v>
      </c>
      <c r="E364" s="29" t="str">
        <f>_xlfn.XLOOKUP(B364,'Payee Ref'!A:A,'Payee Ref'!C:C,"unassigned",0,1)</f>
        <v>unassigned</v>
      </c>
      <c r="F364" s="28" t="s">
        <v>2207</v>
      </c>
    </row>
    <row r="365" spans="1:6" x14ac:dyDescent="0.2">
      <c r="A365" s="30">
        <v>45745</v>
      </c>
      <c r="B365" s="31" t="s">
        <v>2057</v>
      </c>
      <c r="C365" s="28">
        <v>9.01</v>
      </c>
      <c r="D365" s="28" t="str">
        <f>_xlfn.XLOOKUP(B365,'Payee Ref'!A:A,'Payee Ref'!B:B,"unassigned",0,1)</f>
        <v>Parking</v>
      </c>
      <c r="E365" s="29" t="str">
        <f>_xlfn.XLOOKUP(B365,'Payee Ref'!A:A,'Payee Ref'!C:C,"unassigned",0,1)</f>
        <v>Basic</v>
      </c>
      <c r="F365" s="28" t="s">
        <v>2207</v>
      </c>
    </row>
    <row r="366" spans="1:6" x14ac:dyDescent="0.2">
      <c r="A366" s="30">
        <v>45802</v>
      </c>
      <c r="B366" s="28" t="s">
        <v>1978</v>
      </c>
      <c r="C366" s="28">
        <v>9.0299999999999994</v>
      </c>
      <c r="D366" s="28" t="str">
        <f>_xlfn.XLOOKUP(B366,'Payee Ref'!A:A,'Payee Ref'!B:B,"unassigned",0,1)</f>
        <v>Dining</v>
      </c>
      <c r="E366" s="29" t="str">
        <f>_xlfn.XLOOKUP(B366,'Payee Ref'!A:A,'Payee Ref'!C:C,"unassigned",0,1)</f>
        <v>Luxury</v>
      </c>
      <c r="F366" s="28" t="s">
        <v>2207</v>
      </c>
    </row>
    <row r="367" spans="1:6" x14ac:dyDescent="0.2">
      <c r="A367" s="30">
        <v>45715</v>
      </c>
      <c r="B367" s="31" t="s">
        <v>2109</v>
      </c>
      <c r="C367" s="28">
        <v>9.0399999999999991</v>
      </c>
      <c r="D367" s="28" t="str">
        <f>_xlfn.XLOOKUP(B367,'Payee Ref'!A:A,'Payee Ref'!B:B,"unassigned",0,1)</f>
        <v>Home &amp; Garden</v>
      </c>
      <c r="E367" s="29" t="str">
        <f>_xlfn.XLOOKUP(B367,'Payee Ref'!A:A,'Payee Ref'!C:C,"unassigned",0,1)</f>
        <v>Basic</v>
      </c>
      <c r="F367" s="28" t="s">
        <v>2207</v>
      </c>
    </row>
    <row r="368" spans="1:6" x14ac:dyDescent="0.2">
      <c r="A368" s="30">
        <v>45895</v>
      </c>
      <c r="B368" s="28" t="s">
        <v>1692</v>
      </c>
      <c r="C368" s="28">
        <v>9.08</v>
      </c>
      <c r="D368" s="28" t="str">
        <f>_xlfn.XLOOKUP(B368,'Payee Ref'!A:A,'Payee Ref'!B:B,"unassigned",0,1)</f>
        <v>unassigned</v>
      </c>
      <c r="E368" s="29" t="str">
        <f>_xlfn.XLOOKUP(B368,'Payee Ref'!A:A,'Payee Ref'!C:C,"unassigned",0,1)</f>
        <v>unassigned</v>
      </c>
      <c r="F368" s="28" t="s">
        <v>2207</v>
      </c>
    </row>
    <row r="369" spans="1:6" x14ac:dyDescent="0.2">
      <c r="A369" s="30">
        <v>45702</v>
      </c>
      <c r="B369" s="28" t="s">
        <v>2000</v>
      </c>
      <c r="C369" s="28">
        <v>9.1</v>
      </c>
      <c r="D369" s="28" t="str">
        <f>_xlfn.XLOOKUP(B369,'Payee Ref'!A:A,'Payee Ref'!B:B,"unassigned",0,1)</f>
        <v>Dining</v>
      </c>
      <c r="E369" s="29" t="str">
        <f>_xlfn.XLOOKUP(B369,'Payee Ref'!A:A,'Payee Ref'!C:C,"unassigned",0,1)</f>
        <v>Luxury</v>
      </c>
      <c r="F369" s="28" t="s">
        <v>2207</v>
      </c>
    </row>
    <row r="370" spans="1:6" x14ac:dyDescent="0.2">
      <c r="A370" s="30">
        <v>45732</v>
      </c>
      <c r="B370" s="28" t="s">
        <v>2081</v>
      </c>
      <c r="C370" s="28">
        <v>9.1</v>
      </c>
      <c r="D370" s="28" t="str">
        <f>_xlfn.XLOOKUP(B370,'Payee Ref'!A:A,'Payee Ref'!B:B,"unassigned",0,1)</f>
        <v>Membership</v>
      </c>
      <c r="E370" s="29" t="str">
        <f>_xlfn.XLOOKUP(B370,'Payee Ref'!A:A,'Payee Ref'!C:C,"unassigned",0,1)</f>
        <v>Luxury</v>
      </c>
      <c r="F370" s="28" t="s">
        <v>2207</v>
      </c>
    </row>
    <row r="371" spans="1:6" x14ac:dyDescent="0.2">
      <c r="A371" s="30">
        <v>45845</v>
      </c>
      <c r="B371" s="28" t="s">
        <v>1693</v>
      </c>
      <c r="C371" s="28">
        <v>9.1199999999999992</v>
      </c>
      <c r="D371" s="28" t="str">
        <f>_xlfn.XLOOKUP(B371,'Payee Ref'!A:A,'Payee Ref'!B:B,"unassigned",0,1)</f>
        <v>Dining</v>
      </c>
      <c r="E371" s="29" t="str">
        <f>_xlfn.XLOOKUP(B371,'Payee Ref'!A:A,'Payee Ref'!C:C,"unassigned",0,1)</f>
        <v>Luxury</v>
      </c>
      <c r="F371" s="28" t="s">
        <v>2207</v>
      </c>
    </row>
    <row r="372" spans="1:6" x14ac:dyDescent="0.2">
      <c r="A372" s="30">
        <v>45971</v>
      </c>
      <c r="B372" s="28" t="s">
        <v>168</v>
      </c>
      <c r="C372" s="28">
        <v>9.1199999999999992</v>
      </c>
      <c r="D372" s="28" t="str">
        <f>_xlfn.XLOOKUP(B372,'Payee Ref'!A:A,'Payee Ref'!B:B,"unassigned",0,1)</f>
        <v>Dining</v>
      </c>
      <c r="E372" s="29" t="str">
        <f>_xlfn.XLOOKUP(B372,'Payee Ref'!A:A,'Payee Ref'!C:C,"unassigned",0,1)</f>
        <v>Luxury</v>
      </c>
      <c r="F372" s="28" t="s">
        <v>2207</v>
      </c>
    </row>
    <row r="373" spans="1:6" x14ac:dyDescent="0.2">
      <c r="A373" s="30">
        <v>45897</v>
      </c>
      <c r="B373" s="28" t="s">
        <v>1683</v>
      </c>
      <c r="C373" s="28">
        <v>9.1199999999999992</v>
      </c>
      <c r="D373" s="28" t="str">
        <f>_xlfn.XLOOKUP(B373,'Payee Ref'!A:A,'Payee Ref'!B:B,"unassigned",0,1)</f>
        <v>unassigned</v>
      </c>
      <c r="E373" s="29" t="str">
        <f>_xlfn.XLOOKUP(B373,'Payee Ref'!A:A,'Payee Ref'!C:C,"unassigned",0,1)</f>
        <v>unassigned</v>
      </c>
      <c r="F373" s="28" t="s">
        <v>2207</v>
      </c>
    </row>
    <row r="374" spans="1:6" x14ac:dyDescent="0.2">
      <c r="A374" s="30">
        <v>45837</v>
      </c>
      <c r="B374" s="28" t="s">
        <v>1873</v>
      </c>
      <c r="C374" s="28">
        <v>9.17</v>
      </c>
      <c r="D374" s="28" t="str">
        <f>_xlfn.XLOOKUP(B374,'Payee Ref'!A:A,'Payee Ref'!B:B,"unassigned",0,1)</f>
        <v>Dining</v>
      </c>
      <c r="E374" s="29" t="str">
        <f>_xlfn.XLOOKUP(B374,'Payee Ref'!A:A,'Payee Ref'!C:C,"unassigned",0,1)</f>
        <v>Luxury</v>
      </c>
      <c r="F374" s="28" t="s">
        <v>2207</v>
      </c>
    </row>
    <row r="375" spans="1:6" x14ac:dyDescent="0.2">
      <c r="A375" s="30">
        <v>45883</v>
      </c>
      <c r="B375" s="28" t="s">
        <v>1723</v>
      </c>
      <c r="C375" s="28">
        <v>9.1999999999999993</v>
      </c>
      <c r="D375" s="28" t="str">
        <f>_xlfn.XLOOKUP(B375,'Payee Ref'!A:A,'Payee Ref'!B:B,"unassigned",0,1)</f>
        <v>unassigned</v>
      </c>
      <c r="E375" s="29" t="str">
        <f>_xlfn.XLOOKUP(B375,'Payee Ref'!A:A,'Payee Ref'!C:C,"unassigned",0,1)</f>
        <v>unassigned</v>
      </c>
      <c r="F375" s="28" t="s">
        <v>2207</v>
      </c>
    </row>
    <row r="376" spans="1:6" x14ac:dyDescent="0.2">
      <c r="A376" s="30">
        <v>45700</v>
      </c>
      <c r="B376" s="28" t="s">
        <v>1627</v>
      </c>
      <c r="C376" s="28">
        <v>9.25</v>
      </c>
      <c r="D376" s="28" t="str">
        <f>_xlfn.XLOOKUP(B376,'Payee Ref'!A:A,'Payee Ref'!B:B,"unassigned",0,1)</f>
        <v>Auto</v>
      </c>
      <c r="E376" s="29" t="str">
        <f>_xlfn.XLOOKUP(B376,'Payee Ref'!A:A,'Payee Ref'!C:C,"unassigned",0,1)</f>
        <v>Basic</v>
      </c>
      <c r="F376" s="28" t="s">
        <v>2207</v>
      </c>
    </row>
    <row r="377" spans="1:6" x14ac:dyDescent="0.2">
      <c r="A377" s="30">
        <v>45796</v>
      </c>
      <c r="B377" s="28" t="s">
        <v>1547</v>
      </c>
      <c r="C377" s="28">
        <v>9.3000000000000007</v>
      </c>
      <c r="D377" s="28" t="str">
        <f>_xlfn.XLOOKUP(B377,'Payee Ref'!A:A,'Payee Ref'!B:B,"unassigned",0,1)</f>
        <v>Pharmacy</v>
      </c>
      <c r="E377" s="29" t="str">
        <f>_xlfn.XLOOKUP(B377,'Payee Ref'!A:A,'Payee Ref'!C:C,"unassigned",0,1)</f>
        <v>Basic</v>
      </c>
      <c r="F377" s="28" t="s">
        <v>2207</v>
      </c>
    </row>
    <row r="378" spans="1:6" x14ac:dyDescent="0.2">
      <c r="A378" s="30">
        <v>45768</v>
      </c>
      <c r="B378" s="28" t="s">
        <v>1547</v>
      </c>
      <c r="C378" s="28">
        <v>9.3000000000000007</v>
      </c>
      <c r="D378" s="28" t="str">
        <f>_xlfn.XLOOKUP(B378,'Payee Ref'!A:A,'Payee Ref'!B:B,"unassigned",0,1)</f>
        <v>Pharmacy</v>
      </c>
      <c r="E378" s="29" t="str">
        <f>_xlfn.XLOOKUP(B378,'Payee Ref'!A:A,'Payee Ref'!C:C,"unassigned",0,1)</f>
        <v>Basic</v>
      </c>
      <c r="F378" s="28" t="s">
        <v>2207</v>
      </c>
    </row>
    <row r="379" spans="1:6" x14ac:dyDescent="0.2">
      <c r="A379" s="30">
        <v>45729</v>
      </c>
      <c r="B379" s="28" t="s">
        <v>1952</v>
      </c>
      <c r="C379" s="28">
        <v>9.31</v>
      </c>
      <c r="D379" s="28" t="str">
        <f>_xlfn.XLOOKUP(B379,'Payee Ref'!A:A,'Payee Ref'!B:B,"unassigned",0,1)</f>
        <v>Groceries</v>
      </c>
      <c r="E379" s="29" t="str">
        <f>_xlfn.XLOOKUP(B379,'Payee Ref'!A:A,'Payee Ref'!C:C,"unassigned",0,1)</f>
        <v>Basic</v>
      </c>
      <c r="F379" s="28" t="s">
        <v>2207</v>
      </c>
    </row>
    <row r="380" spans="1:6" x14ac:dyDescent="0.2">
      <c r="A380" s="30">
        <v>45833</v>
      </c>
      <c r="B380" s="28" t="s">
        <v>1898</v>
      </c>
      <c r="C380" s="28">
        <v>9.31</v>
      </c>
      <c r="D380" s="28" t="str">
        <f>_xlfn.XLOOKUP(B380,'Payee Ref'!A:A,'Payee Ref'!B:B,"unassigned",0,1)</f>
        <v>Travel</v>
      </c>
      <c r="E380" s="29" t="str">
        <f>_xlfn.XLOOKUP(B380,'Payee Ref'!A:A,'Payee Ref'!C:C,"unassigned",0,1)</f>
        <v>Luxury</v>
      </c>
      <c r="F380" s="28" t="s">
        <v>2207</v>
      </c>
    </row>
    <row r="381" spans="1:6" x14ac:dyDescent="0.2">
      <c r="A381" s="30">
        <v>45878</v>
      </c>
      <c r="B381" s="28" t="s">
        <v>1667</v>
      </c>
      <c r="C381" s="28">
        <v>9.32</v>
      </c>
      <c r="D381" s="28" t="str">
        <f>_xlfn.XLOOKUP(B381,'Payee Ref'!A:A,'Payee Ref'!B:B,"unassigned",0,1)</f>
        <v>Dining</v>
      </c>
      <c r="E381" s="29" t="str">
        <f>_xlfn.XLOOKUP(B381,'Payee Ref'!A:A,'Payee Ref'!C:C,"unassigned",0,1)</f>
        <v>Luxury</v>
      </c>
      <c r="F381" s="28" t="s">
        <v>2207</v>
      </c>
    </row>
    <row r="382" spans="1:6" x14ac:dyDescent="0.2">
      <c r="A382" s="30">
        <v>45981</v>
      </c>
      <c r="B382" s="28" t="s">
        <v>40</v>
      </c>
      <c r="C382" s="28">
        <v>9.35</v>
      </c>
      <c r="D382" s="28" t="str">
        <f>_xlfn.XLOOKUP(B382,'Payee Ref'!A:A,'Payee Ref'!B:B,"unassigned",0,1)</f>
        <v>Auto</v>
      </c>
      <c r="E382" s="29" t="str">
        <f>_xlfn.XLOOKUP(B382,'Payee Ref'!A:A,'Payee Ref'!C:C,"unassigned",0,1)</f>
        <v>Basic</v>
      </c>
      <c r="F382" s="28" t="s">
        <v>2207</v>
      </c>
    </row>
    <row r="383" spans="1:6" x14ac:dyDescent="0.2">
      <c r="A383" s="30">
        <v>45895</v>
      </c>
      <c r="B383" s="28" t="s">
        <v>1621</v>
      </c>
      <c r="C383" s="28">
        <v>9.4</v>
      </c>
      <c r="D383" s="28" t="str">
        <f>_xlfn.XLOOKUP(B383,'Payee Ref'!A:A,'Payee Ref'!B:B,"unassigned",0,1)</f>
        <v>unassigned</v>
      </c>
      <c r="E383" s="29" t="str">
        <f>_xlfn.XLOOKUP(B383,'Payee Ref'!A:A,'Payee Ref'!C:C,"unassigned",0,1)</f>
        <v>unassigned</v>
      </c>
      <c r="F383" s="28" t="s">
        <v>2207</v>
      </c>
    </row>
    <row r="384" spans="1:6" x14ac:dyDescent="0.2">
      <c r="A384" s="30">
        <v>45778</v>
      </c>
      <c r="B384" s="28" t="s">
        <v>1534</v>
      </c>
      <c r="C384" s="28">
        <v>9.4499999999999993</v>
      </c>
      <c r="D384" s="28" t="str">
        <f>_xlfn.XLOOKUP(B384,'Payee Ref'!A:A,'Payee Ref'!B:B,"unassigned",0,1)</f>
        <v>Dining</v>
      </c>
      <c r="E384" s="29" t="str">
        <f>_xlfn.XLOOKUP(B384,'Payee Ref'!A:A,'Payee Ref'!C:C,"unassigned",0,1)</f>
        <v>Luxury</v>
      </c>
      <c r="F384" s="28" t="s">
        <v>2207</v>
      </c>
    </row>
    <row r="385" spans="1:6" x14ac:dyDescent="0.2">
      <c r="A385" s="30">
        <v>45729</v>
      </c>
      <c r="B385" s="28" t="s">
        <v>2088</v>
      </c>
      <c r="C385" s="28">
        <v>9.48</v>
      </c>
      <c r="D385" s="28" t="str">
        <f>_xlfn.XLOOKUP(B385,'Payee Ref'!A:A,'Payee Ref'!B:B,"unassigned",0,1)</f>
        <v>Groceries</v>
      </c>
      <c r="E385" s="29" t="str">
        <f>_xlfn.XLOOKUP(B385,'Payee Ref'!A:A,'Payee Ref'!C:C,"unassigned",0,1)</f>
        <v>Basic</v>
      </c>
      <c r="F385" s="28" t="s">
        <v>2207</v>
      </c>
    </row>
    <row r="386" spans="1:6" x14ac:dyDescent="0.2">
      <c r="A386" s="30">
        <v>45798</v>
      </c>
      <c r="B386" s="28" t="s">
        <v>1985</v>
      </c>
      <c r="C386" s="28">
        <v>9.48</v>
      </c>
      <c r="D386" s="28" t="str">
        <f>_xlfn.XLOOKUP(B386,'Payee Ref'!A:A,'Payee Ref'!B:B,"unassigned",0,1)</f>
        <v>Home &amp; Garden</v>
      </c>
      <c r="E386" s="29" t="str">
        <f>_xlfn.XLOOKUP(B386,'Payee Ref'!A:A,'Payee Ref'!C:C,"unassigned",0,1)</f>
        <v>Basic</v>
      </c>
      <c r="F386" s="28" t="s">
        <v>2207</v>
      </c>
    </row>
    <row r="387" spans="1:6" x14ac:dyDescent="0.2">
      <c r="A387" s="30">
        <v>45751</v>
      </c>
      <c r="B387" s="28" t="s">
        <v>1952</v>
      </c>
      <c r="C387" s="28">
        <v>9.57</v>
      </c>
      <c r="D387" s="28" t="str">
        <f>_xlfn.XLOOKUP(B387,'Payee Ref'!A:A,'Payee Ref'!B:B,"unassigned",0,1)</f>
        <v>Groceries</v>
      </c>
      <c r="E387" s="29" t="str">
        <f>_xlfn.XLOOKUP(B387,'Payee Ref'!A:A,'Payee Ref'!C:C,"unassigned",0,1)</f>
        <v>Basic</v>
      </c>
      <c r="F387" s="28" t="s">
        <v>2207</v>
      </c>
    </row>
    <row r="388" spans="1:6" x14ac:dyDescent="0.2">
      <c r="A388" s="30">
        <v>45815</v>
      </c>
      <c r="B388" s="28" t="s">
        <v>1952</v>
      </c>
      <c r="C388" s="28">
        <v>9.61</v>
      </c>
      <c r="D388" s="28" t="str">
        <f>_xlfn.XLOOKUP(B388,'Payee Ref'!A:A,'Payee Ref'!B:B,"unassigned",0,1)</f>
        <v>Groceries</v>
      </c>
      <c r="E388" s="29" t="str">
        <f>_xlfn.XLOOKUP(B388,'Payee Ref'!A:A,'Payee Ref'!C:C,"unassigned",0,1)</f>
        <v>Basic</v>
      </c>
      <c r="F388" s="28" t="s">
        <v>2207</v>
      </c>
    </row>
    <row r="389" spans="1:6" x14ac:dyDescent="0.2">
      <c r="A389" s="30">
        <v>45660</v>
      </c>
      <c r="B389" s="28" t="s">
        <v>2195</v>
      </c>
      <c r="C389" s="28">
        <v>9.6300000000000008</v>
      </c>
      <c r="D389" s="28" t="str">
        <f>_xlfn.XLOOKUP(B389,'Payee Ref'!A:A,'Payee Ref'!B:B,"unassigned",0,1)</f>
        <v>Dining</v>
      </c>
      <c r="E389" s="29" t="str">
        <f>_xlfn.XLOOKUP(B389,'Payee Ref'!A:A,'Payee Ref'!C:C,"unassigned",0,1)</f>
        <v>Luxury</v>
      </c>
      <c r="F389" s="28" t="s">
        <v>2207</v>
      </c>
    </row>
    <row r="390" spans="1:6" x14ac:dyDescent="0.2">
      <c r="A390" s="30">
        <v>45869</v>
      </c>
      <c r="B390" s="28" t="s">
        <v>1766</v>
      </c>
      <c r="C390" s="28">
        <v>9.68</v>
      </c>
      <c r="D390" s="28" t="str">
        <f>_xlfn.XLOOKUP(B390,'Payee Ref'!A:A,'Payee Ref'!B:B,"unassigned",0,1)</f>
        <v>Travel</v>
      </c>
      <c r="E390" s="29" t="str">
        <f>_xlfn.XLOOKUP(B390,'Payee Ref'!A:A,'Payee Ref'!C:C,"unassigned",0,1)</f>
        <v>Luxury</v>
      </c>
      <c r="F390" s="28" t="s">
        <v>2207</v>
      </c>
    </row>
    <row r="391" spans="1:6" x14ac:dyDescent="0.2">
      <c r="A391" s="30">
        <v>45800</v>
      </c>
      <c r="B391" s="31" t="s">
        <v>1543</v>
      </c>
      <c r="C391" s="28">
        <v>9.89</v>
      </c>
      <c r="D391" s="28" t="str">
        <f>_xlfn.XLOOKUP(B391,'Payee Ref'!A:A,'Payee Ref'!B:B,"unassigned",0,1)</f>
        <v>Subscriptions / Digital</v>
      </c>
      <c r="E391" s="29" t="str">
        <f>_xlfn.XLOOKUP(B391,'Payee Ref'!A:A,'Payee Ref'!C:C,"unassigned",0,1)</f>
        <v>Luxury</v>
      </c>
      <c r="F391" s="28" t="s">
        <v>2207</v>
      </c>
    </row>
    <row r="392" spans="1:6" x14ac:dyDescent="0.2">
      <c r="A392" s="30">
        <v>45844</v>
      </c>
      <c r="B392" s="28" t="s">
        <v>1551</v>
      </c>
      <c r="C392" s="28">
        <v>9.9</v>
      </c>
      <c r="D392" s="28" t="str">
        <f>_xlfn.XLOOKUP(B392,'Payee Ref'!A:A,'Payee Ref'!B:B,"unassigned",0,1)</f>
        <v>Groceries</v>
      </c>
      <c r="E392" s="29" t="str">
        <f>_xlfn.XLOOKUP(B392,'Payee Ref'!A:A,'Payee Ref'!C:C,"unassigned",0,1)</f>
        <v>Basic</v>
      </c>
      <c r="F392" s="28" t="s">
        <v>2207</v>
      </c>
    </row>
    <row r="393" spans="1:6" x14ac:dyDescent="0.2">
      <c r="A393" s="30">
        <v>45869</v>
      </c>
      <c r="B393" s="28" t="s">
        <v>1765</v>
      </c>
      <c r="C393" s="28">
        <v>9.92</v>
      </c>
      <c r="D393" s="28" t="str">
        <f>_xlfn.XLOOKUP(B393,'Payee Ref'!A:A,'Payee Ref'!B:B,"unassigned",0,1)</f>
        <v>unassigned</v>
      </c>
      <c r="E393" s="29" t="str">
        <f>_xlfn.XLOOKUP(B393,'Payee Ref'!A:A,'Payee Ref'!C:C,"unassigned",0,1)</f>
        <v>unassigned</v>
      </c>
      <c r="F393" s="28" t="s">
        <v>2207</v>
      </c>
    </row>
    <row r="394" spans="1:6" x14ac:dyDescent="0.2">
      <c r="A394" s="30">
        <v>45982</v>
      </c>
      <c r="B394" s="28" t="s">
        <v>1552</v>
      </c>
      <c r="C394" s="28">
        <v>9.94</v>
      </c>
      <c r="D394" s="28" t="str">
        <f>_xlfn.XLOOKUP(B394,'Payee Ref'!A:A,'Payee Ref'!B:B,"unassigned",0,1)</f>
        <v>unassigned</v>
      </c>
      <c r="E394" s="29" t="str">
        <f>_xlfn.XLOOKUP(B394,'Payee Ref'!A:A,'Payee Ref'!C:C,"unassigned",0,1)</f>
        <v>unassigned</v>
      </c>
      <c r="F394" s="28" t="s">
        <v>2207</v>
      </c>
    </row>
    <row r="395" spans="1:6" x14ac:dyDescent="0.2">
      <c r="A395" s="30">
        <v>45786</v>
      </c>
      <c r="B395" s="28" t="s">
        <v>1588</v>
      </c>
      <c r="C395" s="28">
        <v>9.9600000000000009</v>
      </c>
      <c r="D395" s="28" t="str">
        <f>_xlfn.XLOOKUP(B395,'Payee Ref'!A:A,'Payee Ref'!B:B,"unassigned",0,1)</f>
        <v>Groceries</v>
      </c>
      <c r="E395" s="29" t="str">
        <f>_xlfn.XLOOKUP(B395,'Payee Ref'!A:A,'Payee Ref'!C:C,"unassigned",0,1)</f>
        <v>Basic</v>
      </c>
      <c r="F395" s="28" t="s">
        <v>2207</v>
      </c>
    </row>
    <row r="396" spans="1:6" x14ac:dyDescent="0.2">
      <c r="A396" s="30">
        <v>45971</v>
      </c>
      <c r="B396" s="28" t="s">
        <v>592</v>
      </c>
      <c r="C396" s="28">
        <v>9.99</v>
      </c>
      <c r="D396" s="28" t="str">
        <f>_xlfn.XLOOKUP(B396,'Payee Ref'!A:A,'Payee Ref'!B:B,"unassigned",0,1)</f>
        <v>Hardware Technology</v>
      </c>
      <c r="E396" s="29" t="str">
        <f>_xlfn.XLOOKUP(B396,'Payee Ref'!A:A,'Payee Ref'!C:C,"unassigned",0,1)</f>
        <v>Basic</v>
      </c>
      <c r="F396" s="28" t="s">
        <v>2207</v>
      </c>
    </row>
    <row r="397" spans="1:6" x14ac:dyDescent="0.2">
      <c r="A397" s="30">
        <v>45941</v>
      </c>
      <c r="B397" s="28" t="s">
        <v>592</v>
      </c>
      <c r="C397" s="28">
        <v>9.99</v>
      </c>
      <c r="D397" s="28" t="str">
        <f>_xlfn.XLOOKUP(B397,'Payee Ref'!A:A,'Payee Ref'!B:B,"unassigned",0,1)</f>
        <v>Hardware Technology</v>
      </c>
      <c r="E397" s="29" t="str">
        <f>_xlfn.XLOOKUP(B397,'Payee Ref'!A:A,'Payee Ref'!C:C,"unassigned",0,1)</f>
        <v>Basic</v>
      </c>
      <c r="F397" s="28" t="s">
        <v>2207</v>
      </c>
    </row>
    <row r="398" spans="1:6" x14ac:dyDescent="0.2">
      <c r="A398" s="30">
        <v>45687</v>
      </c>
      <c r="B398" s="28" t="s">
        <v>2079</v>
      </c>
      <c r="C398" s="28">
        <v>9.99</v>
      </c>
      <c r="D398" s="28" t="str">
        <f>_xlfn.XLOOKUP(B398,'Payee Ref'!A:A,'Payee Ref'!B:B,"unassigned",0,1)</f>
        <v>Parking</v>
      </c>
      <c r="E398" s="29" t="str">
        <f>_xlfn.XLOOKUP(B398,'Payee Ref'!A:A,'Payee Ref'!C:C,"unassigned",0,1)</f>
        <v>Basic</v>
      </c>
      <c r="F398" s="28" t="s">
        <v>2207</v>
      </c>
    </row>
    <row r="399" spans="1:6" x14ac:dyDescent="0.2">
      <c r="A399" s="30">
        <v>45911</v>
      </c>
      <c r="B399" s="31" t="s">
        <v>1543</v>
      </c>
      <c r="C399" s="28">
        <v>9.99</v>
      </c>
      <c r="D399" s="28" t="str">
        <f>_xlfn.XLOOKUP(B399,'Payee Ref'!A:A,'Payee Ref'!B:B,"unassigned",0,1)</f>
        <v>Subscriptions / Digital</v>
      </c>
      <c r="E399" s="29" t="str">
        <f>_xlfn.XLOOKUP(B399,'Payee Ref'!A:A,'Payee Ref'!C:C,"unassigned",0,1)</f>
        <v>Luxury</v>
      </c>
      <c r="F399" s="28" t="s">
        <v>2207</v>
      </c>
    </row>
    <row r="400" spans="1:6" x14ac:dyDescent="0.2">
      <c r="A400" s="30">
        <v>45880</v>
      </c>
      <c r="B400" s="31" t="s">
        <v>1543</v>
      </c>
      <c r="C400" s="28">
        <v>9.99</v>
      </c>
      <c r="D400" s="28" t="str">
        <f>_xlfn.XLOOKUP(B400,'Payee Ref'!A:A,'Payee Ref'!B:B,"unassigned",0,1)</f>
        <v>Subscriptions / Digital</v>
      </c>
      <c r="E400" s="29" t="str">
        <f>_xlfn.XLOOKUP(B400,'Payee Ref'!A:A,'Payee Ref'!C:C,"unassigned",0,1)</f>
        <v>Luxury</v>
      </c>
      <c r="F400" s="28" t="s">
        <v>2207</v>
      </c>
    </row>
    <row r="401" spans="1:6" x14ac:dyDescent="0.2">
      <c r="A401" s="30">
        <v>45849</v>
      </c>
      <c r="B401" s="31" t="s">
        <v>1543</v>
      </c>
      <c r="C401" s="28">
        <v>9.99</v>
      </c>
      <c r="D401" s="28" t="str">
        <f>_xlfn.XLOOKUP(B401,'Payee Ref'!A:A,'Payee Ref'!B:B,"unassigned",0,1)</f>
        <v>Subscriptions / Digital</v>
      </c>
      <c r="E401" s="29" t="str">
        <f>_xlfn.XLOOKUP(B401,'Payee Ref'!A:A,'Payee Ref'!C:C,"unassigned",0,1)</f>
        <v>Luxury</v>
      </c>
      <c r="F401" s="28" t="s">
        <v>2207</v>
      </c>
    </row>
    <row r="402" spans="1:6" x14ac:dyDescent="0.2">
      <c r="A402" s="30">
        <v>45819</v>
      </c>
      <c r="B402" s="31" t="s">
        <v>1543</v>
      </c>
      <c r="C402" s="28">
        <v>9.99</v>
      </c>
      <c r="D402" s="28" t="str">
        <f>_xlfn.XLOOKUP(B402,'Payee Ref'!A:A,'Payee Ref'!B:B,"unassigned",0,1)</f>
        <v>Subscriptions / Digital</v>
      </c>
      <c r="E402" s="29" t="str">
        <f>_xlfn.XLOOKUP(B402,'Payee Ref'!A:A,'Payee Ref'!C:C,"unassigned",0,1)</f>
        <v>Luxury</v>
      </c>
      <c r="F402" s="28" t="s">
        <v>2207</v>
      </c>
    </row>
    <row r="403" spans="1:6" x14ac:dyDescent="0.2">
      <c r="A403" s="30">
        <v>45788</v>
      </c>
      <c r="B403" s="31" t="s">
        <v>1543</v>
      </c>
      <c r="C403" s="28">
        <v>9.99</v>
      </c>
      <c r="D403" s="28" t="str">
        <f>_xlfn.XLOOKUP(B403,'Payee Ref'!A:A,'Payee Ref'!B:B,"unassigned",0,1)</f>
        <v>Subscriptions / Digital</v>
      </c>
      <c r="E403" s="29" t="str">
        <f>_xlfn.XLOOKUP(B403,'Payee Ref'!A:A,'Payee Ref'!C:C,"unassigned",0,1)</f>
        <v>Luxury</v>
      </c>
      <c r="F403" s="28" t="s">
        <v>2207</v>
      </c>
    </row>
    <row r="404" spans="1:6" x14ac:dyDescent="0.2">
      <c r="A404" s="30">
        <v>45757</v>
      </c>
      <c r="B404" s="31" t="s">
        <v>1543</v>
      </c>
      <c r="C404" s="28">
        <v>9.99</v>
      </c>
      <c r="D404" s="28" t="str">
        <f>_xlfn.XLOOKUP(B404,'Payee Ref'!A:A,'Payee Ref'!B:B,"unassigned",0,1)</f>
        <v>Subscriptions / Digital</v>
      </c>
      <c r="E404" s="29" t="str">
        <f>_xlfn.XLOOKUP(B404,'Payee Ref'!A:A,'Payee Ref'!C:C,"unassigned",0,1)</f>
        <v>Luxury</v>
      </c>
      <c r="F404" s="28" t="s">
        <v>2207</v>
      </c>
    </row>
    <row r="405" spans="1:6" x14ac:dyDescent="0.2">
      <c r="A405" s="30">
        <v>45727</v>
      </c>
      <c r="B405" s="31" t="s">
        <v>1543</v>
      </c>
      <c r="C405" s="28">
        <v>9.99</v>
      </c>
      <c r="D405" s="28" t="str">
        <f>_xlfn.XLOOKUP(B405,'Payee Ref'!A:A,'Payee Ref'!B:B,"unassigned",0,1)</f>
        <v>Subscriptions / Digital</v>
      </c>
      <c r="E405" s="29" t="str">
        <f>_xlfn.XLOOKUP(B405,'Payee Ref'!A:A,'Payee Ref'!C:C,"unassigned",0,1)</f>
        <v>Luxury</v>
      </c>
      <c r="F405" s="28" t="s">
        <v>2207</v>
      </c>
    </row>
    <row r="406" spans="1:6" x14ac:dyDescent="0.2">
      <c r="A406" s="30">
        <v>45698</v>
      </c>
      <c r="B406" s="31" t="s">
        <v>1543</v>
      </c>
      <c r="C406" s="28">
        <v>9.99</v>
      </c>
      <c r="D406" s="28" t="str">
        <f>_xlfn.XLOOKUP(B406,'Payee Ref'!A:A,'Payee Ref'!B:B,"unassigned",0,1)</f>
        <v>Subscriptions / Digital</v>
      </c>
      <c r="E406" s="29" t="str">
        <f>_xlfn.XLOOKUP(B406,'Payee Ref'!A:A,'Payee Ref'!C:C,"unassigned",0,1)</f>
        <v>Luxury</v>
      </c>
      <c r="F406" s="28" t="s">
        <v>2207</v>
      </c>
    </row>
    <row r="407" spans="1:6" x14ac:dyDescent="0.2">
      <c r="A407" s="30">
        <v>45668</v>
      </c>
      <c r="B407" s="31" t="s">
        <v>1543</v>
      </c>
      <c r="C407" s="28">
        <v>9.99</v>
      </c>
      <c r="D407" s="28" t="str">
        <f>_xlfn.XLOOKUP(B407,'Payee Ref'!A:A,'Payee Ref'!B:B,"unassigned",0,1)</f>
        <v>Subscriptions / Digital</v>
      </c>
      <c r="E407" s="29" t="str">
        <f>_xlfn.XLOOKUP(B407,'Payee Ref'!A:A,'Payee Ref'!C:C,"unassigned",0,1)</f>
        <v>Luxury</v>
      </c>
      <c r="F407" s="28" t="s">
        <v>2207</v>
      </c>
    </row>
    <row r="408" spans="1:6" x14ac:dyDescent="0.2">
      <c r="A408" s="30">
        <v>45954</v>
      </c>
      <c r="B408" s="28" t="s">
        <v>1218</v>
      </c>
      <c r="C408" s="28">
        <v>10</v>
      </c>
      <c r="D408" s="28" t="str">
        <f>_xlfn.XLOOKUP(B408,'Payee Ref'!A:A,'Payee Ref'!B:B,"unassigned",0,1)</f>
        <v>Auto</v>
      </c>
      <c r="E408" s="29" t="str">
        <f>_xlfn.XLOOKUP(B408,'Payee Ref'!A:A,'Payee Ref'!C:C,"unassigned",0,1)</f>
        <v>Basic</v>
      </c>
      <c r="F408" s="28" t="s">
        <v>2207</v>
      </c>
    </row>
    <row r="409" spans="1:6" x14ac:dyDescent="0.2">
      <c r="A409" s="30">
        <v>45811</v>
      </c>
      <c r="B409" s="28" t="s">
        <v>1534</v>
      </c>
      <c r="C409" s="28">
        <v>10</v>
      </c>
      <c r="D409" s="28" t="str">
        <f>_xlfn.XLOOKUP(B409,'Payee Ref'!A:A,'Payee Ref'!B:B,"unassigned",0,1)</f>
        <v>Dining</v>
      </c>
      <c r="E409" s="29" t="str">
        <f>_xlfn.XLOOKUP(B409,'Payee Ref'!A:A,'Payee Ref'!C:C,"unassigned",0,1)</f>
        <v>Luxury</v>
      </c>
      <c r="F409" s="28" t="s">
        <v>2207</v>
      </c>
    </row>
    <row r="410" spans="1:6" x14ac:dyDescent="0.2">
      <c r="A410" s="30">
        <v>45805</v>
      </c>
      <c r="B410" s="28" t="s">
        <v>1534</v>
      </c>
      <c r="C410" s="28">
        <v>10</v>
      </c>
      <c r="D410" s="28" t="str">
        <f>_xlfn.XLOOKUP(B410,'Payee Ref'!A:A,'Payee Ref'!B:B,"unassigned",0,1)</f>
        <v>Dining</v>
      </c>
      <c r="E410" s="29" t="str">
        <f>_xlfn.XLOOKUP(B410,'Payee Ref'!A:A,'Payee Ref'!C:C,"unassigned",0,1)</f>
        <v>Luxury</v>
      </c>
      <c r="F410" s="28" t="s">
        <v>2207</v>
      </c>
    </row>
    <row r="411" spans="1:6" x14ac:dyDescent="0.2">
      <c r="A411" s="30">
        <v>45798</v>
      </c>
      <c r="B411" s="28" t="s">
        <v>1534</v>
      </c>
      <c r="C411" s="28">
        <v>10</v>
      </c>
      <c r="D411" s="28" t="str">
        <f>_xlfn.XLOOKUP(B411,'Payee Ref'!A:A,'Payee Ref'!B:B,"unassigned",0,1)</f>
        <v>Dining</v>
      </c>
      <c r="E411" s="29" t="str">
        <f>_xlfn.XLOOKUP(B411,'Payee Ref'!A:A,'Payee Ref'!C:C,"unassigned",0,1)</f>
        <v>Luxury</v>
      </c>
      <c r="F411" s="28" t="s">
        <v>2207</v>
      </c>
    </row>
    <row r="412" spans="1:6" x14ac:dyDescent="0.2">
      <c r="A412" s="30">
        <v>45792</v>
      </c>
      <c r="B412" s="28" t="s">
        <v>1534</v>
      </c>
      <c r="C412" s="28">
        <v>10</v>
      </c>
      <c r="D412" s="28" t="str">
        <f>_xlfn.XLOOKUP(B412,'Payee Ref'!A:A,'Payee Ref'!B:B,"unassigned",0,1)</f>
        <v>Dining</v>
      </c>
      <c r="E412" s="29" t="str">
        <f>_xlfn.XLOOKUP(B412,'Payee Ref'!A:A,'Payee Ref'!C:C,"unassigned",0,1)</f>
        <v>Luxury</v>
      </c>
      <c r="F412" s="28" t="s">
        <v>2207</v>
      </c>
    </row>
    <row r="413" spans="1:6" x14ac:dyDescent="0.2">
      <c r="A413" s="30">
        <v>45726</v>
      </c>
      <c r="B413" s="28" t="s">
        <v>1534</v>
      </c>
      <c r="C413" s="28">
        <v>10</v>
      </c>
      <c r="D413" s="28" t="str">
        <f>_xlfn.XLOOKUP(B413,'Payee Ref'!A:A,'Payee Ref'!B:B,"unassigned",0,1)</f>
        <v>Dining</v>
      </c>
      <c r="E413" s="29" t="str">
        <f>_xlfn.XLOOKUP(B413,'Payee Ref'!A:A,'Payee Ref'!C:C,"unassigned",0,1)</f>
        <v>Luxury</v>
      </c>
      <c r="F413" s="28" t="s">
        <v>2207</v>
      </c>
    </row>
    <row r="414" spans="1:6" x14ac:dyDescent="0.2">
      <c r="A414" s="30">
        <v>45726</v>
      </c>
      <c r="B414" s="31" t="s">
        <v>2093</v>
      </c>
      <c r="C414" s="28">
        <v>10</v>
      </c>
      <c r="D414" s="28" t="str">
        <f>_xlfn.XLOOKUP(B414,'Payee Ref'!A:A,'Payee Ref'!B:B,"unassigned",0,1)</f>
        <v>Education: Secondary</v>
      </c>
      <c r="E414" s="29" t="str">
        <f>_xlfn.XLOOKUP(B414,'Payee Ref'!A:A,'Payee Ref'!C:C,"unassigned",0,1)</f>
        <v>Basic</v>
      </c>
      <c r="F414" s="28" t="s">
        <v>2207</v>
      </c>
    </row>
    <row r="415" spans="1:6" x14ac:dyDescent="0.2">
      <c r="A415" s="30">
        <v>45676</v>
      </c>
      <c r="B415" s="28" t="s">
        <v>2041</v>
      </c>
      <c r="C415" s="28">
        <v>10</v>
      </c>
      <c r="D415" s="28" t="str">
        <f>_xlfn.XLOOKUP(B415,'Payee Ref'!A:A,'Payee Ref'!B:B,"unassigned",0,1)</f>
        <v>Parking</v>
      </c>
      <c r="E415" s="29" t="str">
        <f>_xlfn.XLOOKUP(B415,'Payee Ref'!A:A,'Payee Ref'!C:C,"unassigned",0,1)</f>
        <v>Basic</v>
      </c>
      <c r="F415" s="28" t="s">
        <v>2207</v>
      </c>
    </row>
    <row r="416" spans="1:6" x14ac:dyDescent="0.2">
      <c r="A416" s="30">
        <v>45908</v>
      </c>
      <c r="B416" s="28" t="s">
        <v>1659</v>
      </c>
      <c r="C416" s="28">
        <v>10.02</v>
      </c>
      <c r="D416" s="28" t="str">
        <f>_xlfn.XLOOKUP(B416,'Payee Ref'!A:A,'Payee Ref'!B:B,"unassigned",0,1)</f>
        <v>Groceries</v>
      </c>
      <c r="E416" s="29" t="str">
        <f>_xlfn.XLOOKUP(B416,'Payee Ref'!A:A,'Payee Ref'!C:C,"unassigned",0,1)</f>
        <v>Basic</v>
      </c>
      <c r="F416" s="28" t="s">
        <v>2207</v>
      </c>
    </row>
    <row r="417" spans="1:6" x14ac:dyDescent="0.2">
      <c r="A417" s="30">
        <v>45965</v>
      </c>
      <c r="B417" s="28" t="s">
        <v>262</v>
      </c>
      <c r="C417" s="28">
        <v>10.06</v>
      </c>
      <c r="D417" s="28" t="str">
        <f>_xlfn.XLOOKUP(B417,'Payee Ref'!A:A,'Payee Ref'!B:B,"unassigned",0,1)</f>
        <v>Dining</v>
      </c>
      <c r="E417" s="29" t="str">
        <f>_xlfn.XLOOKUP(B417,'Payee Ref'!A:A,'Payee Ref'!C:C,"unassigned",0,1)</f>
        <v>Luxury</v>
      </c>
      <c r="F417" s="28" t="s">
        <v>2207</v>
      </c>
    </row>
    <row r="418" spans="1:6" x14ac:dyDescent="0.2">
      <c r="A418" s="30">
        <v>45878</v>
      </c>
      <c r="B418" s="28" t="s">
        <v>1747</v>
      </c>
      <c r="C418" s="28">
        <v>10.199999999999999</v>
      </c>
      <c r="D418" s="28" t="str">
        <f>_xlfn.XLOOKUP(B418,'Payee Ref'!A:A,'Payee Ref'!B:B,"unassigned",0,1)</f>
        <v>unassigned</v>
      </c>
      <c r="E418" s="29" t="str">
        <f>_xlfn.XLOOKUP(B418,'Payee Ref'!A:A,'Payee Ref'!C:C,"unassigned",0,1)</f>
        <v>unassigned</v>
      </c>
      <c r="F418" s="28" t="s">
        <v>2207</v>
      </c>
    </row>
    <row r="419" spans="1:6" x14ac:dyDescent="0.2">
      <c r="A419" s="30">
        <v>45806</v>
      </c>
      <c r="B419" s="28" t="s">
        <v>1534</v>
      </c>
      <c r="C419" s="28">
        <v>10.210000000000001</v>
      </c>
      <c r="D419" s="28" t="str">
        <f>_xlfn.XLOOKUP(B419,'Payee Ref'!A:A,'Payee Ref'!B:B,"unassigned",0,1)</f>
        <v>Dining</v>
      </c>
      <c r="E419" s="29" t="str">
        <f>_xlfn.XLOOKUP(B419,'Payee Ref'!A:A,'Payee Ref'!C:C,"unassigned",0,1)</f>
        <v>Luxury</v>
      </c>
      <c r="F419" s="28" t="s">
        <v>2207</v>
      </c>
    </row>
    <row r="420" spans="1:6" x14ac:dyDescent="0.2">
      <c r="A420" s="30">
        <v>45985</v>
      </c>
      <c r="B420" s="28" t="s">
        <v>168</v>
      </c>
      <c r="C420" s="28">
        <v>10.210000000000001</v>
      </c>
      <c r="D420" s="28" t="str">
        <f>_xlfn.XLOOKUP(B420,'Payee Ref'!A:A,'Payee Ref'!B:B,"unassigned",0,1)</f>
        <v>Dining</v>
      </c>
      <c r="E420" s="29" t="str">
        <f>_xlfn.XLOOKUP(B420,'Payee Ref'!A:A,'Payee Ref'!C:C,"unassigned",0,1)</f>
        <v>Luxury</v>
      </c>
      <c r="F420" s="28" t="s">
        <v>2207</v>
      </c>
    </row>
    <row r="421" spans="1:6" x14ac:dyDescent="0.2">
      <c r="A421" s="30">
        <v>45864</v>
      </c>
      <c r="B421" s="28" t="s">
        <v>1795</v>
      </c>
      <c r="C421" s="28">
        <v>10.34</v>
      </c>
      <c r="D421" s="28" t="str">
        <f>_xlfn.XLOOKUP(B421,'Payee Ref'!A:A,'Payee Ref'!B:B,"unassigned",0,1)</f>
        <v>unassigned</v>
      </c>
      <c r="E421" s="29" t="str">
        <f>_xlfn.XLOOKUP(B421,'Payee Ref'!A:A,'Payee Ref'!C:C,"unassigned",0,1)</f>
        <v>unassigned</v>
      </c>
      <c r="F421" s="28" t="s">
        <v>2207</v>
      </c>
    </row>
    <row r="422" spans="1:6" x14ac:dyDescent="0.2">
      <c r="A422" s="30">
        <v>45751</v>
      </c>
      <c r="B422" s="28" t="s">
        <v>1952</v>
      </c>
      <c r="C422" s="28">
        <v>10.37</v>
      </c>
      <c r="D422" s="28" t="str">
        <f>_xlfn.XLOOKUP(B422,'Payee Ref'!A:A,'Payee Ref'!B:B,"unassigned",0,1)</f>
        <v>Groceries</v>
      </c>
      <c r="E422" s="29" t="str">
        <f>_xlfn.XLOOKUP(B422,'Payee Ref'!A:A,'Payee Ref'!C:C,"unassigned",0,1)</f>
        <v>Basic</v>
      </c>
      <c r="F422" s="28" t="s">
        <v>2207</v>
      </c>
    </row>
    <row r="423" spans="1:6" x14ac:dyDescent="0.2">
      <c r="A423" s="30">
        <v>45766</v>
      </c>
      <c r="B423" s="28" t="s">
        <v>2033</v>
      </c>
      <c r="C423" s="28">
        <v>10.38</v>
      </c>
      <c r="D423" s="28" t="str">
        <f>_xlfn.XLOOKUP(B423,'Payee Ref'!A:A,'Payee Ref'!B:B,"unassigned",0,1)</f>
        <v>Dining</v>
      </c>
      <c r="E423" s="29" t="str">
        <f>_xlfn.XLOOKUP(B423,'Payee Ref'!A:A,'Payee Ref'!C:C,"unassigned",0,1)</f>
        <v>Luxury</v>
      </c>
      <c r="F423" s="28" t="s">
        <v>2207</v>
      </c>
    </row>
    <row r="424" spans="1:6" x14ac:dyDescent="0.2">
      <c r="A424" s="30">
        <v>45817</v>
      </c>
      <c r="B424" s="28" t="s">
        <v>1952</v>
      </c>
      <c r="C424" s="28">
        <v>10.45</v>
      </c>
      <c r="D424" s="28" t="str">
        <f>_xlfn.XLOOKUP(B424,'Payee Ref'!A:A,'Payee Ref'!B:B,"unassigned",0,1)</f>
        <v>Groceries</v>
      </c>
      <c r="E424" s="29" t="str">
        <f>_xlfn.XLOOKUP(B424,'Payee Ref'!A:A,'Payee Ref'!C:C,"unassigned",0,1)</f>
        <v>Basic</v>
      </c>
      <c r="F424" s="28" t="s">
        <v>2207</v>
      </c>
    </row>
    <row r="425" spans="1:6" x14ac:dyDescent="0.2">
      <c r="A425" s="30">
        <v>45777</v>
      </c>
      <c r="B425" s="28" t="s">
        <v>2017</v>
      </c>
      <c r="C425" s="28">
        <v>10.48</v>
      </c>
      <c r="D425" s="28" t="str">
        <f>_xlfn.XLOOKUP(B425,'Payee Ref'!A:A,'Payee Ref'!B:B,"unassigned",0,1)</f>
        <v>Travel</v>
      </c>
      <c r="E425" s="29" t="str">
        <f>_xlfn.XLOOKUP(B425,'Payee Ref'!A:A,'Payee Ref'!C:C,"unassigned",0,1)</f>
        <v>Luxury</v>
      </c>
      <c r="F425" s="28" t="s">
        <v>2207</v>
      </c>
    </row>
    <row r="426" spans="1:6" x14ac:dyDescent="0.2">
      <c r="A426" s="30">
        <v>45830</v>
      </c>
      <c r="B426" s="28" t="s">
        <v>1913</v>
      </c>
      <c r="C426" s="28">
        <v>10.5</v>
      </c>
      <c r="D426" s="28" t="str">
        <f>_xlfn.XLOOKUP(B426,'Payee Ref'!A:A,'Payee Ref'!B:B,"unassigned",0,1)</f>
        <v>Dining</v>
      </c>
      <c r="E426" s="29" t="str">
        <f>_xlfn.XLOOKUP(B426,'Payee Ref'!A:A,'Payee Ref'!C:C,"unassigned",0,1)</f>
        <v>Luxury</v>
      </c>
      <c r="F426" s="28" t="s">
        <v>2207</v>
      </c>
    </row>
    <row r="427" spans="1:6" x14ac:dyDescent="0.2">
      <c r="A427" s="30">
        <v>45725</v>
      </c>
      <c r="B427" s="28" t="s">
        <v>1811</v>
      </c>
      <c r="C427" s="28">
        <v>10.72</v>
      </c>
      <c r="D427" s="28" t="str">
        <f>_xlfn.XLOOKUP(B427,'Payee Ref'!A:A,'Payee Ref'!B:B,"unassigned",0,1)</f>
        <v>Groceries</v>
      </c>
      <c r="E427" s="29" t="str">
        <f>_xlfn.XLOOKUP(B427,'Payee Ref'!A:A,'Payee Ref'!C:C,"unassigned",0,1)</f>
        <v>Basic</v>
      </c>
      <c r="F427" s="28" t="s">
        <v>2207</v>
      </c>
    </row>
    <row r="428" spans="1:6" x14ac:dyDescent="0.2">
      <c r="A428" s="30">
        <v>45908</v>
      </c>
      <c r="B428" s="28" t="s">
        <v>1534</v>
      </c>
      <c r="C428" s="28">
        <v>10.76</v>
      </c>
      <c r="D428" s="28" t="str">
        <f>_xlfn.XLOOKUP(B428,'Payee Ref'!A:A,'Payee Ref'!B:B,"unassigned",0,1)</f>
        <v>Dining</v>
      </c>
      <c r="E428" s="29" t="str">
        <f>_xlfn.XLOOKUP(B428,'Payee Ref'!A:A,'Payee Ref'!C:C,"unassigned",0,1)</f>
        <v>Luxury</v>
      </c>
      <c r="F428" s="28" t="s">
        <v>2207</v>
      </c>
    </row>
    <row r="429" spans="1:6" x14ac:dyDescent="0.2">
      <c r="A429" s="30">
        <v>45799</v>
      </c>
      <c r="B429" s="28" t="s">
        <v>1534</v>
      </c>
      <c r="C429" s="28">
        <v>10.76</v>
      </c>
      <c r="D429" s="28" t="str">
        <f>_xlfn.XLOOKUP(B429,'Payee Ref'!A:A,'Payee Ref'!B:B,"unassigned",0,1)</f>
        <v>Dining</v>
      </c>
      <c r="E429" s="29" t="str">
        <f>_xlfn.XLOOKUP(B429,'Payee Ref'!A:A,'Payee Ref'!C:C,"unassigned",0,1)</f>
        <v>Luxury</v>
      </c>
      <c r="F429" s="28" t="s">
        <v>2207</v>
      </c>
    </row>
    <row r="430" spans="1:6" x14ac:dyDescent="0.2">
      <c r="A430" s="30">
        <v>45675</v>
      </c>
      <c r="B430" s="28" t="s">
        <v>1536</v>
      </c>
      <c r="C430" s="28">
        <v>10.77</v>
      </c>
      <c r="D430" s="28" t="str">
        <f>_xlfn.XLOOKUP(B430,'Payee Ref'!A:A,'Payee Ref'!B:B,"unassigned",0,1)</f>
        <v>Groceries</v>
      </c>
      <c r="E430" s="29" t="str">
        <f>_xlfn.XLOOKUP(B430,'Payee Ref'!A:A,'Payee Ref'!C:C,"unassigned",0,1)</f>
        <v>Basic</v>
      </c>
      <c r="F430" s="28" t="s">
        <v>2207</v>
      </c>
    </row>
    <row r="431" spans="1:6" x14ac:dyDescent="0.2">
      <c r="A431" s="30">
        <v>45815</v>
      </c>
      <c r="B431" s="28" t="s">
        <v>1952</v>
      </c>
      <c r="C431" s="28">
        <v>10.78</v>
      </c>
      <c r="D431" s="28" t="str">
        <f>_xlfn.XLOOKUP(B431,'Payee Ref'!A:A,'Payee Ref'!B:B,"unassigned",0,1)</f>
        <v>Groceries</v>
      </c>
      <c r="E431" s="29" t="str">
        <f>_xlfn.XLOOKUP(B431,'Payee Ref'!A:A,'Payee Ref'!C:C,"unassigned",0,1)</f>
        <v>Basic</v>
      </c>
      <c r="F431" s="28" t="s">
        <v>2207</v>
      </c>
    </row>
    <row r="432" spans="1:6" x14ac:dyDescent="0.2">
      <c r="A432" s="30">
        <v>45680</v>
      </c>
      <c r="B432" s="31" t="s">
        <v>2155</v>
      </c>
      <c r="C432" s="28">
        <v>10.92</v>
      </c>
      <c r="D432" s="28" t="str">
        <f>_xlfn.XLOOKUP(B432,'Payee Ref'!A:A,'Payee Ref'!B:B,"unassigned",0,1)</f>
        <v>Home &amp; Garden</v>
      </c>
      <c r="E432" s="29" t="str">
        <f>_xlfn.XLOOKUP(B432,'Payee Ref'!A:A,'Payee Ref'!C:C,"unassigned",0,1)</f>
        <v>Basic</v>
      </c>
      <c r="F432" s="28" t="s">
        <v>2207</v>
      </c>
    </row>
    <row r="433" spans="1:6" x14ac:dyDescent="0.2">
      <c r="A433" s="30">
        <v>45883</v>
      </c>
      <c r="B433" s="28" t="s">
        <v>1667</v>
      </c>
      <c r="C433" s="28">
        <v>10.98</v>
      </c>
      <c r="D433" s="28" t="str">
        <f>_xlfn.XLOOKUP(B433,'Payee Ref'!A:A,'Payee Ref'!B:B,"unassigned",0,1)</f>
        <v>Dining</v>
      </c>
      <c r="E433" s="29" t="str">
        <f>_xlfn.XLOOKUP(B433,'Payee Ref'!A:A,'Payee Ref'!C:C,"unassigned",0,1)</f>
        <v>Luxury</v>
      </c>
      <c r="F433" s="28" t="s">
        <v>2207</v>
      </c>
    </row>
    <row r="434" spans="1:6" x14ac:dyDescent="0.2">
      <c r="A434" s="30">
        <v>45768</v>
      </c>
      <c r="B434" s="28" t="s">
        <v>1950</v>
      </c>
      <c r="C434" s="28">
        <v>10.99</v>
      </c>
      <c r="D434" s="28" t="str">
        <f>_xlfn.XLOOKUP(B434,'Payee Ref'!A:A,'Payee Ref'!B:B,"unassigned",0,1)</f>
        <v>Parking</v>
      </c>
      <c r="E434" s="29" t="str">
        <f>_xlfn.XLOOKUP(B434,'Payee Ref'!A:A,'Payee Ref'!C:C,"unassigned",0,1)</f>
        <v>Basic</v>
      </c>
      <c r="F434" s="28" t="s">
        <v>2207</v>
      </c>
    </row>
    <row r="435" spans="1:6" x14ac:dyDescent="0.2">
      <c r="A435" s="30">
        <v>45954</v>
      </c>
      <c r="B435" s="28" t="s">
        <v>1210</v>
      </c>
      <c r="C435" s="28">
        <v>11.01</v>
      </c>
      <c r="D435" s="28" t="str">
        <f>_xlfn.XLOOKUP(B435,'Payee Ref'!A:A,'Payee Ref'!B:B,"unassigned",0,1)</f>
        <v>Subscriptions / Digital</v>
      </c>
      <c r="E435" s="29" t="str">
        <f>_xlfn.XLOOKUP(B435,'Payee Ref'!A:A,'Payee Ref'!C:C,"unassigned",0,1)</f>
        <v>Luxury</v>
      </c>
      <c r="F435" s="28" t="s">
        <v>2207</v>
      </c>
    </row>
    <row r="436" spans="1:6" x14ac:dyDescent="0.2">
      <c r="A436" s="30">
        <v>45965</v>
      </c>
      <c r="B436" s="28" t="s">
        <v>54</v>
      </c>
      <c r="C436" s="28">
        <v>11.02</v>
      </c>
      <c r="D436" s="28" t="str">
        <f>_xlfn.XLOOKUP(B436,'Payee Ref'!A:A,'Payee Ref'!B:B,"unassigned",0,1)</f>
        <v>Auto</v>
      </c>
      <c r="E436" s="29" t="str">
        <f>_xlfn.XLOOKUP(B436,'Payee Ref'!A:A,'Payee Ref'!C:C,"unassigned",0,1)</f>
        <v>Basic</v>
      </c>
      <c r="F436" s="28" t="s">
        <v>2207</v>
      </c>
    </row>
    <row r="437" spans="1:6" x14ac:dyDescent="0.2">
      <c r="A437" s="30">
        <v>45934</v>
      </c>
      <c r="B437" s="28" t="s">
        <v>54</v>
      </c>
      <c r="C437" s="28">
        <v>11.02</v>
      </c>
      <c r="D437" s="28" t="str">
        <f>_xlfn.XLOOKUP(B437,'Payee Ref'!A:A,'Payee Ref'!B:B,"unassigned",0,1)</f>
        <v>Auto</v>
      </c>
      <c r="E437" s="29" t="str">
        <f>_xlfn.XLOOKUP(B437,'Payee Ref'!A:A,'Payee Ref'!C:C,"unassigned",0,1)</f>
        <v>Basic</v>
      </c>
      <c r="F437" s="28" t="s">
        <v>2207</v>
      </c>
    </row>
    <row r="438" spans="1:6" x14ac:dyDescent="0.2">
      <c r="A438" s="30">
        <v>45904</v>
      </c>
      <c r="B438" s="28" t="s">
        <v>1579</v>
      </c>
      <c r="C438" s="28">
        <v>11.02</v>
      </c>
      <c r="D438" s="28" t="str">
        <f>_xlfn.XLOOKUP(B438,'Payee Ref'!A:A,'Payee Ref'!B:B,"unassigned",0,1)</f>
        <v>Auto</v>
      </c>
      <c r="E438" s="29" t="str">
        <f>_xlfn.XLOOKUP(B438,'Payee Ref'!A:A,'Payee Ref'!C:C,"unassigned",0,1)</f>
        <v>Basic</v>
      </c>
      <c r="F438" s="28" t="s">
        <v>2207</v>
      </c>
    </row>
    <row r="439" spans="1:6" x14ac:dyDescent="0.2">
      <c r="A439" s="30">
        <v>45873</v>
      </c>
      <c r="B439" s="28" t="s">
        <v>1579</v>
      </c>
      <c r="C439" s="28">
        <v>11.02</v>
      </c>
      <c r="D439" s="28" t="str">
        <f>_xlfn.XLOOKUP(B439,'Payee Ref'!A:A,'Payee Ref'!B:B,"unassigned",0,1)</f>
        <v>Auto</v>
      </c>
      <c r="E439" s="29" t="str">
        <f>_xlfn.XLOOKUP(B439,'Payee Ref'!A:A,'Payee Ref'!C:C,"unassigned",0,1)</f>
        <v>Basic</v>
      </c>
      <c r="F439" s="28" t="s">
        <v>2207</v>
      </c>
    </row>
    <row r="440" spans="1:6" x14ac:dyDescent="0.2">
      <c r="A440" s="30">
        <v>45842</v>
      </c>
      <c r="B440" s="28" t="s">
        <v>1579</v>
      </c>
      <c r="C440" s="28">
        <v>11.02</v>
      </c>
      <c r="D440" s="28" t="str">
        <f>_xlfn.XLOOKUP(B440,'Payee Ref'!A:A,'Payee Ref'!B:B,"unassigned",0,1)</f>
        <v>Auto</v>
      </c>
      <c r="E440" s="29" t="str">
        <f>_xlfn.XLOOKUP(B440,'Payee Ref'!A:A,'Payee Ref'!C:C,"unassigned",0,1)</f>
        <v>Basic</v>
      </c>
      <c r="F440" s="28" t="s">
        <v>2207</v>
      </c>
    </row>
    <row r="441" spans="1:6" x14ac:dyDescent="0.2">
      <c r="A441" s="30">
        <v>45812</v>
      </c>
      <c r="B441" s="28" t="s">
        <v>1579</v>
      </c>
      <c r="C441" s="28">
        <v>11.02</v>
      </c>
      <c r="D441" s="28" t="str">
        <f>_xlfn.XLOOKUP(B441,'Payee Ref'!A:A,'Payee Ref'!B:B,"unassigned",0,1)</f>
        <v>Auto</v>
      </c>
      <c r="E441" s="29" t="str">
        <f>_xlfn.XLOOKUP(B441,'Payee Ref'!A:A,'Payee Ref'!C:C,"unassigned",0,1)</f>
        <v>Basic</v>
      </c>
      <c r="F441" s="28" t="s">
        <v>2207</v>
      </c>
    </row>
    <row r="442" spans="1:6" x14ac:dyDescent="0.2">
      <c r="A442" s="30">
        <v>45781</v>
      </c>
      <c r="B442" s="28" t="s">
        <v>1579</v>
      </c>
      <c r="C442" s="28">
        <v>11.02</v>
      </c>
      <c r="D442" s="28" t="str">
        <f>_xlfn.XLOOKUP(B442,'Payee Ref'!A:A,'Payee Ref'!B:B,"unassigned",0,1)</f>
        <v>Auto</v>
      </c>
      <c r="E442" s="29" t="str">
        <f>_xlfn.XLOOKUP(B442,'Payee Ref'!A:A,'Payee Ref'!C:C,"unassigned",0,1)</f>
        <v>Basic</v>
      </c>
      <c r="F442" s="28" t="s">
        <v>2207</v>
      </c>
    </row>
    <row r="443" spans="1:6" x14ac:dyDescent="0.2">
      <c r="A443" s="30">
        <v>45751</v>
      </c>
      <c r="B443" s="28" t="s">
        <v>1579</v>
      </c>
      <c r="C443" s="28">
        <v>11.02</v>
      </c>
      <c r="D443" s="28" t="str">
        <f>_xlfn.XLOOKUP(B443,'Payee Ref'!A:A,'Payee Ref'!B:B,"unassigned",0,1)</f>
        <v>Auto</v>
      </c>
      <c r="E443" s="29" t="str">
        <f>_xlfn.XLOOKUP(B443,'Payee Ref'!A:A,'Payee Ref'!C:C,"unassigned",0,1)</f>
        <v>Basic</v>
      </c>
      <c r="F443" s="28" t="s">
        <v>2207</v>
      </c>
    </row>
    <row r="444" spans="1:6" x14ac:dyDescent="0.2">
      <c r="A444" s="30">
        <v>45720</v>
      </c>
      <c r="B444" s="28" t="s">
        <v>1579</v>
      </c>
      <c r="C444" s="28">
        <v>11.02</v>
      </c>
      <c r="D444" s="28" t="str">
        <f>_xlfn.XLOOKUP(B444,'Payee Ref'!A:A,'Payee Ref'!B:B,"unassigned",0,1)</f>
        <v>Auto</v>
      </c>
      <c r="E444" s="29" t="str">
        <f>_xlfn.XLOOKUP(B444,'Payee Ref'!A:A,'Payee Ref'!C:C,"unassigned",0,1)</f>
        <v>Basic</v>
      </c>
      <c r="F444" s="28" t="s">
        <v>2207</v>
      </c>
    </row>
    <row r="445" spans="1:6" x14ac:dyDescent="0.2">
      <c r="A445" s="30">
        <v>45692</v>
      </c>
      <c r="B445" s="28" t="s">
        <v>1579</v>
      </c>
      <c r="C445" s="28">
        <v>11.02</v>
      </c>
      <c r="D445" s="28" t="str">
        <f>_xlfn.XLOOKUP(B445,'Payee Ref'!A:A,'Payee Ref'!B:B,"unassigned",0,1)</f>
        <v>Auto</v>
      </c>
      <c r="E445" s="29" t="str">
        <f>_xlfn.XLOOKUP(B445,'Payee Ref'!A:A,'Payee Ref'!C:C,"unassigned",0,1)</f>
        <v>Basic</v>
      </c>
      <c r="F445" s="28" t="s">
        <v>2207</v>
      </c>
    </row>
    <row r="446" spans="1:6" x14ac:dyDescent="0.2">
      <c r="A446" s="30">
        <v>45661</v>
      </c>
      <c r="B446" s="28" t="s">
        <v>1579</v>
      </c>
      <c r="C446" s="28">
        <v>11.02</v>
      </c>
      <c r="D446" s="28" t="str">
        <f>_xlfn.XLOOKUP(B446,'Payee Ref'!A:A,'Payee Ref'!B:B,"unassigned",0,1)</f>
        <v>Auto</v>
      </c>
      <c r="E446" s="29" t="str">
        <f>_xlfn.XLOOKUP(B446,'Payee Ref'!A:A,'Payee Ref'!C:C,"unassigned",0,1)</f>
        <v>Basic</v>
      </c>
      <c r="F446" s="28" t="s">
        <v>2207</v>
      </c>
    </row>
    <row r="447" spans="1:6" x14ac:dyDescent="0.2">
      <c r="A447" s="30">
        <v>45883</v>
      </c>
      <c r="B447" s="28" t="s">
        <v>1587</v>
      </c>
      <c r="C447" s="28">
        <v>11.02</v>
      </c>
      <c r="D447" s="28" t="str">
        <f>_xlfn.XLOOKUP(B447,'Payee Ref'!A:A,'Payee Ref'!B:B,"unassigned",0,1)</f>
        <v>Travel</v>
      </c>
      <c r="E447" s="29" t="str">
        <f>_xlfn.XLOOKUP(B447,'Payee Ref'!A:A,'Payee Ref'!C:C,"unassigned",0,1)</f>
        <v>Luxury</v>
      </c>
      <c r="F447" s="28" t="s">
        <v>2207</v>
      </c>
    </row>
    <row r="448" spans="1:6" x14ac:dyDescent="0.2">
      <c r="A448" s="30">
        <v>45806</v>
      </c>
      <c r="B448" s="28" t="s">
        <v>1952</v>
      </c>
      <c r="C448" s="28">
        <v>11.02</v>
      </c>
      <c r="D448" s="28" t="str">
        <f>_xlfn.XLOOKUP(B448,'Payee Ref'!A:A,'Payee Ref'!B:B,"unassigned",0,1)</f>
        <v>Groceries</v>
      </c>
      <c r="E448" s="29" t="str">
        <f>_xlfn.XLOOKUP(B448,'Payee Ref'!A:A,'Payee Ref'!C:C,"unassigned",0,1)</f>
        <v>Basic</v>
      </c>
      <c r="F448" s="28" t="s">
        <v>2207</v>
      </c>
    </row>
    <row r="449" spans="1:6" x14ac:dyDescent="0.2">
      <c r="A449" s="30">
        <v>45662</v>
      </c>
      <c r="B449" s="28" t="s">
        <v>1984</v>
      </c>
      <c r="C449" s="28">
        <v>11.02</v>
      </c>
      <c r="D449" s="28" t="str">
        <f>_xlfn.XLOOKUP(B449,'Payee Ref'!A:A,'Payee Ref'!B:B,"unassigned",0,1)</f>
        <v>Groceries</v>
      </c>
      <c r="E449" s="29" t="str">
        <f>_xlfn.XLOOKUP(B449,'Payee Ref'!A:A,'Payee Ref'!C:C,"unassigned",0,1)</f>
        <v>Basic</v>
      </c>
      <c r="F449" s="28" t="s">
        <v>2207</v>
      </c>
    </row>
    <row r="450" spans="1:6" x14ac:dyDescent="0.2">
      <c r="A450" s="30">
        <v>45871</v>
      </c>
      <c r="B450" s="28" t="s">
        <v>1656</v>
      </c>
      <c r="C450" s="28">
        <v>11.02</v>
      </c>
      <c r="D450" s="28" t="str">
        <f>_xlfn.XLOOKUP(B450,'Payee Ref'!A:A,'Payee Ref'!B:B,"unassigned",0,1)</f>
        <v>Home &amp; Garden</v>
      </c>
      <c r="E450" s="29" t="str">
        <f>_xlfn.XLOOKUP(B450,'Payee Ref'!A:A,'Payee Ref'!C:C,"unassigned",0,1)</f>
        <v>Basic</v>
      </c>
      <c r="F450" s="28" t="s">
        <v>2207</v>
      </c>
    </row>
    <row r="451" spans="1:6" x14ac:dyDescent="0.2">
      <c r="A451" s="30">
        <v>45918</v>
      </c>
      <c r="B451" s="31" t="s">
        <v>1543</v>
      </c>
      <c r="C451" s="28">
        <v>11.02</v>
      </c>
      <c r="D451" s="28" t="str">
        <f>_xlfn.XLOOKUP(B451,'Payee Ref'!A:A,'Payee Ref'!B:B,"unassigned",0,1)</f>
        <v>Subscriptions / Digital</v>
      </c>
      <c r="E451" s="29" t="str">
        <f>_xlfn.XLOOKUP(B451,'Payee Ref'!A:A,'Payee Ref'!C:C,"unassigned",0,1)</f>
        <v>Luxury</v>
      </c>
      <c r="F451" s="28" t="s">
        <v>2207</v>
      </c>
    </row>
    <row r="452" spans="1:6" x14ac:dyDescent="0.2">
      <c r="A452" s="30">
        <v>45887</v>
      </c>
      <c r="B452" s="31" t="s">
        <v>1543</v>
      </c>
      <c r="C452" s="28">
        <v>11.02</v>
      </c>
      <c r="D452" s="28" t="str">
        <f>_xlfn.XLOOKUP(B452,'Payee Ref'!A:A,'Payee Ref'!B:B,"unassigned",0,1)</f>
        <v>Subscriptions / Digital</v>
      </c>
      <c r="E452" s="29" t="str">
        <f>_xlfn.XLOOKUP(B452,'Payee Ref'!A:A,'Payee Ref'!C:C,"unassigned",0,1)</f>
        <v>Luxury</v>
      </c>
      <c r="F452" s="28" t="s">
        <v>2207</v>
      </c>
    </row>
    <row r="453" spans="1:6" x14ac:dyDescent="0.2">
      <c r="A453" s="30">
        <v>45856</v>
      </c>
      <c r="B453" s="31" t="s">
        <v>1543</v>
      </c>
      <c r="C453" s="28">
        <v>11.02</v>
      </c>
      <c r="D453" s="28" t="str">
        <f>_xlfn.XLOOKUP(B453,'Payee Ref'!A:A,'Payee Ref'!B:B,"unassigned",0,1)</f>
        <v>Subscriptions / Digital</v>
      </c>
      <c r="E453" s="29" t="str">
        <f>_xlfn.XLOOKUP(B453,'Payee Ref'!A:A,'Payee Ref'!C:C,"unassigned",0,1)</f>
        <v>Luxury</v>
      </c>
      <c r="F453" s="28" t="s">
        <v>2207</v>
      </c>
    </row>
    <row r="454" spans="1:6" x14ac:dyDescent="0.2">
      <c r="A454" s="30">
        <v>45826</v>
      </c>
      <c r="B454" s="31" t="s">
        <v>1543</v>
      </c>
      <c r="C454" s="28">
        <v>11.02</v>
      </c>
      <c r="D454" s="28" t="str">
        <f>_xlfn.XLOOKUP(B454,'Payee Ref'!A:A,'Payee Ref'!B:B,"unassigned",0,1)</f>
        <v>Subscriptions / Digital</v>
      </c>
      <c r="E454" s="29" t="str">
        <f>_xlfn.XLOOKUP(B454,'Payee Ref'!A:A,'Payee Ref'!C:C,"unassigned",0,1)</f>
        <v>Luxury</v>
      </c>
      <c r="F454" s="28" t="s">
        <v>2207</v>
      </c>
    </row>
    <row r="455" spans="1:6" x14ac:dyDescent="0.2">
      <c r="A455" s="30">
        <v>45795</v>
      </c>
      <c r="B455" s="31" t="s">
        <v>1543</v>
      </c>
      <c r="C455" s="28">
        <v>11.02</v>
      </c>
      <c r="D455" s="28" t="str">
        <f>_xlfn.XLOOKUP(B455,'Payee Ref'!A:A,'Payee Ref'!B:B,"unassigned",0,1)</f>
        <v>Subscriptions / Digital</v>
      </c>
      <c r="E455" s="29" t="str">
        <f>_xlfn.XLOOKUP(B455,'Payee Ref'!A:A,'Payee Ref'!C:C,"unassigned",0,1)</f>
        <v>Luxury</v>
      </c>
      <c r="F455" s="28" t="s">
        <v>2207</v>
      </c>
    </row>
    <row r="456" spans="1:6" x14ac:dyDescent="0.2">
      <c r="A456" s="30">
        <v>45765</v>
      </c>
      <c r="B456" s="31" t="s">
        <v>1543</v>
      </c>
      <c r="C456" s="28">
        <v>11.02</v>
      </c>
      <c r="D456" s="28" t="str">
        <f>_xlfn.XLOOKUP(B456,'Payee Ref'!A:A,'Payee Ref'!B:B,"unassigned",0,1)</f>
        <v>Subscriptions / Digital</v>
      </c>
      <c r="E456" s="29" t="str">
        <f>_xlfn.XLOOKUP(B456,'Payee Ref'!A:A,'Payee Ref'!C:C,"unassigned",0,1)</f>
        <v>Luxury</v>
      </c>
      <c r="F456" s="28" t="s">
        <v>2207</v>
      </c>
    </row>
    <row r="457" spans="1:6" x14ac:dyDescent="0.2">
      <c r="A457" s="30">
        <v>45734</v>
      </c>
      <c r="B457" s="31" t="s">
        <v>1543</v>
      </c>
      <c r="C457" s="28">
        <v>11.02</v>
      </c>
      <c r="D457" s="28" t="str">
        <f>_xlfn.XLOOKUP(B457,'Payee Ref'!A:A,'Payee Ref'!B:B,"unassigned",0,1)</f>
        <v>Subscriptions / Digital</v>
      </c>
      <c r="E457" s="29" t="str">
        <f>_xlfn.XLOOKUP(B457,'Payee Ref'!A:A,'Payee Ref'!C:C,"unassigned",0,1)</f>
        <v>Luxury</v>
      </c>
      <c r="F457" s="28" t="s">
        <v>2207</v>
      </c>
    </row>
    <row r="458" spans="1:6" x14ac:dyDescent="0.2">
      <c r="A458" s="30">
        <v>45706</v>
      </c>
      <c r="B458" s="31" t="s">
        <v>1543</v>
      </c>
      <c r="C458" s="28">
        <v>11.02</v>
      </c>
      <c r="D458" s="28" t="str">
        <f>_xlfn.XLOOKUP(B458,'Payee Ref'!A:A,'Payee Ref'!B:B,"unassigned",0,1)</f>
        <v>Subscriptions / Digital</v>
      </c>
      <c r="E458" s="29" t="str">
        <f>_xlfn.XLOOKUP(B458,'Payee Ref'!A:A,'Payee Ref'!C:C,"unassigned",0,1)</f>
        <v>Luxury</v>
      </c>
      <c r="F458" s="28" t="s">
        <v>2207</v>
      </c>
    </row>
    <row r="459" spans="1:6" x14ac:dyDescent="0.2">
      <c r="A459" s="30">
        <v>45676</v>
      </c>
      <c r="B459" s="31" t="s">
        <v>1543</v>
      </c>
      <c r="C459" s="28">
        <v>11.02</v>
      </c>
      <c r="D459" s="28" t="str">
        <f>_xlfn.XLOOKUP(B459,'Payee Ref'!A:A,'Payee Ref'!B:B,"unassigned",0,1)</f>
        <v>Subscriptions / Digital</v>
      </c>
      <c r="E459" s="29" t="str">
        <f>_xlfn.XLOOKUP(B459,'Payee Ref'!A:A,'Payee Ref'!C:C,"unassigned",0,1)</f>
        <v>Luxury</v>
      </c>
      <c r="F459" s="28" t="s">
        <v>2207</v>
      </c>
    </row>
    <row r="460" spans="1:6" x14ac:dyDescent="0.2">
      <c r="A460" s="30">
        <v>45887</v>
      </c>
      <c r="B460" s="31" t="s">
        <v>1710</v>
      </c>
      <c r="C460" s="28">
        <v>11.02</v>
      </c>
      <c r="D460" s="28" t="str">
        <f>_xlfn.XLOOKUP(B460,'Payee Ref'!A:A,'Payee Ref'!B:B,"unassigned",0,1)</f>
        <v>unassigned</v>
      </c>
      <c r="E460" s="29" t="str">
        <f>_xlfn.XLOOKUP(B460,'Payee Ref'!A:A,'Payee Ref'!C:C,"unassigned",0,1)</f>
        <v>unassigned</v>
      </c>
      <c r="F460" s="28" t="s">
        <v>2207</v>
      </c>
    </row>
    <row r="461" spans="1:6" x14ac:dyDescent="0.2">
      <c r="A461" s="30">
        <v>45894</v>
      </c>
      <c r="B461" s="28" t="s">
        <v>1541</v>
      </c>
      <c r="C461" s="28">
        <v>11.02</v>
      </c>
      <c r="D461" s="28" t="str">
        <f>_xlfn.XLOOKUP(B461,'Payee Ref'!A:A,'Payee Ref'!B:B,"unassigned",0,1)</f>
        <v>unassigned</v>
      </c>
      <c r="E461" s="29" t="str">
        <f>_xlfn.XLOOKUP(B461,'Payee Ref'!A:A,'Payee Ref'!C:C,"unassigned",0,1)</f>
        <v>unassigned</v>
      </c>
      <c r="F461" s="28" t="s">
        <v>2207</v>
      </c>
    </row>
    <row r="462" spans="1:6" x14ac:dyDescent="0.2">
      <c r="A462" s="30">
        <v>45924</v>
      </c>
      <c r="B462" s="28" t="s">
        <v>1541</v>
      </c>
      <c r="C462" s="28">
        <v>11.02</v>
      </c>
      <c r="D462" s="28" t="str">
        <f>_xlfn.XLOOKUP(B462,'Payee Ref'!A:A,'Payee Ref'!B:B,"unassigned",0,1)</f>
        <v>unassigned</v>
      </c>
      <c r="E462" s="29" t="str">
        <f>_xlfn.XLOOKUP(B462,'Payee Ref'!A:A,'Payee Ref'!C:C,"unassigned",0,1)</f>
        <v>unassigned</v>
      </c>
      <c r="F462" s="28" t="s">
        <v>2207</v>
      </c>
    </row>
    <row r="463" spans="1:6" x14ac:dyDescent="0.2">
      <c r="A463" s="30">
        <v>45798</v>
      </c>
      <c r="B463" s="28" t="s">
        <v>1984</v>
      </c>
      <c r="C463" s="28">
        <v>11.04</v>
      </c>
      <c r="D463" s="28" t="str">
        <f>_xlfn.XLOOKUP(B463,'Payee Ref'!A:A,'Payee Ref'!B:B,"unassigned",0,1)</f>
        <v>Groceries</v>
      </c>
      <c r="E463" s="29" t="str">
        <f>_xlfn.XLOOKUP(B463,'Payee Ref'!A:A,'Payee Ref'!C:C,"unassigned",0,1)</f>
        <v>Basic</v>
      </c>
      <c r="F463" s="28" t="s">
        <v>2207</v>
      </c>
    </row>
    <row r="464" spans="1:6" x14ac:dyDescent="0.2">
      <c r="A464" s="30">
        <v>45713</v>
      </c>
      <c r="B464" s="28" t="s">
        <v>1952</v>
      </c>
      <c r="C464" s="28">
        <v>11.04</v>
      </c>
      <c r="D464" s="28" t="str">
        <f>_xlfn.XLOOKUP(B464,'Payee Ref'!A:A,'Payee Ref'!B:B,"unassigned",0,1)</f>
        <v>Groceries</v>
      </c>
      <c r="E464" s="29" t="str">
        <f>_xlfn.XLOOKUP(B464,'Payee Ref'!A:A,'Payee Ref'!C:C,"unassigned",0,1)</f>
        <v>Basic</v>
      </c>
      <c r="F464" s="28" t="s">
        <v>2207</v>
      </c>
    </row>
    <row r="465" spans="1:6" x14ac:dyDescent="0.2">
      <c r="A465" s="30">
        <v>45821</v>
      </c>
      <c r="B465" s="28" t="s">
        <v>1754</v>
      </c>
      <c r="C465" s="28">
        <v>11.07</v>
      </c>
      <c r="D465" s="28" t="str">
        <f>_xlfn.XLOOKUP(B465,'Payee Ref'!A:A,'Payee Ref'!B:B,"unassigned",0,1)</f>
        <v>Utilities</v>
      </c>
      <c r="E465" s="29" t="str">
        <f>_xlfn.XLOOKUP(B465,'Payee Ref'!A:A,'Payee Ref'!C:C,"unassigned",0,1)</f>
        <v>Basic</v>
      </c>
      <c r="F465" s="28" t="s">
        <v>2207</v>
      </c>
    </row>
    <row r="466" spans="1:6" x14ac:dyDescent="0.2">
      <c r="A466" s="30">
        <v>45834</v>
      </c>
      <c r="B466" s="28" t="s">
        <v>1894</v>
      </c>
      <c r="C466" s="28">
        <v>11.08</v>
      </c>
      <c r="D466" s="28" t="str">
        <f>_xlfn.XLOOKUP(B466,'Payee Ref'!A:A,'Payee Ref'!B:B,"unassigned",0,1)</f>
        <v>Travel</v>
      </c>
      <c r="E466" s="29" t="str">
        <f>_xlfn.XLOOKUP(B466,'Payee Ref'!A:A,'Payee Ref'!C:C,"unassigned",0,1)</f>
        <v>Luxury</v>
      </c>
      <c r="F466" s="28" t="s">
        <v>2207</v>
      </c>
    </row>
    <row r="467" spans="1:6" x14ac:dyDescent="0.2">
      <c r="A467" s="30">
        <v>45726</v>
      </c>
      <c r="B467" s="28" t="s">
        <v>1534</v>
      </c>
      <c r="C467" s="28">
        <v>11.11</v>
      </c>
      <c r="D467" s="28" t="str">
        <f>_xlfn.XLOOKUP(B467,'Payee Ref'!A:A,'Payee Ref'!B:B,"unassigned",0,1)</f>
        <v>Dining</v>
      </c>
      <c r="E467" s="29" t="str">
        <f>_xlfn.XLOOKUP(B467,'Payee Ref'!A:A,'Payee Ref'!C:C,"unassigned",0,1)</f>
        <v>Luxury</v>
      </c>
      <c r="F467" s="28" t="s">
        <v>2207</v>
      </c>
    </row>
    <row r="468" spans="1:6" x14ac:dyDescent="0.2">
      <c r="A468" s="30">
        <v>45849</v>
      </c>
      <c r="B468" s="31" t="s">
        <v>1840</v>
      </c>
      <c r="C468" s="28">
        <v>11.11</v>
      </c>
      <c r="D468" s="28" t="str">
        <f>_xlfn.XLOOKUP(B468,'Payee Ref'!A:A,'Payee Ref'!B:B,"unassigned",0,1)</f>
        <v>unassigned</v>
      </c>
      <c r="E468" s="29" t="str">
        <f>_xlfn.XLOOKUP(B468,'Payee Ref'!A:A,'Payee Ref'!C:C,"unassigned",0,1)</f>
        <v>unassigned</v>
      </c>
      <c r="F468" s="28" t="s">
        <v>2207</v>
      </c>
    </row>
    <row r="469" spans="1:6" x14ac:dyDescent="0.2">
      <c r="A469" s="30">
        <v>45845</v>
      </c>
      <c r="B469" s="28" t="s">
        <v>1587</v>
      </c>
      <c r="C469" s="28">
        <v>11.12</v>
      </c>
      <c r="D469" s="28" t="str">
        <f>_xlfn.XLOOKUP(B469,'Payee Ref'!A:A,'Payee Ref'!B:B,"unassigned",0,1)</f>
        <v>Travel</v>
      </c>
      <c r="E469" s="29" t="str">
        <f>_xlfn.XLOOKUP(B469,'Payee Ref'!A:A,'Payee Ref'!C:C,"unassigned",0,1)</f>
        <v>Luxury</v>
      </c>
      <c r="F469" s="28" t="s">
        <v>2207</v>
      </c>
    </row>
    <row r="470" spans="1:6" x14ac:dyDescent="0.2">
      <c r="A470" s="30">
        <v>45747</v>
      </c>
      <c r="B470" s="28" t="s">
        <v>1950</v>
      </c>
      <c r="C470" s="28">
        <v>11.19</v>
      </c>
      <c r="D470" s="28" t="str">
        <f>_xlfn.XLOOKUP(B470,'Payee Ref'!A:A,'Payee Ref'!B:B,"unassigned",0,1)</f>
        <v>Parking</v>
      </c>
      <c r="E470" s="29" t="str">
        <f>_xlfn.XLOOKUP(B470,'Payee Ref'!A:A,'Payee Ref'!C:C,"unassigned",0,1)</f>
        <v>Basic</v>
      </c>
      <c r="F470" s="28" t="s">
        <v>2207</v>
      </c>
    </row>
    <row r="471" spans="1:6" x14ac:dyDescent="0.2">
      <c r="A471" s="30">
        <v>45744</v>
      </c>
      <c r="B471" s="28" t="s">
        <v>1950</v>
      </c>
      <c r="C471" s="28">
        <v>11.19</v>
      </c>
      <c r="D471" s="28" t="str">
        <f>_xlfn.XLOOKUP(B471,'Payee Ref'!A:A,'Payee Ref'!B:B,"unassigned",0,1)</f>
        <v>Parking</v>
      </c>
      <c r="E471" s="29" t="str">
        <f>_xlfn.XLOOKUP(B471,'Payee Ref'!A:A,'Payee Ref'!C:C,"unassigned",0,1)</f>
        <v>Basic</v>
      </c>
      <c r="F471" s="28" t="s">
        <v>2207</v>
      </c>
    </row>
    <row r="472" spans="1:6" x14ac:dyDescent="0.2">
      <c r="A472" s="30">
        <v>45724</v>
      </c>
      <c r="B472" s="28" t="s">
        <v>1950</v>
      </c>
      <c r="C472" s="28">
        <v>11.19</v>
      </c>
      <c r="D472" s="28" t="str">
        <f>_xlfn.XLOOKUP(B472,'Payee Ref'!A:A,'Payee Ref'!B:B,"unassigned",0,1)</f>
        <v>Parking</v>
      </c>
      <c r="E472" s="29" t="str">
        <f>_xlfn.XLOOKUP(B472,'Payee Ref'!A:A,'Payee Ref'!C:C,"unassigned",0,1)</f>
        <v>Basic</v>
      </c>
      <c r="F472" s="28" t="s">
        <v>2207</v>
      </c>
    </row>
    <row r="473" spans="1:6" x14ac:dyDescent="0.2">
      <c r="A473" s="30">
        <v>45984</v>
      </c>
      <c r="B473" s="28" t="s">
        <v>1542</v>
      </c>
      <c r="C473" s="28">
        <v>11.2</v>
      </c>
      <c r="D473" s="28" t="str">
        <f>_xlfn.XLOOKUP(B473,'Payee Ref'!A:A,'Payee Ref'!B:B,"unassigned",0,1)</f>
        <v>unassigned</v>
      </c>
      <c r="E473" s="29" t="str">
        <f>_xlfn.XLOOKUP(B473,'Payee Ref'!A:A,'Payee Ref'!C:C,"unassigned",0,1)</f>
        <v>unassigned</v>
      </c>
      <c r="F473" s="28" t="s">
        <v>2207</v>
      </c>
    </row>
    <row r="474" spans="1:6" x14ac:dyDescent="0.2">
      <c r="A474" s="30">
        <v>45790</v>
      </c>
      <c r="B474" s="28" t="s">
        <v>1578</v>
      </c>
      <c r="C474" s="28">
        <v>11.22</v>
      </c>
      <c r="D474" s="28" t="str">
        <f>_xlfn.XLOOKUP(B474,'Payee Ref'!A:A,'Payee Ref'!B:B,"unassigned",0,1)</f>
        <v>Dining</v>
      </c>
      <c r="E474" s="29" t="str">
        <f>_xlfn.XLOOKUP(B474,'Payee Ref'!A:A,'Payee Ref'!C:C,"unassigned",0,1)</f>
        <v>Luxury</v>
      </c>
      <c r="F474" s="28" t="s">
        <v>2207</v>
      </c>
    </row>
    <row r="475" spans="1:6" x14ac:dyDescent="0.2">
      <c r="A475" s="30">
        <v>45804</v>
      </c>
      <c r="B475" s="31" t="s">
        <v>1977</v>
      </c>
      <c r="C475" s="28">
        <v>11.23</v>
      </c>
      <c r="D475" s="28" t="str">
        <f>_xlfn.XLOOKUP(B475,'Payee Ref'!A:A,'Payee Ref'!B:B,"unassigned",0,1)</f>
        <v>Home &amp; Garden</v>
      </c>
      <c r="E475" s="29" t="str">
        <f>_xlfn.XLOOKUP(B475,'Payee Ref'!A:A,'Payee Ref'!C:C,"unassigned",0,1)</f>
        <v>Basic</v>
      </c>
      <c r="F475" s="28" t="s">
        <v>2207</v>
      </c>
    </row>
    <row r="476" spans="1:6" x14ac:dyDescent="0.2">
      <c r="A476" s="30">
        <v>45706</v>
      </c>
      <c r="B476" s="28" t="s">
        <v>1656</v>
      </c>
      <c r="C476" s="28">
        <v>11.29</v>
      </c>
      <c r="D476" s="28" t="str">
        <f>_xlfn.XLOOKUP(B476,'Payee Ref'!A:A,'Payee Ref'!B:B,"unassigned",0,1)</f>
        <v>Home &amp; Garden</v>
      </c>
      <c r="E476" s="29" t="str">
        <f>_xlfn.XLOOKUP(B476,'Payee Ref'!A:A,'Payee Ref'!C:C,"unassigned",0,1)</f>
        <v>Basic</v>
      </c>
      <c r="F476" s="28" t="s">
        <v>2207</v>
      </c>
    </row>
    <row r="477" spans="1:6" x14ac:dyDescent="0.2">
      <c r="A477" s="30">
        <v>45775</v>
      </c>
      <c r="B477" s="28" t="s">
        <v>1796</v>
      </c>
      <c r="C477" s="28">
        <v>11.31</v>
      </c>
      <c r="D477" s="28" t="str">
        <f>_xlfn.XLOOKUP(B477,'Payee Ref'!A:A,'Payee Ref'!B:B,"unassigned",0,1)</f>
        <v>Dining</v>
      </c>
      <c r="E477" s="29" t="str">
        <f>_xlfn.XLOOKUP(B477,'Payee Ref'!A:A,'Payee Ref'!C:C,"unassigned",0,1)</f>
        <v>Luxury</v>
      </c>
      <c r="F477" s="28" t="s">
        <v>2207</v>
      </c>
    </row>
    <row r="478" spans="1:6" x14ac:dyDescent="0.2">
      <c r="A478" s="30">
        <v>45686</v>
      </c>
      <c r="B478" s="28" t="s">
        <v>1952</v>
      </c>
      <c r="C478" s="28">
        <v>11.32</v>
      </c>
      <c r="D478" s="28" t="str">
        <f>_xlfn.XLOOKUP(B478,'Payee Ref'!A:A,'Payee Ref'!B:B,"unassigned",0,1)</f>
        <v>Groceries</v>
      </c>
      <c r="E478" s="29" t="str">
        <f>_xlfn.XLOOKUP(B478,'Payee Ref'!A:A,'Payee Ref'!C:C,"unassigned",0,1)</f>
        <v>Basic</v>
      </c>
      <c r="F478" s="28" t="s">
        <v>2207</v>
      </c>
    </row>
    <row r="479" spans="1:6" x14ac:dyDescent="0.2">
      <c r="A479" s="30">
        <v>45856</v>
      </c>
      <c r="B479" s="28" t="s">
        <v>1819</v>
      </c>
      <c r="C479" s="28">
        <v>11.35</v>
      </c>
      <c r="D479" s="28" t="str">
        <f>_xlfn.XLOOKUP(B479,'Payee Ref'!A:A,'Payee Ref'!B:B,"unassigned",0,1)</f>
        <v>unassigned</v>
      </c>
      <c r="E479" s="29" t="str">
        <f>_xlfn.XLOOKUP(B479,'Payee Ref'!A:A,'Payee Ref'!C:C,"unassigned",0,1)</f>
        <v>unassigned</v>
      </c>
      <c r="F479" s="28" t="s">
        <v>2207</v>
      </c>
    </row>
    <row r="480" spans="1:6" x14ac:dyDescent="0.2">
      <c r="A480" s="30">
        <v>45719</v>
      </c>
      <c r="B480" s="28" t="s">
        <v>1952</v>
      </c>
      <c r="C480" s="28">
        <v>11.36</v>
      </c>
      <c r="D480" s="28" t="str">
        <f>_xlfn.XLOOKUP(B480,'Payee Ref'!A:A,'Payee Ref'!B:B,"unassigned",0,1)</f>
        <v>Groceries</v>
      </c>
      <c r="E480" s="29" t="str">
        <f>_xlfn.XLOOKUP(B480,'Payee Ref'!A:A,'Payee Ref'!C:C,"unassigned",0,1)</f>
        <v>Basic</v>
      </c>
      <c r="F480" s="28" t="s">
        <v>2207</v>
      </c>
    </row>
    <row r="481" spans="1:6" x14ac:dyDescent="0.2">
      <c r="A481" s="30">
        <v>45768</v>
      </c>
      <c r="B481" s="28" t="s">
        <v>2029</v>
      </c>
      <c r="C481" s="28">
        <v>11.39</v>
      </c>
      <c r="D481" s="28" t="str">
        <f>_xlfn.XLOOKUP(B481,'Payee Ref'!A:A,'Payee Ref'!B:B,"unassigned",0,1)</f>
        <v>Home &amp; Garden</v>
      </c>
      <c r="E481" s="29" t="str">
        <f>_xlfn.XLOOKUP(B481,'Payee Ref'!A:A,'Payee Ref'!C:C,"unassigned",0,1)</f>
        <v>Basic</v>
      </c>
      <c r="F481" s="28" t="s">
        <v>2207</v>
      </c>
    </row>
    <row r="482" spans="1:6" x14ac:dyDescent="0.2">
      <c r="A482" s="30">
        <v>45743</v>
      </c>
      <c r="B482" s="28" t="s">
        <v>2000</v>
      </c>
      <c r="C482" s="28">
        <v>11.41</v>
      </c>
      <c r="D482" s="28" t="str">
        <f>_xlfn.XLOOKUP(B482,'Payee Ref'!A:A,'Payee Ref'!B:B,"unassigned",0,1)</f>
        <v>Dining</v>
      </c>
      <c r="E482" s="29" t="str">
        <f>_xlfn.XLOOKUP(B482,'Payee Ref'!A:A,'Payee Ref'!C:C,"unassigned",0,1)</f>
        <v>Luxury</v>
      </c>
      <c r="F482" s="28" t="s">
        <v>2207</v>
      </c>
    </row>
    <row r="483" spans="1:6" x14ac:dyDescent="0.2">
      <c r="A483" s="30">
        <v>45721</v>
      </c>
      <c r="B483" s="28" t="s">
        <v>2092</v>
      </c>
      <c r="C483" s="28">
        <v>11.42</v>
      </c>
      <c r="D483" s="28" t="str">
        <f>_xlfn.XLOOKUP(B483,'Payee Ref'!A:A,'Payee Ref'!B:B,"unassigned",0,1)</f>
        <v>Dining</v>
      </c>
      <c r="E483" s="29" t="str">
        <f>_xlfn.XLOOKUP(B483,'Payee Ref'!A:A,'Payee Ref'!C:C,"unassigned",0,1)</f>
        <v>Luxury</v>
      </c>
      <c r="F483" s="28" t="s">
        <v>2207</v>
      </c>
    </row>
    <row r="484" spans="1:6" x14ac:dyDescent="0.2">
      <c r="A484" s="30">
        <v>45745</v>
      </c>
      <c r="B484" s="28" t="s">
        <v>1587</v>
      </c>
      <c r="C484" s="28">
        <v>11.45</v>
      </c>
      <c r="D484" s="28" t="str">
        <f>_xlfn.XLOOKUP(B484,'Payee Ref'!A:A,'Payee Ref'!B:B,"unassigned",0,1)</f>
        <v>Travel</v>
      </c>
      <c r="E484" s="29" t="str">
        <f>_xlfn.XLOOKUP(B484,'Payee Ref'!A:A,'Payee Ref'!C:C,"unassigned",0,1)</f>
        <v>Luxury</v>
      </c>
      <c r="F484" s="28" t="s">
        <v>2207</v>
      </c>
    </row>
    <row r="485" spans="1:6" x14ac:dyDescent="0.2">
      <c r="A485" s="30">
        <v>45990</v>
      </c>
      <c r="B485" s="28" t="s">
        <v>1515</v>
      </c>
      <c r="C485" s="28">
        <v>11.47</v>
      </c>
      <c r="D485" s="28" t="str">
        <f>_xlfn.XLOOKUP(B485,'Payee Ref'!A:A,'Payee Ref'!B:B,"unassigned",0,1)</f>
        <v>unassigned</v>
      </c>
      <c r="E485" s="29" t="str">
        <f>_xlfn.XLOOKUP(B485,'Payee Ref'!A:A,'Payee Ref'!C:C,"unassigned",0,1)</f>
        <v>unassigned</v>
      </c>
      <c r="F485" s="28" t="s">
        <v>2207</v>
      </c>
    </row>
    <row r="486" spans="1:6" x14ac:dyDescent="0.2">
      <c r="A486" s="30">
        <v>45889</v>
      </c>
      <c r="B486" s="28" t="s">
        <v>1603</v>
      </c>
      <c r="C486" s="28">
        <v>11.49</v>
      </c>
      <c r="D486" s="28" t="str">
        <f>_xlfn.XLOOKUP(B486,'Payee Ref'!A:A,'Payee Ref'!B:B,"unassigned",0,1)</f>
        <v>Auto</v>
      </c>
      <c r="E486" s="29" t="str">
        <f>_xlfn.XLOOKUP(B486,'Payee Ref'!A:A,'Payee Ref'!C:C,"unassigned",0,1)</f>
        <v>Basic</v>
      </c>
      <c r="F486" s="28" t="s">
        <v>2207</v>
      </c>
    </row>
    <row r="487" spans="1:6" x14ac:dyDescent="0.2">
      <c r="A487" s="30">
        <v>45847</v>
      </c>
      <c r="B487" s="28" t="s">
        <v>1853</v>
      </c>
      <c r="C487" s="28">
        <v>11.58</v>
      </c>
      <c r="D487" s="28" t="str">
        <f>_xlfn.XLOOKUP(B487,'Payee Ref'!A:A,'Payee Ref'!B:B,"unassigned",0,1)</f>
        <v>Travel</v>
      </c>
      <c r="E487" s="29" t="str">
        <f>_xlfn.XLOOKUP(B487,'Payee Ref'!A:A,'Payee Ref'!C:C,"unassigned",0,1)</f>
        <v>Luxury</v>
      </c>
      <c r="F487" s="28" t="s">
        <v>2207</v>
      </c>
    </row>
    <row r="488" spans="1:6" x14ac:dyDescent="0.2">
      <c r="A488" s="30">
        <v>45927</v>
      </c>
      <c r="B488" s="28" t="s">
        <v>1616</v>
      </c>
      <c r="C488" s="28">
        <v>11.67</v>
      </c>
      <c r="D488" s="28" t="str">
        <f>_xlfn.XLOOKUP(B488,'Payee Ref'!A:A,'Payee Ref'!B:B,"unassigned",0,1)</f>
        <v>unassigned</v>
      </c>
      <c r="E488" s="29" t="str">
        <f>_xlfn.XLOOKUP(B488,'Payee Ref'!A:A,'Payee Ref'!C:C,"unassigned",0,1)</f>
        <v>unassigned</v>
      </c>
      <c r="F488" s="28" t="s">
        <v>2207</v>
      </c>
    </row>
    <row r="489" spans="1:6" x14ac:dyDescent="0.2">
      <c r="A489" s="30">
        <v>45821</v>
      </c>
      <c r="B489" s="28" t="s">
        <v>1854</v>
      </c>
      <c r="C489" s="28">
        <v>11.71</v>
      </c>
      <c r="D489" s="28" t="str">
        <f>_xlfn.XLOOKUP(B489,'Payee Ref'!A:A,'Payee Ref'!B:B,"unassigned",0,1)</f>
        <v>Auto</v>
      </c>
      <c r="E489" s="29" t="str">
        <f>_xlfn.XLOOKUP(B489,'Payee Ref'!A:A,'Payee Ref'!C:C,"unassigned",0,1)</f>
        <v>Basic</v>
      </c>
      <c r="F489" s="28" t="s">
        <v>2207</v>
      </c>
    </row>
    <row r="490" spans="1:6" x14ac:dyDescent="0.2">
      <c r="A490" s="30">
        <v>45666</v>
      </c>
      <c r="B490" s="28" t="s">
        <v>2175</v>
      </c>
      <c r="C490" s="28">
        <v>11.73</v>
      </c>
      <c r="D490" s="28" t="str">
        <f>_xlfn.XLOOKUP(B490,'Payee Ref'!A:A,'Payee Ref'!B:B,"unassigned",0,1)</f>
        <v>Dining</v>
      </c>
      <c r="E490" s="29" t="str">
        <f>_xlfn.XLOOKUP(B490,'Payee Ref'!A:A,'Payee Ref'!C:C,"unassigned",0,1)</f>
        <v>Luxury</v>
      </c>
      <c r="F490" s="28" t="s">
        <v>2207</v>
      </c>
    </row>
    <row r="491" spans="1:6" x14ac:dyDescent="0.2">
      <c r="A491" s="30">
        <v>45815</v>
      </c>
      <c r="B491" s="28" t="s">
        <v>1534</v>
      </c>
      <c r="C491" s="28">
        <v>11.74</v>
      </c>
      <c r="D491" s="28" t="str">
        <f>_xlfn.XLOOKUP(B491,'Payee Ref'!A:A,'Payee Ref'!B:B,"unassigned",0,1)</f>
        <v>Dining</v>
      </c>
      <c r="E491" s="29" t="str">
        <f>_xlfn.XLOOKUP(B491,'Payee Ref'!A:A,'Payee Ref'!C:C,"unassigned",0,1)</f>
        <v>Luxury</v>
      </c>
      <c r="F491" s="28" t="s">
        <v>2207</v>
      </c>
    </row>
    <row r="492" spans="1:6" x14ac:dyDescent="0.2">
      <c r="A492" s="30">
        <v>45769</v>
      </c>
      <c r="B492" s="28" t="s">
        <v>2028</v>
      </c>
      <c r="C492" s="28">
        <v>11.81</v>
      </c>
      <c r="D492" s="28" t="str">
        <f>_xlfn.XLOOKUP(B492,'Payee Ref'!A:A,'Payee Ref'!B:B,"unassigned",0,1)</f>
        <v>Travel</v>
      </c>
      <c r="E492" s="29" t="str">
        <f>_xlfn.XLOOKUP(B492,'Payee Ref'!A:A,'Payee Ref'!C:C,"unassigned",0,1)</f>
        <v>Luxury</v>
      </c>
      <c r="F492" s="28" t="s">
        <v>2207</v>
      </c>
    </row>
    <row r="493" spans="1:6" x14ac:dyDescent="0.2">
      <c r="A493" s="30">
        <v>45789</v>
      </c>
      <c r="B493" s="28" t="s">
        <v>1534</v>
      </c>
      <c r="C493" s="28">
        <v>11.86</v>
      </c>
      <c r="D493" s="28" t="str">
        <f>_xlfn.XLOOKUP(B493,'Payee Ref'!A:A,'Payee Ref'!B:B,"unassigned",0,1)</f>
        <v>Dining</v>
      </c>
      <c r="E493" s="29" t="str">
        <f>_xlfn.XLOOKUP(B493,'Payee Ref'!A:A,'Payee Ref'!C:C,"unassigned",0,1)</f>
        <v>Luxury</v>
      </c>
      <c r="F493" s="28" t="s">
        <v>2207</v>
      </c>
    </row>
    <row r="494" spans="1:6" x14ac:dyDescent="0.2">
      <c r="A494" s="30">
        <v>45671</v>
      </c>
      <c r="B494" s="28" t="s">
        <v>2083</v>
      </c>
      <c r="C494" s="28">
        <v>11.86</v>
      </c>
      <c r="D494" s="28" t="str">
        <f>_xlfn.XLOOKUP(B494,'Payee Ref'!A:A,'Payee Ref'!B:B,"unassigned",0,1)</f>
        <v>Dining</v>
      </c>
      <c r="E494" s="29" t="str">
        <f>_xlfn.XLOOKUP(B494,'Payee Ref'!A:A,'Payee Ref'!C:C,"unassigned",0,1)</f>
        <v>Luxury</v>
      </c>
      <c r="F494" s="28" t="s">
        <v>2207</v>
      </c>
    </row>
    <row r="495" spans="1:6" x14ac:dyDescent="0.2">
      <c r="A495" s="30">
        <v>45739</v>
      </c>
      <c r="B495" s="28" t="s">
        <v>2077</v>
      </c>
      <c r="C495" s="28">
        <v>11.91</v>
      </c>
      <c r="D495" s="28" t="str">
        <f>_xlfn.XLOOKUP(B495,'Payee Ref'!A:A,'Payee Ref'!B:B,"unassigned",0,1)</f>
        <v>Dining</v>
      </c>
      <c r="E495" s="29" t="str">
        <f>_xlfn.XLOOKUP(B495,'Payee Ref'!A:A,'Payee Ref'!C:C,"unassigned",0,1)</f>
        <v>Luxury</v>
      </c>
      <c r="F495" s="28" t="s">
        <v>2207</v>
      </c>
    </row>
    <row r="496" spans="1:6" x14ac:dyDescent="0.2">
      <c r="A496" s="30">
        <v>45842</v>
      </c>
      <c r="B496" s="31" t="s">
        <v>1744</v>
      </c>
      <c r="C496" s="28">
        <v>11.92</v>
      </c>
      <c r="D496" s="28" t="str">
        <f>_xlfn.XLOOKUP(B496,'Payee Ref'!A:A,'Payee Ref'!B:B,"unassigned",0,1)</f>
        <v>Travel</v>
      </c>
      <c r="E496" s="29" t="str">
        <f>_xlfn.XLOOKUP(B496,'Payee Ref'!A:A,'Payee Ref'!C:C,"unassigned",0,1)</f>
        <v>Luxury</v>
      </c>
      <c r="F496" s="28" t="s">
        <v>2207</v>
      </c>
    </row>
    <row r="497" spans="1:6" x14ac:dyDescent="0.2">
      <c r="A497" s="30">
        <v>45713</v>
      </c>
      <c r="B497" s="28" t="s">
        <v>2092</v>
      </c>
      <c r="C497" s="28">
        <v>11.92</v>
      </c>
      <c r="D497" s="28" t="str">
        <f>_xlfn.XLOOKUP(B497,'Payee Ref'!A:A,'Payee Ref'!B:B,"unassigned",0,1)</f>
        <v>Dining</v>
      </c>
      <c r="E497" s="29" t="str">
        <f>_xlfn.XLOOKUP(B497,'Payee Ref'!A:A,'Payee Ref'!C:C,"unassigned",0,1)</f>
        <v>Luxury</v>
      </c>
      <c r="F497" s="28" t="s">
        <v>2207</v>
      </c>
    </row>
    <row r="498" spans="1:6" x14ac:dyDescent="0.2">
      <c r="A498" s="30">
        <v>45670</v>
      </c>
      <c r="B498" s="28" t="s">
        <v>1952</v>
      </c>
      <c r="C498" s="28">
        <v>11.92</v>
      </c>
      <c r="D498" s="28" t="str">
        <f>_xlfn.XLOOKUP(B498,'Payee Ref'!A:A,'Payee Ref'!B:B,"unassigned",0,1)</f>
        <v>Groceries</v>
      </c>
      <c r="E498" s="29" t="str">
        <f>_xlfn.XLOOKUP(B498,'Payee Ref'!A:A,'Payee Ref'!C:C,"unassigned",0,1)</f>
        <v>Basic</v>
      </c>
      <c r="F498" s="28" t="s">
        <v>2207</v>
      </c>
    </row>
    <row r="499" spans="1:6" x14ac:dyDescent="0.2">
      <c r="A499" s="30">
        <v>45768</v>
      </c>
      <c r="B499" s="28" t="s">
        <v>1952</v>
      </c>
      <c r="C499" s="28">
        <v>11.96</v>
      </c>
      <c r="D499" s="28" t="str">
        <f>_xlfn.XLOOKUP(B499,'Payee Ref'!A:A,'Payee Ref'!B:B,"unassigned",0,1)</f>
        <v>Groceries</v>
      </c>
      <c r="E499" s="29" t="str">
        <f>_xlfn.XLOOKUP(B499,'Payee Ref'!A:A,'Payee Ref'!C:C,"unassigned",0,1)</f>
        <v>Basic</v>
      </c>
      <c r="F499" s="28" t="s">
        <v>2207</v>
      </c>
    </row>
    <row r="500" spans="1:6" x14ac:dyDescent="0.2">
      <c r="A500" s="30">
        <v>45954</v>
      </c>
      <c r="B500" s="28" t="s">
        <v>230</v>
      </c>
      <c r="C500" s="28">
        <v>11.98</v>
      </c>
      <c r="D500" s="28" t="str">
        <f>_xlfn.XLOOKUP(B500,'Payee Ref'!A:A,'Payee Ref'!B:B,"unassigned",0,1)</f>
        <v>Dining</v>
      </c>
      <c r="E500" s="29" t="str">
        <f>_xlfn.XLOOKUP(B500,'Payee Ref'!A:A,'Payee Ref'!C:C,"unassigned",0,1)</f>
        <v>Luxury</v>
      </c>
      <c r="F500" s="28" t="s">
        <v>2207</v>
      </c>
    </row>
    <row r="501" spans="1:6" x14ac:dyDescent="0.2">
      <c r="A501" s="30">
        <v>45773</v>
      </c>
      <c r="B501" s="28" t="s">
        <v>1588</v>
      </c>
      <c r="C501" s="28">
        <v>11.98</v>
      </c>
      <c r="D501" s="28" t="str">
        <f>_xlfn.XLOOKUP(B501,'Payee Ref'!A:A,'Payee Ref'!B:B,"unassigned",0,1)</f>
        <v>Groceries</v>
      </c>
      <c r="E501" s="29" t="str">
        <f>_xlfn.XLOOKUP(B501,'Payee Ref'!A:A,'Payee Ref'!C:C,"unassigned",0,1)</f>
        <v>Basic</v>
      </c>
      <c r="F501" s="28" t="s">
        <v>2207</v>
      </c>
    </row>
    <row r="502" spans="1:6" x14ac:dyDescent="0.2">
      <c r="A502" s="30">
        <v>45659</v>
      </c>
      <c r="B502" s="28" t="s">
        <v>2200</v>
      </c>
      <c r="C502" s="28">
        <v>11.99</v>
      </c>
      <c r="D502" s="28" t="str">
        <f>_xlfn.XLOOKUP(B502,'Payee Ref'!A:A,'Payee Ref'!B:B,"unassigned",0,1)</f>
        <v>Travel</v>
      </c>
      <c r="E502" s="29" t="str">
        <f>_xlfn.XLOOKUP(B502,'Payee Ref'!A:A,'Payee Ref'!C:C,"unassigned",0,1)</f>
        <v>Luxury</v>
      </c>
      <c r="F502" s="28" t="s">
        <v>2207</v>
      </c>
    </row>
    <row r="503" spans="1:6" x14ac:dyDescent="0.2">
      <c r="A503" s="30">
        <v>45725</v>
      </c>
      <c r="B503" s="28" t="s">
        <v>93</v>
      </c>
      <c r="C503" s="28">
        <v>12</v>
      </c>
      <c r="D503" s="28" t="str">
        <f>_xlfn.XLOOKUP(B503,'Payee Ref'!A:A,'Payee Ref'!B:B,"unassigned",0,1)</f>
        <v>Charitable Contributions</v>
      </c>
      <c r="E503" s="29" t="str">
        <f>_xlfn.XLOOKUP(B503,'Payee Ref'!A:A,'Payee Ref'!C:C,"unassigned",0,1)</f>
        <v>Basic</v>
      </c>
      <c r="F503" s="28" t="s">
        <v>2207</v>
      </c>
    </row>
    <row r="504" spans="1:6" x14ac:dyDescent="0.2">
      <c r="A504" s="30">
        <v>45739</v>
      </c>
      <c r="B504" s="28" t="s">
        <v>2070</v>
      </c>
      <c r="C504" s="28">
        <v>12</v>
      </c>
      <c r="D504" s="28" t="str">
        <f>_xlfn.XLOOKUP(B504,'Payee Ref'!A:A,'Payee Ref'!B:B,"unassigned",0,1)</f>
        <v>Dining</v>
      </c>
      <c r="E504" s="29" t="str">
        <f>_xlfn.XLOOKUP(B504,'Payee Ref'!A:A,'Payee Ref'!C:C,"unassigned",0,1)</f>
        <v>Luxury</v>
      </c>
      <c r="F504" s="28" t="s">
        <v>2207</v>
      </c>
    </row>
    <row r="505" spans="1:6" x14ac:dyDescent="0.2">
      <c r="A505" s="30">
        <v>45753</v>
      </c>
      <c r="B505" s="28" t="s">
        <v>1619</v>
      </c>
      <c r="C505" s="28">
        <v>12.03</v>
      </c>
      <c r="D505" s="28" t="str">
        <f>_xlfn.XLOOKUP(B505,'Payee Ref'!A:A,'Payee Ref'!B:B,"unassigned",0,1)</f>
        <v>Travel</v>
      </c>
      <c r="E505" s="29" t="str">
        <f>_xlfn.XLOOKUP(B505,'Payee Ref'!A:A,'Payee Ref'!C:C,"unassigned",0,1)</f>
        <v>Luxury</v>
      </c>
      <c r="F505" s="28" t="s">
        <v>2207</v>
      </c>
    </row>
    <row r="506" spans="1:6" x14ac:dyDescent="0.2">
      <c r="A506" s="30">
        <v>45733</v>
      </c>
      <c r="B506" s="28" t="s">
        <v>1619</v>
      </c>
      <c r="C506" s="28">
        <v>12.03</v>
      </c>
      <c r="D506" s="28" t="str">
        <f>_xlfn.XLOOKUP(B506,'Payee Ref'!A:A,'Payee Ref'!B:B,"unassigned",0,1)</f>
        <v>Travel</v>
      </c>
      <c r="E506" s="29" t="str">
        <f>_xlfn.XLOOKUP(B506,'Payee Ref'!A:A,'Payee Ref'!C:C,"unassigned",0,1)</f>
        <v>Luxury</v>
      </c>
      <c r="F506" s="28" t="s">
        <v>2207</v>
      </c>
    </row>
    <row r="507" spans="1:6" x14ac:dyDescent="0.2">
      <c r="A507" s="30">
        <v>45730</v>
      </c>
      <c r="B507" s="28" t="s">
        <v>1575</v>
      </c>
      <c r="C507" s="28">
        <v>12.03</v>
      </c>
      <c r="D507" s="28" t="str">
        <f>_xlfn.XLOOKUP(B507,'Payee Ref'!A:A,'Payee Ref'!B:B,"unassigned",0,1)</f>
        <v>Travel</v>
      </c>
      <c r="E507" s="29" t="str">
        <f>_xlfn.XLOOKUP(B507,'Payee Ref'!A:A,'Payee Ref'!C:C,"unassigned",0,1)</f>
        <v>Luxury</v>
      </c>
      <c r="F507" s="28" t="s">
        <v>2207</v>
      </c>
    </row>
    <row r="508" spans="1:6" x14ac:dyDescent="0.2">
      <c r="A508" s="30">
        <v>45732</v>
      </c>
      <c r="B508" s="28" t="s">
        <v>1587</v>
      </c>
      <c r="C508" s="28">
        <v>12.04</v>
      </c>
      <c r="D508" s="28" t="str">
        <f>_xlfn.XLOOKUP(B508,'Payee Ref'!A:A,'Payee Ref'!B:B,"unassigned",0,1)</f>
        <v>Travel</v>
      </c>
      <c r="E508" s="29" t="str">
        <f>_xlfn.XLOOKUP(B508,'Payee Ref'!A:A,'Payee Ref'!C:C,"unassigned",0,1)</f>
        <v>Luxury</v>
      </c>
      <c r="F508" s="28" t="s">
        <v>2207</v>
      </c>
    </row>
    <row r="509" spans="1:6" x14ac:dyDescent="0.2">
      <c r="A509" s="30">
        <v>45908</v>
      </c>
      <c r="B509" s="28" t="s">
        <v>1534</v>
      </c>
      <c r="C509" s="28">
        <v>12.05</v>
      </c>
      <c r="D509" s="28" t="str">
        <f>_xlfn.XLOOKUP(B509,'Payee Ref'!A:A,'Payee Ref'!B:B,"unassigned",0,1)</f>
        <v>Dining</v>
      </c>
      <c r="E509" s="29" t="str">
        <f>_xlfn.XLOOKUP(B509,'Payee Ref'!A:A,'Payee Ref'!C:C,"unassigned",0,1)</f>
        <v>Luxury</v>
      </c>
      <c r="F509" s="28" t="s">
        <v>2207</v>
      </c>
    </row>
    <row r="510" spans="1:6" x14ac:dyDescent="0.2">
      <c r="A510" s="30">
        <v>45882</v>
      </c>
      <c r="B510" s="28" t="s">
        <v>1730</v>
      </c>
      <c r="C510" s="28">
        <v>12.05</v>
      </c>
      <c r="D510" s="28" t="str">
        <f>_xlfn.XLOOKUP(B510,'Payee Ref'!A:A,'Payee Ref'!B:B,"unassigned",0,1)</f>
        <v>Dining</v>
      </c>
      <c r="E510" s="29" t="str">
        <f>_xlfn.XLOOKUP(B510,'Payee Ref'!A:A,'Payee Ref'!C:C,"unassigned",0,1)</f>
        <v>Luxury</v>
      </c>
      <c r="F510" s="28" t="s">
        <v>2207</v>
      </c>
    </row>
    <row r="511" spans="1:6" x14ac:dyDescent="0.2">
      <c r="A511" s="30">
        <v>45738</v>
      </c>
      <c r="B511" s="28" t="s">
        <v>1605</v>
      </c>
      <c r="C511" s="28">
        <v>12.05</v>
      </c>
      <c r="D511" s="28" t="str">
        <f>_xlfn.XLOOKUP(B511,'Payee Ref'!A:A,'Payee Ref'!B:B,"unassigned",0,1)</f>
        <v>Dining</v>
      </c>
      <c r="E511" s="29" t="str">
        <f>_xlfn.XLOOKUP(B511,'Payee Ref'!A:A,'Payee Ref'!C:C,"unassigned",0,1)</f>
        <v>Luxury</v>
      </c>
      <c r="F511" s="28" t="s">
        <v>2207</v>
      </c>
    </row>
    <row r="512" spans="1:6" x14ac:dyDescent="0.2">
      <c r="A512" s="30">
        <v>45688</v>
      </c>
      <c r="B512" s="28" t="s">
        <v>1952</v>
      </c>
      <c r="C512" s="28">
        <v>12.09</v>
      </c>
      <c r="D512" s="28" t="str">
        <f>_xlfn.XLOOKUP(B512,'Payee Ref'!A:A,'Payee Ref'!B:B,"unassigned",0,1)</f>
        <v>Groceries</v>
      </c>
      <c r="E512" s="29" t="str">
        <f>_xlfn.XLOOKUP(B512,'Payee Ref'!A:A,'Payee Ref'!C:C,"unassigned",0,1)</f>
        <v>Basic</v>
      </c>
      <c r="F512" s="28" t="s">
        <v>2207</v>
      </c>
    </row>
    <row r="513" spans="1:6" x14ac:dyDescent="0.2">
      <c r="A513" s="30">
        <v>45985</v>
      </c>
      <c r="B513" s="28" t="s">
        <v>1540</v>
      </c>
      <c r="C513" s="28">
        <v>12.1</v>
      </c>
      <c r="D513" s="28" t="str">
        <f>_xlfn.XLOOKUP(B513,'Payee Ref'!A:A,'Payee Ref'!B:B,"unassigned",0,1)</f>
        <v>unassigned</v>
      </c>
      <c r="E513" s="29" t="str">
        <f>_xlfn.XLOOKUP(B513,'Payee Ref'!A:A,'Payee Ref'!C:C,"unassigned",0,1)</f>
        <v>unassigned</v>
      </c>
      <c r="F513" s="28" t="s">
        <v>2207</v>
      </c>
    </row>
    <row r="514" spans="1:6" x14ac:dyDescent="0.2">
      <c r="A514" s="30">
        <v>45823</v>
      </c>
      <c r="B514" s="31" t="s">
        <v>1934</v>
      </c>
      <c r="C514" s="28">
        <v>12.14</v>
      </c>
      <c r="D514" s="28" t="str">
        <f>_xlfn.XLOOKUP(B514,'Payee Ref'!A:A,'Payee Ref'!B:B,"unassigned",0,1)</f>
        <v>Auto</v>
      </c>
      <c r="E514" s="29" t="str">
        <f>_xlfn.XLOOKUP(B514,'Payee Ref'!A:A,'Payee Ref'!C:C,"unassigned",0,1)</f>
        <v>Basic</v>
      </c>
      <c r="F514" s="28" t="s">
        <v>2207</v>
      </c>
    </row>
    <row r="515" spans="1:6" x14ac:dyDescent="0.2">
      <c r="A515" s="30">
        <v>45878</v>
      </c>
      <c r="B515" s="28" t="s">
        <v>1740</v>
      </c>
      <c r="C515" s="28">
        <v>12.17</v>
      </c>
      <c r="D515" s="28" t="str">
        <f>_xlfn.XLOOKUP(B515,'Payee Ref'!A:A,'Payee Ref'!B:B,"unassigned",0,1)</f>
        <v>unassigned</v>
      </c>
      <c r="E515" s="29" t="str">
        <f>_xlfn.XLOOKUP(B515,'Payee Ref'!A:A,'Payee Ref'!C:C,"unassigned",0,1)</f>
        <v>unassigned</v>
      </c>
      <c r="F515" s="28" t="s">
        <v>2207</v>
      </c>
    </row>
    <row r="516" spans="1:6" x14ac:dyDescent="0.2">
      <c r="A516" s="30">
        <v>45686</v>
      </c>
      <c r="B516" s="28" t="s">
        <v>1547</v>
      </c>
      <c r="C516" s="28">
        <v>12.19</v>
      </c>
      <c r="D516" s="28" t="str">
        <f>_xlfn.XLOOKUP(B516,'Payee Ref'!A:A,'Payee Ref'!B:B,"unassigned",0,1)</f>
        <v>Pharmacy</v>
      </c>
      <c r="E516" s="29" t="str">
        <f>_xlfn.XLOOKUP(B516,'Payee Ref'!A:A,'Payee Ref'!C:C,"unassigned",0,1)</f>
        <v>Basic</v>
      </c>
      <c r="F516" s="28" t="s">
        <v>2207</v>
      </c>
    </row>
    <row r="517" spans="1:6" x14ac:dyDescent="0.2">
      <c r="A517" s="30">
        <v>45659</v>
      </c>
      <c r="B517" s="28" t="s">
        <v>1547</v>
      </c>
      <c r="C517" s="28">
        <v>12.19</v>
      </c>
      <c r="D517" s="28" t="str">
        <f>_xlfn.XLOOKUP(B517,'Payee Ref'!A:A,'Payee Ref'!B:B,"unassigned",0,1)</f>
        <v>Pharmacy</v>
      </c>
      <c r="E517" s="29" t="str">
        <f>_xlfn.XLOOKUP(B517,'Payee Ref'!A:A,'Payee Ref'!C:C,"unassigned",0,1)</f>
        <v>Basic</v>
      </c>
      <c r="F517" s="28" t="s">
        <v>2207</v>
      </c>
    </row>
    <row r="518" spans="1:6" x14ac:dyDescent="0.2">
      <c r="A518" s="30">
        <v>45659</v>
      </c>
      <c r="B518" s="28" t="s">
        <v>2197</v>
      </c>
      <c r="C518" s="28">
        <v>12.2</v>
      </c>
      <c r="D518" s="28" t="str">
        <f>_xlfn.XLOOKUP(B518,'Payee Ref'!A:A,'Payee Ref'!B:B,"unassigned",0,1)</f>
        <v>Travel</v>
      </c>
      <c r="E518" s="29" t="str">
        <f>_xlfn.XLOOKUP(B518,'Payee Ref'!A:A,'Payee Ref'!C:C,"unassigned",0,1)</f>
        <v>Luxury</v>
      </c>
      <c r="F518" s="28" t="s">
        <v>2207</v>
      </c>
    </row>
    <row r="519" spans="1:6" x14ac:dyDescent="0.2">
      <c r="A519" s="30">
        <v>45736</v>
      </c>
      <c r="B519" s="28" t="s">
        <v>2080</v>
      </c>
      <c r="C519" s="28">
        <v>12.21</v>
      </c>
      <c r="D519" s="28" t="str">
        <f>_xlfn.XLOOKUP(B519,'Payee Ref'!A:A,'Payee Ref'!B:B,"unassigned",0,1)</f>
        <v>Education: Secondary</v>
      </c>
      <c r="E519" s="29" t="str">
        <f>_xlfn.XLOOKUP(B519,'Payee Ref'!A:A,'Payee Ref'!C:C,"unassigned",0,1)</f>
        <v>Basic</v>
      </c>
      <c r="F519" s="28" t="s">
        <v>2207</v>
      </c>
    </row>
    <row r="520" spans="1:6" x14ac:dyDescent="0.2">
      <c r="A520" s="30">
        <v>45858</v>
      </c>
      <c r="B520" s="28" t="s">
        <v>1819</v>
      </c>
      <c r="C520" s="28">
        <v>12.23</v>
      </c>
      <c r="D520" s="28" t="str">
        <f>_xlfn.XLOOKUP(B520,'Payee Ref'!A:A,'Payee Ref'!B:B,"unassigned",0,1)</f>
        <v>unassigned</v>
      </c>
      <c r="E520" s="29" t="str">
        <f>_xlfn.XLOOKUP(B520,'Payee Ref'!A:A,'Payee Ref'!C:C,"unassigned",0,1)</f>
        <v>unassigned</v>
      </c>
      <c r="F520" s="28" t="s">
        <v>2207</v>
      </c>
    </row>
    <row r="521" spans="1:6" x14ac:dyDescent="0.2">
      <c r="A521" s="30">
        <v>45694</v>
      </c>
      <c r="B521" s="28" t="s">
        <v>2102</v>
      </c>
      <c r="C521" s="28">
        <v>12.25</v>
      </c>
      <c r="D521" s="28" t="str">
        <f>_xlfn.XLOOKUP(B521,'Payee Ref'!A:A,'Payee Ref'!B:B,"unassigned",0,1)</f>
        <v>Dining</v>
      </c>
      <c r="E521" s="29" t="str">
        <f>_xlfn.XLOOKUP(B521,'Payee Ref'!A:A,'Payee Ref'!C:C,"unassigned",0,1)</f>
        <v>Luxury</v>
      </c>
      <c r="F521" s="28" t="s">
        <v>2207</v>
      </c>
    </row>
    <row r="522" spans="1:6" x14ac:dyDescent="0.2">
      <c r="A522" s="30">
        <v>45688</v>
      </c>
      <c r="B522" s="28" t="s">
        <v>2144</v>
      </c>
      <c r="C522" s="28">
        <v>12.25</v>
      </c>
      <c r="D522" s="28" t="str">
        <f>_xlfn.XLOOKUP(B522,'Payee Ref'!A:A,'Payee Ref'!B:B,"unassigned",0,1)</f>
        <v>Dining</v>
      </c>
      <c r="E522" s="29" t="str">
        <f>_xlfn.XLOOKUP(B522,'Payee Ref'!A:A,'Payee Ref'!C:C,"unassigned",0,1)</f>
        <v>Luxury</v>
      </c>
      <c r="F522" s="28" t="s">
        <v>2207</v>
      </c>
    </row>
    <row r="523" spans="1:6" x14ac:dyDescent="0.2">
      <c r="A523" s="30">
        <v>45690</v>
      </c>
      <c r="B523" s="28" t="s">
        <v>1571</v>
      </c>
      <c r="C523" s="28">
        <v>12.34</v>
      </c>
      <c r="D523" s="28" t="str">
        <f>_xlfn.XLOOKUP(B523,'Payee Ref'!A:A,'Payee Ref'!B:B,"unassigned",0,1)</f>
        <v>Travel</v>
      </c>
      <c r="E523" s="29" t="str">
        <f>_xlfn.XLOOKUP(B523,'Payee Ref'!A:A,'Payee Ref'!C:C,"unassigned",0,1)</f>
        <v>Luxury</v>
      </c>
      <c r="F523" s="28" t="s">
        <v>2207</v>
      </c>
    </row>
    <row r="524" spans="1:6" x14ac:dyDescent="0.2">
      <c r="A524" s="30">
        <v>45924</v>
      </c>
      <c r="B524" s="28" t="s">
        <v>1534</v>
      </c>
      <c r="C524" s="28">
        <v>12.37</v>
      </c>
      <c r="D524" s="28" t="str">
        <f>_xlfn.XLOOKUP(B524,'Payee Ref'!A:A,'Payee Ref'!B:B,"unassigned",0,1)</f>
        <v>Dining</v>
      </c>
      <c r="E524" s="29" t="str">
        <f>_xlfn.XLOOKUP(B524,'Payee Ref'!A:A,'Payee Ref'!C:C,"unassigned",0,1)</f>
        <v>Luxury</v>
      </c>
      <c r="F524" s="28" t="s">
        <v>2207</v>
      </c>
    </row>
    <row r="525" spans="1:6" x14ac:dyDescent="0.2">
      <c r="A525" s="30">
        <v>45919</v>
      </c>
      <c r="B525" s="28" t="s">
        <v>1534</v>
      </c>
      <c r="C525" s="28">
        <v>12.37</v>
      </c>
      <c r="D525" s="28" t="str">
        <f>_xlfn.XLOOKUP(B525,'Payee Ref'!A:A,'Payee Ref'!B:B,"unassigned",0,1)</f>
        <v>Dining</v>
      </c>
      <c r="E525" s="29" t="str">
        <f>_xlfn.XLOOKUP(B525,'Payee Ref'!A:A,'Payee Ref'!C:C,"unassigned",0,1)</f>
        <v>Luxury</v>
      </c>
      <c r="F525" s="28" t="s">
        <v>2207</v>
      </c>
    </row>
    <row r="526" spans="1:6" x14ac:dyDescent="0.2">
      <c r="A526" s="30">
        <v>45917</v>
      </c>
      <c r="B526" s="28" t="s">
        <v>1534</v>
      </c>
      <c r="C526" s="28">
        <v>12.37</v>
      </c>
      <c r="D526" s="28" t="str">
        <f>_xlfn.XLOOKUP(B526,'Payee Ref'!A:A,'Payee Ref'!B:B,"unassigned",0,1)</f>
        <v>Dining</v>
      </c>
      <c r="E526" s="29" t="str">
        <f>_xlfn.XLOOKUP(B526,'Payee Ref'!A:A,'Payee Ref'!C:C,"unassigned",0,1)</f>
        <v>Luxury</v>
      </c>
      <c r="F526" s="28" t="s">
        <v>2207</v>
      </c>
    </row>
    <row r="527" spans="1:6" x14ac:dyDescent="0.2">
      <c r="A527" s="30">
        <v>45905</v>
      </c>
      <c r="B527" s="28" t="s">
        <v>1534</v>
      </c>
      <c r="C527" s="28">
        <v>12.37</v>
      </c>
      <c r="D527" s="28" t="str">
        <f>_xlfn.XLOOKUP(B527,'Payee Ref'!A:A,'Payee Ref'!B:B,"unassigned",0,1)</f>
        <v>Dining</v>
      </c>
      <c r="E527" s="29" t="str">
        <f>_xlfn.XLOOKUP(B527,'Payee Ref'!A:A,'Payee Ref'!C:C,"unassigned",0,1)</f>
        <v>Luxury</v>
      </c>
      <c r="F527" s="28" t="s">
        <v>2207</v>
      </c>
    </row>
    <row r="528" spans="1:6" x14ac:dyDescent="0.2">
      <c r="A528" s="30">
        <v>45793</v>
      </c>
      <c r="B528" s="28" t="s">
        <v>1534</v>
      </c>
      <c r="C528" s="28">
        <v>12.37</v>
      </c>
      <c r="D528" s="28" t="str">
        <f>_xlfn.XLOOKUP(B528,'Payee Ref'!A:A,'Payee Ref'!B:B,"unassigned",0,1)</f>
        <v>Dining</v>
      </c>
      <c r="E528" s="29" t="str">
        <f>_xlfn.XLOOKUP(B528,'Payee Ref'!A:A,'Payee Ref'!C:C,"unassigned",0,1)</f>
        <v>Luxury</v>
      </c>
      <c r="F528" s="28" t="s">
        <v>2207</v>
      </c>
    </row>
    <row r="529" spans="1:6" x14ac:dyDescent="0.2">
      <c r="A529" s="30">
        <v>45786</v>
      </c>
      <c r="B529" s="28" t="s">
        <v>1534</v>
      </c>
      <c r="C529" s="28">
        <v>12.37</v>
      </c>
      <c r="D529" s="28" t="str">
        <f>_xlfn.XLOOKUP(B529,'Payee Ref'!A:A,'Payee Ref'!B:B,"unassigned",0,1)</f>
        <v>Dining</v>
      </c>
      <c r="E529" s="29" t="str">
        <f>_xlfn.XLOOKUP(B529,'Payee Ref'!A:A,'Payee Ref'!C:C,"unassigned",0,1)</f>
        <v>Luxury</v>
      </c>
      <c r="F529" s="28" t="s">
        <v>2207</v>
      </c>
    </row>
    <row r="530" spans="1:6" x14ac:dyDescent="0.2">
      <c r="A530" s="30">
        <v>45749</v>
      </c>
      <c r="B530" s="28" t="s">
        <v>1534</v>
      </c>
      <c r="C530" s="28">
        <v>12.37</v>
      </c>
      <c r="D530" s="28" t="str">
        <f>_xlfn.XLOOKUP(B530,'Payee Ref'!A:A,'Payee Ref'!B:B,"unassigned",0,1)</f>
        <v>Dining</v>
      </c>
      <c r="E530" s="29" t="str">
        <f>_xlfn.XLOOKUP(B530,'Payee Ref'!A:A,'Payee Ref'!C:C,"unassigned",0,1)</f>
        <v>Luxury</v>
      </c>
      <c r="F530" s="28" t="s">
        <v>2207</v>
      </c>
    </row>
    <row r="531" spans="1:6" x14ac:dyDescent="0.2">
      <c r="A531" s="30">
        <v>45743</v>
      </c>
      <c r="B531" s="28" t="s">
        <v>1534</v>
      </c>
      <c r="C531" s="28">
        <v>12.37</v>
      </c>
      <c r="D531" s="28" t="str">
        <f>_xlfn.XLOOKUP(B531,'Payee Ref'!A:A,'Payee Ref'!B:B,"unassigned",0,1)</f>
        <v>Dining</v>
      </c>
      <c r="E531" s="29" t="str">
        <f>_xlfn.XLOOKUP(B531,'Payee Ref'!A:A,'Payee Ref'!C:C,"unassigned",0,1)</f>
        <v>Luxury</v>
      </c>
      <c r="F531" s="28" t="s">
        <v>2207</v>
      </c>
    </row>
    <row r="532" spans="1:6" x14ac:dyDescent="0.2">
      <c r="A532" s="30">
        <v>45742</v>
      </c>
      <c r="B532" s="28" t="s">
        <v>1534</v>
      </c>
      <c r="C532" s="28">
        <v>12.37</v>
      </c>
      <c r="D532" s="28" t="str">
        <f>_xlfn.XLOOKUP(B532,'Payee Ref'!A:A,'Payee Ref'!B:B,"unassigned",0,1)</f>
        <v>Dining</v>
      </c>
      <c r="E532" s="29" t="str">
        <f>_xlfn.XLOOKUP(B532,'Payee Ref'!A:A,'Payee Ref'!C:C,"unassigned",0,1)</f>
        <v>Luxury</v>
      </c>
      <c r="F532" s="28" t="s">
        <v>2207</v>
      </c>
    </row>
    <row r="533" spans="1:6" x14ac:dyDescent="0.2">
      <c r="A533" s="30">
        <v>45733</v>
      </c>
      <c r="B533" s="28" t="s">
        <v>1534</v>
      </c>
      <c r="C533" s="28">
        <v>12.37</v>
      </c>
      <c r="D533" s="28" t="str">
        <f>_xlfn.XLOOKUP(B533,'Payee Ref'!A:A,'Payee Ref'!B:B,"unassigned",0,1)</f>
        <v>Dining</v>
      </c>
      <c r="E533" s="29" t="str">
        <f>_xlfn.XLOOKUP(B533,'Payee Ref'!A:A,'Payee Ref'!C:C,"unassigned",0,1)</f>
        <v>Luxury</v>
      </c>
      <c r="F533" s="28" t="s">
        <v>2207</v>
      </c>
    </row>
    <row r="534" spans="1:6" x14ac:dyDescent="0.2">
      <c r="A534" s="30">
        <v>45712</v>
      </c>
      <c r="B534" s="28" t="s">
        <v>1534</v>
      </c>
      <c r="C534" s="28">
        <v>12.37</v>
      </c>
      <c r="D534" s="28" t="str">
        <f>_xlfn.XLOOKUP(B534,'Payee Ref'!A:A,'Payee Ref'!B:B,"unassigned",0,1)</f>
        <v>Dining</v>
      </c>
      <c r="E534" s="29" t="str">
        <f>_xlfn.XLOOKUP(B534,'Payee Ref'!A:A,'Payee Ref'!C:C,"unassigned",0,1)</f>
        <v>Luxury</v>
      </c>
      <c r="F534" s="28" t="s">
        <v>2207</v>
      </c>
    </row>
    <row r="535" spans="1:6" x14ac:dyDescent="0.2">
      <c r="A535" s="30">
        <v>45975</v>
      </c>
      <c r="B535" s="28" t="s">
        <v>168</v>
      </c>
      <c r="C535" s="28">
        <v>12.37</v>
      </c>
      <c r="D535" s="28" t="str">
        <f>_xlfn.XLOOKUP(B535,'Payee Ref'!A:A,'Payee Ref'!B:B,"unassigned",0,1)</f>
        <v>Dining</v>
      </c>
      <c r="E535" s="29" t="str">
        <f>_xlfn.XLOOKUP(B535,'Payee Ref'!A:A,'Payee Ref'!C:C,"unassigned",0,1)</f>
        <v>Luxury</v>
      </c>
      <c r="F535" s="28" t="s">
        <v>2207</v>
      </c>
    </row>
    <row r="536" spans="1:6" x14ac:dyDescent="0.2">
      <c r="A536" s="30">
        <v>45755</v>
      </c>
      <c r="B536" s="28" t="s">
        <v>2024</v>
      </c>
      <c r="C536" s="28">
        <v>12.39</v>
      </c>
      <c r="D536" s="28" t="str">
        <f>_xlfn.XLOOKUP(B536,'Payee Ref'!A:A,'Payee Ref'!B:B,"unassigned",0,1)</f>
        <v>Groceries</v>
      </c>
      <c r="E536" s="29" t="str">
        <f>_xlfn.XLOOKUP(B536,'Payee Ref'!A:A,'Payee Ref'!C:C,"unassigned",0,1)</f>
        <v>Luxury</v>
      </c>
      <c r="F536" s="28" t="s">
        <v>2207</v>
      </c>
    </row>
    <row r="537" spans="1:6" x14ac:dyDescent="0.2">
      <c r="A537" s="30">
        <v>45885</v>
      </c>
      <c r="B537" s="28" t="s">
        <v>1717</v>
      </c>
      <c r="C537" s="28">
        <v>12.41</v>
      </c>
      <c r="D537" s="28" t="str">
        <f>_xlfn.XLOOKUP(B537,'Payee Ref'!A:A,'Payee Ref'!B:B,"unassigned",0,1)</f>
        <v>Travel</v>
      </c>
      <c r="E537" s="29" t="str">
        <f>_xlfn.XLOOKUP(B537,'Payee Ref'!A:A,'Payee Ref'!C:C,"unassigned",0,1)</f>
        <v>Luxury</v>
      </c>
      <c r="F537" s="28" t="s">
        <v>2207</v>
      </c>
    </row>
    <row r="538" spans="1:6" x14ac:dyDescent="0.2">
      <c r="A538" s="30">
        <v>45673</v>
      </c>
      <c r="B538" s="28" t="s">
        <v>2102</v>
      </c>
      <c r="C538" s="28">
        <v>12.5</v>
      </c>
      <c r="D538" s="28" t="str">
        <f>_xlfn.XLOOKUP(B538,'Payee Ref'!A:A,'Payee Ref'!B:B,"unassigned",0,1)</f>
        <v>Dining</v>
      </c>
      <c r="E538" s="29" t="str">
        <f>_xlfn.XLOOKUP(B538,'Payee Ref'!A:A,'Payee Ref'!C:C,"unassigned",0,1)</f>
        <v>Luxury</v>
      </c>
      <c r="F538" s="28" t="s">
        <v>2207</v>
      </c>
    </row>
    <row r="539" spans="1:6" x14ac:dyDescent="0.2">
      <c r="A539" s="30">
        <v>45812</v>
      </c>
      <c r="B539" s="28" t="s">
        <v>1953</v>
      </c>
      <c r="C539" s="28">
        <v>12.51</v>
      </c>
      <c r="D539" s="28" t="str">
        <f>_xlfn.XLOOKUP(B539,'Payee Ref'!A:A,'Payee Ref'!B:B,"unassigned",0,1)</f>
        <v>Dining</v>
      </c>
      <c r="E539" s="29" t="str">
        <f>_xlfn.XLOOKUP(B539,'Payee Ref'!A:A,'Payee Ref'!C:C,"unassigned",0,1)</f>
        <v>Luxury</v>
      </c>
      <c r="F539" s="28" t="s">
        <v>2207</v>
      </c>
    </row>
    <row r="540" spans="1:6" x14ac:dyDescent="0.2">
      <c r="A540" s="30">
        <v>45739</v>
      </c>
      <c r="B540" s="32" t="s">
        <v>2071</v>
      </c>
      <c r="C540" s="28">
        <v>12.57</v>
      </c>
      <c r="D540" s="28" t="str">
        <f>_xlfn.XLOOKUP(B540,'Payee Ref'!A:A,'Payee Ref'!B:B,"unassigned",0,1)</f>
        <v>Home &amp; Garden</v>
      </c>
      <c r="E540" s="29" t="str">
        <f>_xlfn.XLOOKUP(B540,'Payee Ref'!A:A,'Payee Ref'!C:C,"unassigned",0,1)</f>
        <v>Basic</v>
      </c>
      <c r="F540" s="28" t="s">
        <v>2207</v>
      </c>
    </row>
    <row r="541" spans="1:6" x14ac:dyDescent="0.2">
      <c r="A541" s="30">
        <v>45698</v>
      </c>
      <c r="B541" s="28" t="s">
        <v>1575</v>
      </c>
      <c r="C541" s="28">
        <v>12.58</v>
      </c>
      <c r="D541" s="28" t="str">
        <f>_xlfn.XLOOKUP(B541,'Payee Ref'!A:A,'Payee Ref'!B:B,"unassigned",0,1)</f>
        <v>Travel</v>
      </c>
      <c r="E541" s="29" t="str">
        <f>_xlfn.XLOOKUP(B541,'Payee Ref'!A:A,'Payee Ref'!C:C,"unassigned",0,1)</f>
        <v>Luxury</v>
      </c>
      <c r="F541" s="28" t="s">
        <v>2207</v>
      </c>
    </row>
    <row r="542" spans="1:6" x14ac:dyDescent="0.2">
      <c r="A542" s="30">
        <v>45680</v>
      </c>
      <c r="B542" s="28" t="s">
        <v>1619</v>
      </c>
      <c r="C542" s="28">
        <v>12.58</v>
      </c>
      <c r="D542" s="28" t="str">
        <f>_xlfn.XLOOKUP(B542,'Payee Ref'!A:A,'Payee Ref'!B:B,"unassigned",0,1)</f>
        <v>Travel</v>
      </c>
      <c r="E542" s="29" t="str">
        <f>_xlfn.XLOOKUP(B542,'Payee Ref'!A:A,'Payee Ref'!C:C,"unassigned",0,1)</f>
        <v>Luxury</v>
      </c>
      <c r="F542" s="28" t="s">
        <v>2207</v>
      </c>
    </row>
    <row r="543" spans="1:6" x14ac:dyDescent="0.2">
      <c r="A543" s="30">
        <v>45722</v>
      </c>
      <c r="B543" s="28" t="s">
        <v>2024</v>
      </c>
      <c r="C543" s="28">
        <v>12.61</v>
      </c>
      <c r="D543" s="28" t="str">
        <f>_xlfn.XLOOKUP(B543,'Payee Ref'!A:A,'Payee Ref'!B:B,"unassigned",0,1)</f>
        <v>Groceries</v>
      </c>
      <c r="E543" s="29" t="str">
        <f>_xlfn.XLOOKUP(B543,'Payee Ref'!A:A,'Payee Ref'!C:C,"unassigned",0,1)</f>
        <v>Luxury</v>
      </c>
      <c r="F543" s="28" t="s">
        <v>2207</v>
      </c>
    </row>
    <row r="544" spans="1:6" x14ac:dyDescent="0.2">
      <c r="A544" s="30">
        <v>45733</v>
      </c>
      <c r="B544" s="28" t="s">
        <v>1952</v>
      </c>
      <c r="C544" s="28">
        <v>12.62</v>
      </c>
      <c r="D544" s="28" t="str">
        <f>_xlfn.XLOOKUP(B544,'Payee Ref'!A:A,'Payee Ref'!B:B,"unassigned",0,1)</f>
        <v>Groceries</v>
      </c>
      <c r="E544" s="29" t="str">
        <f>_xlfn.XLOOKUP(B544,'Payee Ref'!A:A,'Payee Ref'!C:C,"unassigned",0,1)</f>
        <v>Basic</v>
      </c>
      <c r="F544" s="28" t="s">
        <v>2207</v>
      </c>
    </row>
    <row r="545" spans="1:6" x14ac:dyDescent="0.2">
      <c r="A545" s="30">
        <v>45810</v>
      </c>
      <c r="B545" s="28" t="s">
        <v>1965</v>
      </c>
      <c r="C545" s="28">
        <v>12.64</v>
      </c>
      <c r="D545" s="28" t="str">
        <f>_xlfn.XLOOKUP(B545,'Payee Ref'!A:A,'Payee Ref'!B:B,"unassigned",0,1)</f>
        <v>Dining</v>
      </c>
      <c r="E545" s="29" t="str">
        <f>_xlfn.XLOOKUP(B545,'Payee Ref'!A:A,'Payee Ref'!C:C,"unassigned",0,1)</f>
        <v>Luxury</v>
      </c>
      <c r="F545" s="28" t="s">
        <v>2207</v>
      </c>
    </row>
    <row r="546" spans="1:6" x14ac:dyDescent="0.2">
      <c r="A546" s="30">
        <v>45690</v>
      </c>
      <c r="B546" s="28" t="s">
        <v>2138</v>
      </c>
      <c r="C546" s="28">
        <v>12.67</v>
      </c>
      <c r="D546" s="28" t="str">
        <f>_xlfn.XLOOKUP(B546,'Payee Ref'!A:A,'Payee Ref'!B:B,"unassigned",0,1)</f>
        <v>Travel</v>
      </c>
      <c r="E546" s="29" t="str">
        <f>_xlfn.XLOOKUP(B546,'Payee Ref'!A:A,'Payee Ref'!C:C,"unassigned",0,1)</f>
        <v>Luxury</v>
      </c>
      <c r="F546" s="28" t="s">
        <v>2207</v>
      </c>
    </row>
    <row r="547" spans="1:6" x14ac:dyDescent="0.2">
      <c r="A547" s="30">
        <v>45918</v>
      </c>
      <c r="B547" s="28" t="s">
        <v>1641</v>
      </c>
      <c r="C547" s="28">
        <v>12.67</v>
      </c>
      <c r="D547" s="28" t="str">
        <f>_xlfn.XLOOKUP(B547,'Payee Ref'!A:A,'Payee Ref'!B:B,"unassigned",0,1)</f>
        <v>unassigned</v>
      </c>
      <c r="E547" s="29" t="str">
        <f>_xlfn.XLOOKUP(B547,'Payee Ref'!A:A,'Payee Ref'!C:C,"unassigned",0,1)</f>
        <v>unassigned</v>
      </c>
      <c r="F547" s="28" t="s">
        <v>2207</v>
      </c>
    </row>
    <row r="548" spans="1:6" x14ac:dyDescent="0.2">
      <c r="A548" s="30">
        <v>45782</v>
      </c>
      <c r="B548" s="28" t="s">
        <v>1796</v>
      </c>
      <c r="C548" s="28">
        <v>12.7</v>
      </c>
      <c r="D548" s="28" t="str">
        <f>_xlfn.XLOOKUP(B548,'Payee Ref'!A:A,'Payee Ref'!B:B,"unassigned",0,1)</f>
        <v>Dining</v>
      </c>
      <c r="E548" s="29" t="str">
        <f>_xlfn.XLOOKUP(B548,'Payee Ref'!A:A,'Payee Ref'!C:C,"unassigned",0,1)</f>
        <v>Luxury</v>
      </c>
      <c r="F548" s="28" t="s">
        <v>2207</v>
      </c>
    </row>
    <row r="549" spans="1:6" x14ac:dyDescent="0.2">
      <c r="A549" s="30">
        <v>45830</v>
      </c>
      <c r="B549" s="28" t="s">
        <v>1912</v>
      </c>
      <c r="C549" s="28">
        <v>12.7</v>
      </c>
      <c r="D549" s="28" t="str">
        <f>_xlfn.XLOOKUP(B549,'Payee Ref'!A:A,'Payee Ref'!B:B,"unassigned",0,1)</f>
        <v>Travel</v>
      </c>
      <c r="E549" s="29" t="str">
        <f>_xlfn.XLOOKUP(B549,'Payee Ref'!A:A,'Payee Ref'!C:C,"unassigned",0,1)</f>
        <v>Luxury</v>
      </c>
      <c r="F549" s="28" t="s">
        <v>2207</v>
      </c>
    </row>
    <row r="550" spans="1:6" x14ac:dyDescent="0.2">
      <c r="A550" s="30">
        <v>45829</v>
      </c>
      <c r="B550" s="28" t="s">
        <v>1921</v>
      </c>
      <c r="C550" s="28">
        <v>12.75</v>
      </c>
      <c r="D550" s="28" t="str">
        <f>_xlfn.XLOOKUP(B550,'Payee Ref'!A:A,'Payee Ref'!B:B,"unassigned",0,1)</f>
        <v>Travel</v>
      </c>
      <c r="E550" s="29" t="str">
        <f>_xlfn.XLOOKUP(B550,'Payee Ref'!A:A,'Payee Ref'!C:C,"unassigned",0,1)</f>
        <v>Luxury</v>
      </c>
      <c r="F550" s="28" t="s">
        <v>2207</v>
      </c>
    </row>
    <row r="551" spans="1:6" x14ac:dyDescent="0.2">
      <c r="A551" s="30">
        <v>45897</v>
      </c>
      <c r="B551" s="28" t="s">
        <v>1682</v>
      </c>
      <c r="C551" s="28">
        <v>12.79</v>
      </c>
      <c r="D551" s="28" t="str">
        <f>_xlfn.XLOOKUP(B551,'Payee Ref'!A:A,'Payee Ref'!B:B,"unassigned",0,1)</f>
        <v>unassigned</v>
      </c>
      <c r="E551" s="29" t="str">
        <f>_xlfn.XLOOKUP(B551,'Payee Ref'!A:A,'Payee Ref'!C:C,"unassigned",0,1)</f>
        <v>unassigned</v>
      </c>
      <c r="F551" s="28" t="s">
        <v>2207</v>
      </c>
    </row>
    <row r="552" spans="1:6" x14ac:dyDescent="0.2">
      <c r="A552" s="30">
        <v>45903</v>
      </c>
      <c r="B552" s="28" t="s">
        <v>1588</v>
      </c>
      <c r="C552" s="28">
        <v>12.85</v>
      </c>
      <c r="D552" s="28" t="str">
        <f>_xlfn.XLOOKUP(B552,'Payee Ref'!A:A,'Payee Ref'!B:B,"unassigned",0,1)</f>
        <v>Groceries</v>
      </c>
      <c r="E552" s="29" t="str">
        <f>_xlfn.XLOOKUP(B552,'Payee Ref'!A:A,'Payee Ref'!C:C,"unassigned",0,1)</f>
        <v>Basic</v>
      </c>
      <c r="F552" s="28" t="s">
        <v>2207</v>
      </c>
    </row>
    <row r="553" spans="1:6" x14ac:dyDescent="0.2">
      <c r="A553" s="30">
        <v>45739</v>
      </c>
      <c r="B553" s="32" t="s">
        <v>2076</v>
      </c>
      <c r="C553" s="28">
        <v>12.88</v>
      </c>
      <c r="D553" s="28" t="str">
        <f>_xlfn.XLOOKUP(B553,'Payee Ref'!A:A,'Payee Ref'!B:B,"unassigned",0,1)</f>
        <v>Home &amp; Garden</v>
      </c>
      <c r="E553" s="29" t="str">
        <f>_xlfn.XLOOKUP(B553,'Payee Ref'!A:A,'Payee Ref'!C:C,"unassigned",0,1)</f>
        <v>Basic</v>
      </c>
      <c r="F553" s="28" t="s">
        <v>2207</v>
      </c>
    </row>
    <row r="554" spans="1:6" x14ac:dyDescent="0.2">
      <c r="A554" s="30">
        <v>45673</v>
      </c>
      <c r="B554" s="28" t="s">
        <v>1702</v>
      </c>
      <c r="C554" s="28">
        <v>12.92</v>
      </c>
      <c r="D554" s="28" t="str">
        <f>_xlfn.XLOOKUP(B554,'Payee Ref'!A:A,'Payee Ref'!B:B,"unassigned",0,1)</f>
        <v>Dining</v>
      </c>
      <c r="E554" s="29" t="str">
        <f>_xlfn.XLOOKUP(B554,'Payee Ref'!A:A,'Payee Ref'!C:C,"unassigned",0,1)</f>
        <v>Luxury</v>
      </c>
      <c r="F554" s="28" t="s">
        <v>2207</v>
      </c>
    </row>
    <row r="555" spans="1:6" x14ac:dyDescent="0.2">
      <c r="A555" s="30">
        <v>45728</v>
      </c>
      <c r="B555" s="28" t="s">
        <v>1578</v>
      </c>
      <c r="C555" s="28">
        <v>12.94</v>
      </c>
      <c r="D555" s="28" t="str">
        <f>_xlfn.XLOOKUP(B555,'Payee Ref'!A:A,'Payee Ref'!B:B,"unassigned",0,1)</f>
        <v>Dining</v>
      </c>
      <c r="E555" s="29" t="str">
        <f>_xlfn.XLOOKUP(B555,'Payee Ref'!A:A,'Payee Ref'!C:C,"unassigned",0,1)</f>
        <v>Luxury</v>
      </c>
      <c r="F555" s="28" t="s">
        <v>2207</v>
      </c>
    </row>
    <row r="556" spans="1:6" x14ac:dyDescent="0.2">
      <c r="A556" s="30">
        <v>45868</v>
      </c>
      <c r="B556" s="28" t="s">
        <v>1775</v>
      </c>
      <c r="C556" s="28">
        <v>12.95</v>
      </c>
      <c r="D556" s="28" t="str">
        <f>_xlfn.XLOOKUP(B556,'Payee Ref'!A:A,'Payee Ref'!B:B,"unassigned",0,1)</f>
        <v>unassigned</v>
      </c>
      <c r="E556" s="29" t="str">
        <f>_xlfn.XLOOKUP(B556,'Payee Ref'!A:A,'Payee Ref'!C:C,"unassigned",0,1)</f>
        <v>unassigned</v>
      </c>
      <c r="F556" s="28" t="s">
        <v>2207</v>
      </c>
    </row>
    <row r="557" spans="1:6" x14ac:dyDescent="0.2">
      <c r="A557" s="30">
        <v>45843</v>
      </c>
      <c r="B557" s="28" t="s">
        <v>1587</v>
      </c>
      <c r="C557" s="28">
        <v>12.98</v>
      </c>
      <c r="D557" s="28" t="str">
        <f>_xlfn.XLOOKUP(B557,'Payee Ref'!A:A,'Payee Ref'!B:B,"unassigned",0,1)</f>
        <v>Travel</v>
      </c>
      <c r="E557" s="29" t="str">
        <f>_xlfn.XLOOKUP(B557,'Payee Ref'!A:A,'Payee Ref'!C:C,"unassigned",0,1)</f>
        <v>Luxury</v>
      </c>
      <c r="F557" s="28" t="s">
        <v>2207</v>
      </c>
    </row>
    <row r="558" spans="1:6" x14ac:dyDescent="0.2">
      <c r="A558" s="30">
        <v>45926</v>
      </c>
      <c r="B558" s="28" t="s">
        <v>1534</v>
      </c>
      <c r="C558" s="28">
        <v>12.99</v>
      </c>
      <c r="D558" s="28" t="str">
        <f>_xlfn.XLOOKUP(B558,'Payee Ref'!A:A,'Payee Ref'!B:B,"unassigned",0,1)</f>
        <v>Dining</v>
      </c>
      <c r="E558" s="29" t="str">
        <f>_xlfn.XLOOKUP(B558,'Payee Ref'!A:A,'Payee Ref'!C:C,"unassigned",0,1)</f>
        <v>Luxury</v>
      </c>
      <c r="F558" s="28" t="s">
        <v>2207</v>
      </c>
    </row>
    <row r="559" spans="1:6" x14ac:dyDescent="0.2">
      <c r="A559" s="30">
        <v>45856</v>
      </c>
      <c r="B559" s="28" t="s">
        <v>1822</v>
      </c>
      <c r="C559" s="28">
        <v>12.99</v>
      </c>
      <c r="D559" s="28" t="str">
        <f>_xlfn.XLOOKUP(B559,'Payee Ref'!A:A,'Payee Ref'!B:B,"unassigned",0,1)</f>
        <v>Dining</v>
      </c>
      <c r="E559" s="29" t="str">
        <f>_xlfn.XLOOKUP(B559,'Payee Ref'!A:A,'Payee Ref'!C:C,"unassigned",0,1)</f>
        <v>Luxury</v>
      </c>
      <c r="F559" s="28" t="s">
        <v>2207</v>
      </c>
    </row>
    <row r="560" spans="1:6" x14ac:dyDescent="0.2">
      <c r="A560" s="30">
        <v>45813</v>
      </c>
      <c r="B560" s="28" t="s">
        <v>1957</v>
      </c>
      <c r="C560" s="28">
        <v>12.99</v>
      </c>
      <c r="D560" s="28" t="str">
        <f>_xlfn.XLOOKUP(B560,'Payee Ref'!A:A,'Payee Ref'!B:B,"unassigned",0,1)</f>
        <v>Dining</v>
      </c>
      <c r="E560" s="29" t="str">
        <f>_xlfn.XLOOKUP(B560,'Payee Ref'!A:A,'Payee Ref'!C:C,"unassigned",0,1)</f>
        <v>Luxury</v>
      </c>
      <c r="F560" s="28" t="s">
        <v>2207</v>
      </c>
    </row>
    <row r="561" spans="1:6" x14ac:dyDescent="0.2">
      <c r="A561" s="30">
        <v>45779</v>
      </c>
      <c r="B561" s="28" t="s">
        <v>1957</v>
      </c>
      <c r="C561" s="28">
        <v>12.99</v>
      </c>
      <c r="D561" s="28" t="str">
        <f>_xlfn.XLOOKUP(B561,'Payee Ref'!A:A,'Payee Ref'!B:B,"unassigned",0,1)</f>
        <v>Dining</v>
      </c>
      <c r="E561" s="29" t="str">
        <f>_xlfn.XLOOKUP(B561,'Payee Ref'!A:A,'Payee Ref'!C:C,"unassigned",0,1)</f>
        <v>Luxury</v>
      </c>
      <c r="F561" s="28" t="s">
        <v>2207</v>
      </c>
    </row>
    <row r="562" spans="1:6" x14ac:dyDescent="0.2">
      <c r="A562" s="30">
        <v>45724</v>
      </c>
      <c r="B562" s="28" t="s">
        <v>1587</v>
      </c>
      <c r="C562" s="28">
        <v>13</v>
      </c>
      <c r="D562" s="28" t="str">
        <f>_xlfn.XLOOKUP(B562,'Payee Ref'!A:A,'Payee Ref'!B:B,"unassigned",0,1)</f>
        <v>Travel</v>
      </c>
      <c r="E562" s="29" t="str">
        <f>_xlfn.XLOOKUP(B562,'Payee Ref'!A:A,'Payee Ref'!C:C,"unassigned",0,1)</f>
        <v>Luxury</v>
      </c>
      <c r="F562" s="28" t="s">
        <v>2207</v>
      </c>
    </row>
    <row r="563" spans="1:6" x14ac:dyDescent="0.2">
      <c r="A563" s="30">
        <v>45703</v>
      </c>
      <c r="B563" s="28" t="s">
        <v>1587</v>
      </c>
      <c r="C563" s="28">
        <v>13</v>
      </c>
      <c r="D563" s="28" t="str">
        <f>_xlfn.XLOOKUP(B563,'Payee Ref'!A:A,'Payee Ref'!B:B,"unassigned",0,1)</f>
        <v>Travel</v>
      </c>
      <c r="E563" s="29" t="str">
        <f>_xlfn.XLOOKUP(B563,'Payee Ref'!A:A,'Payee Ref'!C:C,"unassigned",0,1)</f>
        <v>Luxury</v>
      </c>
      <c r="F563" s="28" t="s">
        <v>2207</v>
      </c>
    </row>
    <row r="564" spans="1:6" x14ac:dyDescent="0.2">
      <c r="A564" s="30">
        <v>45795</v>
      </c>
      <c r="B564" s="28" t="s">
        <v>1991</v>
      </c>
      <c r="C564" s="28">
        <v>13</v>
      </c>
      <c r="D564" s="28" t="str">
        <f>_xlfn.XLOOKUP(B564,'Payee Ref'!A:A,'Payee Ref'!B:B,"unassigned",0,1)</f>
        <v>Groceries</v>
      </c>
      <c r="E564" s="29" t="str">
        <f>_xlfn.XLOOKUP(B564,'Payee Ref'!A:A,'Payee Ref'!C:C,"unassigned",0,1)</f>
        <v>Basic</v>
      </c>
      <c r="F564" s="28" t="s">
        <v>2207</v>
      </c>
    </row>
    <row r="565" spans="1:6" x14ac:dyDescent="0.2">
      <c r="A565" s="30">
        <v>45989</v>
      </c>
      <c r="B565" s="28" t="s">
        <v>1520</v>
      </c>
      <c r="C565" s="28">
        <v>13.09</v>
      </c>
      <c r="D565" s="28" t="str">
        <f>_xlfn.XLOOKUP(B565,'Payee Ref'!A:A,'Payee Ref'!B:B,"unassigned",0,1)</f>
        <v>unassigned</v>
      </c>
      <c r="E565" s="29" t="str">
        <f>_xlfn.XLOOKUP(B565,'Payee Ref'!A:A,'Payee Ref'!C:C,"unassigned",0,1)</f>
        <v>unassigned</v>
      </c>
      <c r="F565" s="28" t="s">
        <v>2207</v>
      </c>
    </row>
    <row r="566" spans="1:6" x14ac:dyDescent="0.2">
      <c r="A566" s="30">
        <v>45867</v>
      </c>
      <c r="B566" s="28" t="s">
        <v>1785</v>
      </c>
      <c r="C566" s="28">
        <v>13.11</v>
      </c>
      <c r="D566" s="28" t="str">
        <f>_xlfn.XLOOKUP(B566,'Payee Ref'!A:A,'Payee Ref'!B:B,"unassigned",0,1)</f>
        <v>unassigned</v>
      </c>
      <c r="E566" s="29" t="str">
        <f>_xlfn.XLOOKUP(B566,'Payee Ref'!A:A,'Payee Ref'!C:C,"unassigned",0,1)</f>
        <v>unassigned</v>
      </c>
      <c r="F566" s="28" t="s">
        <v>2207</v>
      </c>
    </row>
    <row r="567" spans="1:6" x14ac:dyDescent="0.2">
      <c r="A567" s="30">
        <v>45821</v>
      </c>
      <c r="B567" s="28" t="s">
        <v>1587</v>
      </c>
      <c r="C567" s="28">
        <v>13.12</v>
      </c>
      <c r="D567" s="28" t="str">
        <f>_xlfn.XLOOKUP(B567,'Payee Ref'!A:A,'Payee Ref'!B:B,"unassigned",0,1)</f>
        <v>Travel</v>
      </c>
      <c r="E567" s="29" t="str">
        <f>_xlfn.XLOOKUP(B567,'Payee Ref'!A:A,'Payee Ref'!C:C,"unassigned",0,1)</f>
        <v>Luxury</v>
      </c>
      <c r="F567" s="28" t="s">
        <v>2207</v>
      </c>
    </row>
    <row r="568" spans="1:6" x14ac:dyDescent="0.2">
      <c r="A568" s="30">
        <v>45773</v>
      </c>
      <c r="B568" s="28" t="s">
        <v>1587</v>
      </c>
      <c r="C568" s="28">
        <v>13.12</v>
      </c>
      <c r="D568" s="28" t="str">
        <f>_xlfn.XLOOKUP(B568,'Payee Ref'!A:A,'Payee Ref'!B:B,"unassigned",0,1)</f>
        <v>Travel</v>
      </c>
      <c r="E568" s="29" t="str">
        <f>_xlfn.XLOOKUP(B568,'Payee Ref'!A:A,'Payee Ref'!C:C,"unassigned",0,1)</f>
        <v>Luxury</v>
      </c>
      <c r="F568" s="28" t="s">
        <v>2207</v>
      </c>
    </row>
    <row r="569" spans="1:6" x14ac:dyDescent="0.2">
      <c r="A569" s="30">
        <v>45926</v>
      </c>
      <c r="B569" s="28" t="s">
        <v>1620</v>
      </c>
      <c r="C569" s="28">
        <v>13.13</v>
      </c>
      <c r="D569" s="28" t="str">
        <f>_xlfn.XLOOKUP(B569,'Payee Ref'!A:A,'Payee Ref'!B:B,"unassigned",0,1)</f>
        <v>Dining</v>
      </c>
      <c r="E569" s="29" t="str">
        <f>_xlfn.XLOOKUP(B569,'Payee Ref'!A:A,'Payee Ref'!C:C,"unassigned",0,1)</f>
        <v>Luxury</v>
      </c>
      <c r="F569" s="28" t="s">
        <v>2207</v>
      </c>
    </row>
    <row r="570" spans="1:6" x14ac:dyDescent="0.2">
      <c r="A570" s="30">
        <v>45662</v>
      </c>
      <c r="B570" s="28" t="s">
        <v>2187</v>
      </c>
      <c r="C570" s="28">
        <v>13.16</v>
      </c>
      <c r="D570" s="28" t="str">
        <f>_xlfn.XLOOKUP(B570,'Payee Ref'!A:A,'Payee Ref'!B:B,"unassigned",0,1)</f>
        <v>Dining</v>
      </c>
      <c r="E570" s="29" t="str">
        <f>_xlfn.XLOOKUP(B570,'Payee Ref'!A:A,'Payee Ref'!C:C,"unassigned",0,1)</f>
        <v>Luxury</v>
      </c>
      <c r="F570" s="28" t="s">
        <v>2207</v>
      </c>
    </row>
    <row r="571" spans="1:6" x14ac:dyDescent="0.2">
      <c r="A571" s="30">
        <v>45772</v>
      </c>
      <c r="B571" s="28" t="s">
        <v>1952</v>
      </c>
      <c r="C571" s="28">
        <v>13.17</v>
      </c>
      <c r="D571" s="28" t="str">
        <f>_xlfn.XLOOKUP(B571,'Payee Ref'!A:A,'Payee Ref'!B:B,"unassigned",0,1)</f>
        <v>Groceries</v>
      </c>
      <c r="E571" s="29" t="str">
        <f>_xlfn.XLOOKUP(B571,'Payee Ref'!A:A,'Payee Ref'!C:C,"unassigned",0,1)</f>
        <v>Basic</v>
      </c>
      <c r="F571" s="28" t="s">
        <v>2207</v>
      </c>
    </row>
    <row r="572" spans="1:6" x14ac:dyDescent="0.2">
      <c r="A572" s="30">
        <v>45821</v>
      </c>
      <c r="B572" s="28" t="s">
        <v>1588</v>
      </c>
      <c r="C572" s="28">
        <v>13.23</v>
      </c>
      <c r="D572" s="28" t="str">
        <f>_xlfn.XLOOKUP(B572,'Payee Ref'!A:A,'Payee Ref'!B:B,"unassigned",0,1)</f>
        <v>Groceries</v>
      </c>
      <c r="E572" s="29" t="str">
        <f>_xlfn.XLOOKUP(B572,'Payee Ref'!A:A,'Payee Ref'!C:C,"unassigned",0,1)</f>
        <v>Basic</v>
      </c>
      <c r="F572" s="28" t="s">
        <v>2207</v>
      </c>
    </row>
    <row r="573" spans="1:6" x14ac:dyDescent="0.2">
      <c r="A573" s="30">
        <v>45924</v>
      </c>
      <c r="B573" s="28" t="s">
        <v>1627</v>
      </c>
      <c r="C573" s="28">
        <v>13.25</v>
      </c>
      <c r="D573" s="28" t="str">
        <f>_xlfn.XLOOKUP(B573,'Payee Ref'!A:A,'Payee Ref'!B:B,"unassigned",0,1)</f>
        <v>Auto</v>
      </c>
      <c r="E573" s="29" t="str">
        <f>_xlfn.XLOOKUP(B573,'Payee Ref'!A:A,'Payee Ref'!C:C,"unassigned",0,1)</f>
        <v>Basic</v>
      </c>
      <c r="F573" s="28" t="s">
        <v>2207</v>
      </c>
    </row>
    <row r="574" spans="1:6" x14ac:dyDescent="0.2">
      <c r="A574" s="30">
        <v>45867</v>
      </c>
      <c r="B574" s="28" t="s">
        <v>1784</v>
      </c>
      <c r="C574" s="28">
        <v>13.29</v>
      </c>
      <c r="D574" s="28" t="str">
        <f>_xlfn.XLOOKUP(B574,'Payee Ref'!A:A,'Payee Ref'!B:B,"unassigned",0,1)</f>
        <v>unassigned</v>
      </c>
      <c r="E574" s="29" t="str">
        <f>_xlfn.XLOOKUP(B574,'Payee Ref'!A:A,'Payee Ref'!C:C,"unassigned",0,1)</f>
        <v>unassigned</v>
      </c>
      <c r="F574" s="28" t="s">
        <v>2207</v>
      </c>
    </row>
    <row r="575" spans="1:6" x14ac:dyDescent="0.2">
      <c r="A575" s="30">
        <v>45880</v>
      </c>
      <c r="B575" s="28" t="s">
        <v>1619</v>
      </c>
      <c r="C575" s="28">
        <v>13.41</v>
      </c>
      <c r="D575" s="28" t="str">
        <f>_xlfn.XLOOKUP(B575,'Payee Ref'!A:A,'Payee Ref'!B:B,"unassigned",0,1)</f>
        <v>Travel</v>
      </c>
      <c r="E575" s="29" t="str">
        <f>_xlfn.XLOOKUP(B575,'Payee Ref'!A:A,'Payee Ref'!C:C,"unassigned",0,1)</f>
        <v>Luxury</v>
      </c>
      <c r="F575" s="28" t="s">
        <v>2207</v>
      </c>
    </row>
    <row r="576" spans="1:6" x14ac:dyDescent="0.2">
      <c r="A576" s="30">
        <v>45935</v>
      </c>
      <c r="B576" s="28" t="s">
        <v>454</v>
      </c>
      <c r="C576" s="28">
        <v>13.44</v>
      </c>
      <c r="D576" s="28" t="str">
        <f>_xlfn.XLOOKUP(B576,'Payee Ref'!A:A,'Payee Ref'!B:B,"unassigned",0,1)</f>
        <v>Dining</v>
      </c>
      <c r="E576" s="29" t="str">
        <f>_xlfn.XLOOKUP(B576,'Payee Ref'!A:A,'Payee Ref'!C:C,"unassigned",0,1)</f>
        <v>Luxury</v>
      </c>
      <c r="F576" s="28" t="s">
        <v>2207</v>
      </c>
    </row>
    <row r="577" spans="1:6" x14ac:dyDescent="0.2">
      <c r="A577" s="30">
        <v>45862</v>
      </c>
      <c r="B577" s="28" t="s">
        <v>1697</v>
      </c>
      <c r="C577" s="28">
        <v>13.48</v>
      </c>
      <c r="D577" s="28" t="str">
        <f>_xlfn.XLOOKUP(B577,'Payee Ref'!A:A,'Payee Ref'!B:B,"unassigned",0,1)</f>
        <v>Dining</v>
      </c>
      <c r="E577" s="29" t="str">
        <f>_xlfn.XLOOKUP(B577,'Payee Ref'!A:A,'Payee Ref'!C:C,"unassigned",0,1)</f>
        <v>Luxury</v>
      </c>
      <c r="F577" s="28" t="s">
        <v>2207</v>
      </c>
    </row>
    <row r="578" spans="1:6" x14ac:dyDescent="0.2">
      <c r="A578" s="30">
        <v>45855</v>
      </c>
      <c r="B578" s="28" t="s">
        <v>1702</v>
      </c>
      <c r="C578" s="28">
        <v>13.48</v>
      </c>
      <c r="D578" s="28" t="str">
        <f>_xlfn.XLOOKUP(B578,'Payee Ref'!A:A,'Payee Ref'!B:B,"unassigned",0,1)</f>
        <v>Dining</v>
      </c>
      <c r="E578" s="29" t="str">
        <f>_xlfn.XLOOKUP(B578,'Payee Ref'!A:A,'Payee Ref'!C:C,"unassigned",0,1)</f>
        <v>Luxury</v>
      </c>
      <c r="F578" s="28" t="s">
        <v>2207</v>
      </c>
    </row>
    <row r="579" spans="1:6" x14ac:dyDescent="0.2">
      <c r="A579" s="30">
        <v>45792</v>
      </c>
      <c r="B579" s="28" t="s">
        <v>1796</v>
      </c>
      <c r="C579" s="28">
        <v>13.52</v>
      </c>
      <c r="D579" s="28" t="str">
        <f>_xlfn.XLOOKUP(B579,'Payee Ref'!A:A,'Payee Ref'!B:B,"unassigned",0,1)</f>
        <v>Dining</v>
      </c>
      <c r="E579" s="29" t="str">
        <f>_xlfn.XLOOKUP(B579,'Payee Ref'!A:A,'Payee Ref'!C:C,"unassigned",0,1)</f>
        <v>Luxury</v>
      </c>
      <c r="F579" s="28" t="s">
        <v>2207</v>
      </c>
    </row>
    <row r="580" spans="1:6" x14ac:dyDescent="0.2">
      <c r="A580" s="30">
        <v>45797</v>
      </c>
      <c r="B580" s="28" t="s">
        <v>1952</v>
      </c>
      <c r="C580" s="28">
        <v>13.54</v>
      </c>
      <c r="D580" s="28" t="str">
        <f>_xlfn.XLOOKUP(B580,'Payee Ref'!A:A,'Payee Ref'!B:B,"unassigned",0,1)</f>
        <v>Groceries</v>
      </c>
      <c r="E580" s="29" t="str">
        <f>_xlfn.XLOOKUP(B580,'Payee Ref'!A:A,'Payee Ref'!C:C,"unassigned",0,1)</f>
        <v>Basic</v>
      </c>
      <c r="F580" s="28" t="s">
        <v>2207</v>
      </c>
    </row>
    <row r="581" spans="1:6" x14ac:dyDescent="0.2">
      <c r="A581" s="30">
        <v>45772</v>
      </c>
      <c r="B581" s="28" t="s">
        <v>1952</v>
      </c>
      <c r="C581" s="28">
        <v>13.56</v>
      </c>
      <c r="D581" s="28" t="str">
        <f>_xlfn.XLOOKUP(B581,'Payee Ref'!A:A,'Payee Ref'!B:B,"unassigned",0,1)</f>
        <v>Groceries</v>
      </c>
      <c r="E581" s="29" t="str">
        <f>_xlfn.XLOOKUP(B581,'Payee Ref'!A:A,'Payee Ref'!C:C,"unassigned",0,1)</f>
        <v>Basic</v>
      </c>
      <c r="F581" s="28" t="s">
        <v>2207</v>
      </c>
    </row>
    <row r="582" spans="1:6" x14ac:dyDescent="0.2">
      <c r="A582" s="30">
        <v>45867</v>
      </c>
      <c r="B582" s="28" t="s">
        <v>1763</v>
      </c>
      <c r="C582" s="28">
        <v>13.56</v>
      </c>
      <c r="D582" s="28" t="str">
        <f>_xlfn.XLOOKUP(B582,'Payee Ref'!A:A,'Payee Ref'!B:B,"unassigned",0,1)</f>
        <v>unassigned</v>
      </c>
      <c r="E582" s="29" t="str">
        <f>_xlfn.XLOOKUP(B582,'Payee Ref'!A:A,'Payee Ref'!C:C,"unassigned",0,1)</f>
        <v>unassigned</v>
      </c>
      <c r="F582" s="28" t="s">
        <v>2207</v>
      </c>
    </row>
    <row r="583" spans="1:6" x14ac:dyDescent="0.2">
      <c r="A583" s="30">
        <v>45768</v>
      </c>
      <c r="B583" s="28" t="s">
        <v>2029</v>
      </c>
      <c r="C583" s="28">
        <v>13.58</v>
      </c>
      <c r="D583" s="28" t="str">
        <f>_xlfn.XLOOKUP(B583,'Payee Ref'!A:A,'Payee Ref'!B:B,"unassigned",0,1)</f>
        <v>Home &amp; Garden</v>
      </c>
      <c r="E583" s="29" t="str">
        <f>_xlfn.XLOOKUP(B583,'Payee Ref'!A:A,'Payee Ref'!C:C,"unassigned",0,1)</f>
        <v>Basic</v>
      </c>
      <c r="F583" s="28" t="s">
        <v>2207</v>
      </c>
    </row>
    <row r="584" spans="1:6" x14ac:dyDescent="0.2">
      <c r="A584" s="30">
        <v>45702</v>
      </c>
      <c r="B584" s="28" t="s">
        <v>1952</v>
      </c>
      <c r="C584" s="28">
        <v>13.6</v>
      </c>
      <c r="D584" s="28" t="str">
        <f>_xlfn.XLOOKUP(B584,'Payee Ref'!A:A,'Payee Ref'!B:B,"unassigned",0,1)</f>
        <v>Groceries</v>
      </c>
      <c r="E584" s="29" t="str">
        <f>_xlfn.XLOOKUP(B584,'Payee Ref'!A:A,'Payee Ref'!C:C,"unassigned",0,1)</f>
        <v>Basic</v>
      </c>
      <c r="F584" s="28" t="s">
        <v>2207</v>
      </c>
    </row>
    <row r="585" spans="1:6" x14ac:dyDescent="0.2">
      <c r="A585" s="30">
        <v>45698</v>
      </c>
      <c r="B585" s="28" t="s">
        <v>1952</v>
      </c>
      <c r="C585" s="28">
        <v>13.65</v>
      </c>
      <c r="D585" s="28" t="str">
        <f>_xlfn.XLOOKUP(B585,'Payee Ref'!A:A,'Payee Ref'!B:B,"unassigned",0,1)</f>
        <v>Groceries</v>
      </c>
      <c r="E585" s="29" t="str">
        <f>_xlfn.XLOOKUP(B585,'Payee Ref'!A:A,'Payee Ref'!C:C,"unassigned",0,1)</f>
        <v>Basic</v>
      </c>
      <c r="F585" s="28" t="s">
        <v>2207</v>
      </c>
    </row>
    <row r="586" spans="1:6" x14ac:dyDescent="0.2">
      <c r="A586" s="30">
        <v>45961</v>
      </c>
      <c r="B586" s="28" t="s">
        <v>336</v>
      </c>
      <c r="C586" s="28">
        <v>13.67</v>
      </c>
      <c r="D586" s="28" t="str">
        <f>_xlfn.XLOOKUP(B586,'Payee Ref'!A:A,'Payee Ref'!B:B,"unassigned",0,1)</f>
        <v>Dining</v>
      </c>
      <c r="E586" s="29" t="str">
        <f>_xlfn.XLOOKUP(B586,'Payee Ref'!A:A,'Payee Ref'!C:C,"unassigned",0,1)</f>
        <v>Luxury</v>
      </c>
      <c r="F586" s="28" t="s">
        <v>2207</v>
      </c>
    </row>
    <row r="587" spans="1:6" x14ac:dyDescent="0.2">
      <c r="A587" s="30">
        <v>45789</v>
      </c>
      <c r="B587" s="28" t="s">
        <v>1952</v>
      </c>
      <c r="C587" s="28">
        <v>13.67</v>
      </c>
      <c r="D587" s="28" t="str">
        <f>_xlfn.XLOOKUP(B587,'Payee Ref'!A:A,'Payee Ref'!B:B,"unassigned",0,1)</f>
        <v>Groceries</v>
      </c>
      <c r="E587" s="29" t="str">
        <f>_xlfn.XLOOKUP(B587,'Payee Ref'!A:A,'Payee Ref'!C:C,"unassigned",0,1)</f>
        <v>Basic</v>
      </c>
      <c r="F587" s="28" t="s">
        <v>2207</v>
      </c>
    </row>
    <row r="588" spans="1:6" x14ac:dyDescent="0.2">
      <c r="A588" s="30">
        <v>45662</v>
      </c>
      <c r="B588" s="28" t="s">
        <v>2185</v>
      </c>
      <c r="C588" s="28">
        <v>13.69</v>
      </c>
      <c r="D588" s="28" t="str">
        <f>_xlfn.XLOOKUP(B588,'Payee Ref'!A:A,'Payee Ref'!B:B,"unassigned",0,1)</f>
        <v>Dining</v>
      </c>
      <c r="E588" s="29" t="str">
        <f>_xlfn.XLOOKUP(B588,'Payee Ref'!A:A,'Payee Ref'!C:C,"unassigned",0,1)</f>
        <v>Luxury</v>
      </c>
      <c r="F588" s="28" t="s">
        <v>2207</v>
      </c>
    </row>
    <row r="589" spans="1:6" x14ac:dyDescent="0.2">
      <c r="A589" s="30">
        <v>45675</v>
      </c>
      <c r="B589" s="28" t="s">
        <v>2124</v>
      </c>
      <c r="C589" s="28">
        <v>13.74</v>
      </c>
      <c r="D589" s="28" t="str">
        <f>_xlfn.XLOOKUP(B589,'Payee Ref'!A:A,'Payee Ref'!B:B,"unassigned",0,1)</f>
        <v>Travel</v>
      </c>
      <c r="E589" s="29" t="str">
        <f>_xlfn.XLOOKUP(B589,'Payee Ref'!A:A,'Payee Ref'!C:C,"unassigned",0,1)</f>
        <v>Luxury</v>
      </c>
      <c r="F589" s="28" t="s">
        <v>2207</v>
      </c>
    </row>
    <row r="590" spans="1:6" x14ac:dyDescent="0.2">
      <c r="A590" s="30">
        <v>45913</v>
      </c>
      <c r="B590" s="28" t="s">
        <v>1647</v>
      </c>
      <c r="C590" s="28">
        <v>13.79</v>
      </c>
      <c r="D590" s="28" t="str">
        <f>_xlfn.XLOOKUP(B590,'Payee Ref'!A:A,'Payee Ref'!B:B,"unassigned",0,1)</f>
        <v>unassigned</v>
      </c>
      <c r="E590" s="29" t="str">
        <f>_xlfn.XLOOKUP(B590,'Payee Ref'!A:A,'Payee Ref'!C:C,"unassigned",0,1)</f>
        <v>unassigned</v>
      </c>
      <c r="F590" s="28" t="s">
        <v>2207</v>
      </c>
    </row>
    <row r="591" spans="1:6" x14ac:dyDescent="0.2">
      <c r="A591" s="30">
        <v>45801</v>
      </c>
      <c r="B591" s="28" t="s">
        <v>1979</v>
      </c>
      <c r="C591" s="28">
        <v>13.97</v>
      </c>
      <c r="D591" s="28" t="str">
        <f>_xlfn.XLOOKUP(B591,'Payee Ref'!A:A,'Payee Ref'!B:B,"unassigned",0,1)</f>
        <v>Groceries</v>
      </c>
      <c r="E591" s="29" t="str">
        <f>_xlfn.XLOOKUP(B591,'Payee Ref'!A:A,'Payee Ref'!C:C,"unassigned",0,1)</f>
        <v>Basic</v>
      </c>
      <c r="F591" s="28" t="s">
        <v>2207</v>
      </c>
    </row>
    <row r="592" spans="1:6" x14ac:dyDescent="0.2">
      <c r="A592" s="30">
        <v>45734</v>
      </c>
      <c r="B592" s="28" t="s">
        <v>2024</v>
      </c>
      <c r="C592" s="28">
        <v>13.97</v>
      </c>
      <c r="D592" s="28" t="str">
        <f>_xlfn.XLOOKUP(B592,'Payee Ref'!A:A,'Payee Ref'!B:B,"unassigned",0,1)</f>
        <v>Groceries</v>
      </c>
      <c r="E592" s="29" t="str">
        <f>_xlfn.XLOOKUP(B592,'Payee Ref'!A:A,'Payee Ref'!C:C,"unassigned",0,1)</f>
        <v>Luxury</v>
      </c>
      <c r="F592" s="28" t="s">
        <v>2207</v>
      </c>
    </row>
    <row r="593" spans="1:6" x14ac:dyDescent="0.2">
      <c r="A593" s="30">
        <v>45933</v>
      </c>
      <c r="B593" s="28" t="s">
        <v>562</v>
      </c>
      <c r="C593" s="28">
        <v>13.98</v>
      </c>
      <c r="D593" s="28" t="str">
        <f>_xlfn.XLOOKUP(B593,'Payee Ref'!A:A,'Payee Ref'!B:B,"unassigned",0,1)</f>
        <v>Groceries</v>
      </c>
      <c r="E593" s="29" t="str">
        <f>_xlfn.XLOOKUP(B593,'Payee Ref'!A:A,'Payee Ref'!C:C,"unassigned",0,1)</f>
        <v>Basic</v>
      </c>
      <c r="F593" s="28" t="s">
        <v>2207</v>
      </c>
    </row>
    <row r="594" spans="1:6" x14ac:dyDescent="0.2">
      <c r="A594" s="30">
        <v>45737</v>
      </c>
      <c r="B594" s="28" t="s">
        <v>1534</v>
      </c>
      <c r="C594" s="28">
        <v>13.99</v>
      </c>
      <c r="D594" s="28" t="str">
        <f>_xlfn.XLOOKUP(B594,'Payee Ref'!A:A,'Payee Ref'!B:B,"unassigned",0,1)</f>
        <v>Dining</v>
      </c>
      <c r="E594" s="29" t="str">
        <f>_xlfn.XLOOKUP(B594,'Payee Ref'!A:A,'Payee Ref'!C:C,"unassigned",0,1)</f>
        <v>Luxury</v>
      </c>
      <c r="F594" s="28" t="s">
        <v>2207</v>
      </c>
    </row>
    <row r="595" spans="1:6" x14ac:dyDescent="0.2">
      <c r="A595" s="30">
        <v>45986</v>
      </c>
      <c r="B595" s="28" t="s">
        <v>168</v>
      </c>
      <c r="C595" s="28">
        <v>13.99</v>
      </c>
      <c r="D595" s="28" t="str">
        <f>_xlfn.XLOOKUP(B595,'Payee Ref'!A:A,'Payee Ref'!B:B,"unassigned",0,1)</f>
        <v>Dining</v>
      </c>
      <c r="E595" s="29" t="str">
        <f>_xlfn.XLOOKUP(B595,'Payee Ref'!A:A,'Payee Ref'!C:C,"unassigned",0,1)</f>
        <v>Luxury</v>
      </c>
      <c r="F595" s="28" t="s">
        <v>2207</v>
      </c>
    </row>
    <row r="596" spans="1:6" x14ac:dyDescent="0.2">
      <c r="A596" s="30">
        <v>45758</v>
      </c>
      <c r="B596" s="28" t="s">
        <v>1587</v>
      </c>
      <c r="C596" s="28">
        <v>14</v>
      </c>
      <c r="D596" s="28" t="str">
        <f>_xlfn.XLOOKUP(B596,'Payee Ref'!A:A,'Payee Ref'!B:B,"unassigned",0,1)</f>
        <v>Travel</v>
      </c>
      <c r="E596" s="29" t="str">
        <f>_xlfn.XLOOKUP(B596,'Payee Ref'!A:A,'Payee Ref'!C:C,"unassigned",0,1)</f>
        <v>Luxury</v>
      </c>
      <c r="F596" s="28" t="s">
        <v>2207</v>
      </c>
    </row>
    <row r="597" spans="1:6" x14ac:dyDescent="0.2">
      <c r="A597" s="30">
        <v>45884</v>
      </c>
      <c r="B597" s="28" t="s">
        <v>1722</v>
      </c>
      <c r="C597" s="28">
        <v>14.06</v>
      </c>
      <c r="D597" s="28" t="str">
        <f>_xlfn.XLOOKUP(B597,'Payee Ref'!A:A,'Payee Ref'!B:B,"unassigned",0,1)</f>
        <v>unassigned</v>
      </c>
      <c r="E597" s="29" t="str">
        <f>_xlfn.XLOOKUP(B597,'Payee Ref'!A:A,'Payee Ref'!C:C,"unassigned",0,1)</f>
        <v>unassigned</v>
      </c>
      <c r="F597" s="28" t="s">
        <v>2207</v>
      </c>
    </row>
    <row r="598" spans="1:6" x14ac:dyDescent="0.2">
      <c r="A598" s="30">
        <v>45839</v>
      </c>
      <c r="B598" s="28" t="s">
        <v>1870</v>
      </c>
      <c r="C598" s="28">
        <v>14.07</v>
      </c>
      <c r="D598" s="28" t="str">
        <f>_xlfn.XLOOKUP(B598,'Payee Ref'!A:A,'Payee Ref'!B:B,"unassigned",0,1)</f>
        <v>Enrichment</v>
      </c>
      <c r="E598" s="29" t="str">
        <f>_xlfn.XLOOKUP(B598,'Payee Ref'!A:A,'Payee Ref'!C:C,"unassigned",0,1)</f>
        <v>Basic</v>
      </c>
      <c r="F598" s="28" t="s">
        <v>2207</v>
      </c>
    </row>
    <row r="599" spans="1:6" x14ac:dyDescent="0.2">
      <c r="A599" s="30">
        <v>45914</v>
      </c>
      <c r="B599" s="28" t="s">
        <v>1647</v>
      </c>
      <c r="C599" s="28">
        <v>14.07</v>
      </c>
      <c r="D599" s="28" t="str">
        <f>_xlfn.XLOOKUP(B599,'Payee Ref'!A:A,'Payee Ref'!B:B,"unassigned",0,1)</f>
        <v>unassigned</v>
      </c>
      <c r="E599" s="29" t="str">
        <f>_xlfn.XLOOKUP(B599,'Payee Ref'!A:A,'Payee Ref'!C:C,"unassigned",0,1)</f>
        <v>unassigned</v>
      </c>
      <c r="F599" s="28" t="s">
        <v>2207</v>
      </c>
    </row>
    <row r="600" spans="1:6" x14ac:dyDescent="0.2">
      <c r="A600" s="30">
        <v>45786</v>
      </c>
      <c r="B600" s="28" t="s">
        <v>1952</v>
      </c>
      <c r="C600" s="28">
        <v>14.09</v>
      </c>
      <c r="D600" s="28" t="str">
        <f>_xlfn.XLOOKUP(B600,'Payee Ref'!A:A,'Payee Ref'!B:B,"unassigned",0,1)</f>
        <v>Groceries</v>
      </c>
      <c r="E600" s="29" t="str">
        <f>_xlfn.XLOOKUP(B600,'Payee Ref'!A:A,'Payee Ref'!C:C,"unassigned",0,1)</f>
        <v>Basic</v>
      </c>
      <c r="F600" s="28" t="s">
        <v>2207</v>
      </c>
    </row>
    <row r="601" spans="1:6" x14ac:dyDescent="0.2">
      <c r="A601" s="30">
        <v>45728</v>
      </c>
      <c r="B601" s="28" t="s">
        <v>1593</v>
      </c>
      <c r="C601" s="28">
        <v>14.16</v>
      </c>
      <c r="D601" s="28" t="str">
        <f>_xlfn.XLOOKUP(B601,'Payee Ref'!A:A,'Payee Ref'!B:B,"unassigned",0,1)</f>
        <v>Auto</v>
      </c>
      <c r="E601" s="29" t="str">
        <f>_xlfn.XLOOKUP(B601,'Payee Ref'!A:A,'Payee Ref'!C:C,"unassigned",0,1)</f>
        <v>Basic</v>
      </c>
      <c r="F601" s="28" t="s">
        <v>2207</v>
      </c>
    </row>
    <row r="602" spans="1:6" x14ac:dyDescent="0.2">
      <c r="A602" s="30">
        <v>45752</v>
      </c>
      <c r="B602" s="28" t="s">
        <v>2050</v>
      </c>
      <c r="C602" s="28">
        <v>14.25</v>
      </c>
      <c r="D602" s="28" t="str">
        <f>_xlfn.XLOOKUP(B602,'Payee Ref'!A:A,'Payee Ref'!B:B,"unassigned",0,1)</f>
        <v>Travel</v>
      </c>
      <c r="E602" s="29" t="str">
        <f>_xlfn.XLOOKUP(B602,'Payee Ref'!A:A,'Payee Ref'!C:C,"unassigned",0,1)</f>
        <v>Luxury</v>
      </c>
      <c r="F602" s="28" t="s">
        <v>2207</v>
      </c>
    </row>
    <row r="603" spans="1:6" x14ac:dyDescent="0.2">
      <c r="A603" s="30">
        <v>45833</v>
      </c>
      <c r="B603" s="28" t="s">
        <v>1902</v>
      </c>
      <c r="C603" s="28">
        <v>14.31</v>
      </c>
      <c r="D603" s="28" t="str">
        <f>_xlfn.XLOOKUP(B603,'Payee Ref'!A:A,'Payee Ref'!B:B,"unassigned",0,1)</f>
        <v>Dining</v>
      </c>
      <c r="E603" s="29" t="str">
        <f>_xlfn.XLOOKUP(B603,'Payee Ref'!A:A,'Payee Ref'!C:C,"unassigned",0,1)</f>
        <v>Luxury</v>
      </c>
      <c r="F603" s="28" t="s">
        <v>2207</v>
      </c>
    </row>
    <row r="604" spans="1:6" x14ac:dyDescent="0.2">
      <c r="A604" s="30">
        <v>45847</v>
      </c>
      <c r="B604" s="28" t="s">
        <v>1536</v>
      </c>
      <c r="C604" s="28">
        <v>14.32</v>
      </c>
      <c r="D604" s="28" t="str">
        <f>_xlfn.XLOOKUP(B604,'Payee Ref'!A:A,'Payee Ref'!B:B,"unassigned",0,1)</f>
        <v>Groceries</v>
      </c>
      <c r="E604" s="29" t="str">
        <f>_xlfn.XLOOKUP(B604,'Payee Ref'!A:A,'Payee Ref'!C:C,"unassigned",0,1)</f>
        <v>Basic</v>
      </c>
      <c r="F604" s="28" t="s">
        <v>2207</v>
      </c>
    </row>
    <row r="605" spans="1:6" x14ac:dyDescent="0.2">
      <c r="A605" s="30">
        <v>45813</v>
      </c>
      <c r="B605" s="28" t="s">
        <v>1951</v>
      </c>
      <c r="C605" s="28">
        <v>14.33</v>
      </c>
      <c r="D605" s="28" t="str">
        <f>_xlfn.XLOOKUP(B605,'Payee Ref'!A:A,'Payee Ref'!B:B,"unassigned",0,1)</f>
        <v>Dining</v>
      </c>
      <c r="E605" s="29" t="str">
        <f>_xlfn.XLOOKUP(B605,'Payee Ref'!A:A,'Payee Ref'!C:C,"unassigned",0,1)</f>
        <v>Luxury</v>
      </c>
      <c r="F605" s="28" t="s">
        <v>2207</v>
      </c>
    </row>
    <row r="606" spans="1:6" x14ac:dyDescent="0.2">
      <c r="A606" s="30">
        <v>45979</v>
      </c>
      <c r="B606" s="28" t="s">
        <v>592</v>
      </c>
      <c r="C606" s="28">
        <v>14.33</v>
      </c>
      <c r="D606" s="28" t="str">
        <f>_xlfn.XLOOKUP(B606,'Payee Ref'!A:A,'Payee Ref'!B:B,"unassigned",0,1)</f>
        <v>Hardware Technology</v>
      </c>
      <c r="E606" s="29" t="str">
        <f>_xlfn.XLOOKUP(B606,'Payee Ref'!A:A,'Payee Ref'!C:C,"unassigned",0,1)</f>
        <v>Basic</v>
      </c>
      <c r="F606" s="28" t="s">
        <v>2207</v>
      </c>
    </row>
    <row r="607" spans="1:6" x14ac:dyDescent="0.2">
      <c r="A607" s="30">
        <v>45949</v>
      </c>
      <c r="B607" s="28" t="s">
        <v>592</v>
      </c>
      <c r="C607" s="28">
        <v>14.33</v>
      </c>
      <c r="D607" s="28" t="str">
        <f>_xlfn.XLOOKUP(B607,'Payee Ref'!A:A,'Payee Ref'!B:B,"unassigned",0,1)</f>
        <v>Hardware Technology</v>
      </c>
      <c r="E607" s="29" t="str">
        <f>_xlfn.XLOOKUP(B607,'Payee Ref'!A:A,'Payee Ref'!C:C,"unassigned",0,1)</f>
        <v>Basic</v>
      </c>
      <c r="F607" s="28" t="s">
        <v>2207</v>
      </c>
    </row>
    <row r="608" spans="1:6" x14ac:dyDescent="0.2">
      <c r="A608" s="30">
        <v>45885</v>
      </c>
      <c r="B608" s="28" t="s">
        <v>1716</v>
      </c>
      <c r="C608" s="28">
        <v>14.33</v>
      </c>
      <c r="D608" s="28" t="str">
        <f>_xlfn.XLOOKUP(B608,'Payee Ref'!A:A,'Payee Ref'!B:B,"unassigned",0,1)</f>
        <v>unassigned</v>
      </c>
      <c r="E608" s="29" t="str">
        <f>_xlfn.XLOOKUP(B608,'Payee Ref'!A:A,'Payee Ref'!C:C,"unassigned",0,1)</f>
        <v>unassigned</v>
      </c>
      <c r="F608" s="28" t="s">
        <v>2207</v>
      </c>
    </row>
    <row r="609" spans="1:6" x14ac:dyDescent="0.2">
      <c r="A609" s="30">
        <v>45881</v>
      </c>
      <c r="B609" s="28" t="s">
        <v>1726</v>
      </c>
      <c r="C609" s="28">
        <v>14.36</v>
      </c>
      <c r="D609" s="28" t="str">
        <f>_xlfn.XLOOKUP(B609,'Payee Ref'!A:A,'Payee Ref'!B:B,"unassigned",0,1)</f>
        <v>unassigned</v>
      </c>
      <c r="E609" s="29" t="str">
        <f>_xlfn.XLOOKUP(B609,'Payee Ref'!A:A,'Payee Ref'!C:C,"unassigned",0,1)</f>
        <v>unassigned</v>
      </c>
      <c r="F609" s="28" t="s">
        <v>2207</v>
      </c>
    </row>
    <row r="610" spans="1:6" x14ac:dyDescent="0.2">
      <c r="A610" s="30">
        <v>45883</v>
      </c>
      <c r="B610" s="28" t="s">
        <v>1726</v>
      </c>
      <c r="C610" s="28">
        <v>14.36</v>
      </c>
      <c r="D610" s="28" t="str">
        <f>_xlfn.XLOOKUP(B610,'Payee Ref'!A:A,'Payee Ref'!B:B,"unassigned",0,1)</f>
        <v>unassigned</v>
      </c>
      <c r="E610" s="29" t="str">
        <f>_xlfn.XLOOKUP(B610,'Payee Ref'!A:A,'Payee Ref'!C:C,"unassigned",0,1)</f>
        <v>unassigned</v>
      </c>
      <c r="F610" s="28" t="s">
        <v>2207</v>
      </c>
    </row>
    <row r="611" spans="1:6" x14ac:dyDescent="0.2">
      <c r="A611" s="30">
        <v>45793</v>
      </c>
      <c r="B611" s="28" t="s">
        <v>1952</v>
      </c>
      <c r="C611" s="28">
        <v>14.37</v>
      </c>
      <c r="D611" s="28" t="str">
        <f>_xlfn.XLOOKUP(B611,'Payee Ref'!A:A,'Payee Ref'!B:B,"unassigned",0,1)</f>
        <v>Groceries</v>
      </c>
      <c r="E611" s="29" t="str">
        <f>_xlfn.XLOOKUP(B611,'Payee Ref'!A:A,'Payee Ref'!C:C,"unassigned",0,1)</f>
        <v>Basic</v>
      </c>
      <c r="F611" s="28" t="s">
        <v>2207</v>
      </c>
    </row>
    <row r="612" spans="1:6" x14ac:dyDescent="0.2">
      <c r="A612" s="30">
        <v>45772</v>
      </c>
      <c r="B612" s="28" t="s">
        <v>2024</v>
      </c>
      <c r="C612" s="28">
        <v>14.38</v>
      </c>
      <c r="D612" s="28" t="str">
        <f>_xlfn.XLOOKUP(B612,'Payee Ref'!A:A,'Payee Ref'!B:B,"unassigned",0,1)</f>
        <v>Groceries</v>
      </c>
      <c r="E612" s="29" t="str">
        <f>_xlfn.XLOOKUP(B612,'Payee Ref'!A:A,'Payee Ref'!C:C,"unassigned",0,1)</f>
        <v>Luxury</v>
      </c>
      <c r="F612" s="28" t="s">
        <v>2207</v>
      </c>
    </row>
    <row r="613" spans="1:6" x14ac:dyDescent="0.2">
      <c r="A613" s="30">
        <v>45742</v>
      </c>
      <c r="B613" s="28" t="s">
        <v>2024</v>
      </c>
      <c r="C613" s="28">
        <v>14.38</v>
      </c>
      <c r="D613" s="28" t="str">
        <f>_xlfn.XLOOKUP(B613,'Payee Ref'!A:A,'Payee Ref'!B:B,"unassigned",0,1)</f>
        <v>Groceries</v>
      </c>
      <c r="E613" s="29" t="str">
        <f>_xlfn.XLOOKUP(B613,'Payee Ref'!A:A,'Payee Ref'!C:C,"unassigned",0,1)</f>
        <v>Luxury</v>
      </c>
      <c r="F613" s="28" t="s">
        <v>2207</v>
      </c>
    </row>
    <row r="614" spans="1:6" x14ac:dyDescent="0.2">
      <c r="A614" s="30">
        <v>45823</v>
      </c>
      <c r="B614" s="28" t="s">
        <v>1936</v>
      </c>
      <c r="C614" s="28">
        <v>14.41</v>
      </c>
      <c r="D614" s="28" t="str">
        <f>_xlfn.XLOOKUP(B614,'Payee Ref'!A:A,'Payee Ref'!B:B,"unassigned",0,1)</f>
        <v>Dining</v>
      </c>
      <c r="E614" s="29" t="str">
        <f>_xlfn.XLOOKUP(B614,'Payee Ref'!A:A,'Payee Ref'!C:C,"unassigned",0,1)</f>
        <v>Luxury</v>
      </c>
      <c r="F614" s="28" t="s">
        <v>2207</v>
      </c>
    </row>
    <row r="615" spans="1:6" x14ac:dyDescent="0.2">
      <c r="A615" s="30">
        <v>45868</v>
      </c>
      <c r="B615" s="28" t="s">
        <v>1774</v>
      </c>
      <c r="C615" s="28">
        <v>14.41</v>
      </c>
      <c r="D615" s="28" t="str">
        <f>_xlfn.XLOOKUP(B615,'Payee Ref'!A:A,'Payee Ref'!B:B,"unassigned",0,1)</f>
        <v>Travel</v>
      </c>
      <c r="E615" s="29" t="str">
        <f>_xlfn.XLOOKUP(B615,'Payee Ref'!A:A,'Payee Ref'!C:C,"unassigned",0,1)</f>
        <v>Luxury</v>
      </c>
      <c r="F615" s="28" t="s">
        <v>2207</v>
      </c>
    </row>
    <row r="616" spans="1:6" x14ac:dyDescent="0.2">
      <c r="A616" s="30">
        <v>45882</v>
      </c>
      <c r="B616" s="28" t="s">
        <v>1596</v>
      </c>
      <c r="C616" s="28">
        <v>14.42</v>
      </c>
      <c r="D616" s="28" t="str">
        <f>_xlfn.XLOOKUP(B616,'Payee Ref'!A:A,'Payee Ref'!B:B,"unassigned",0,1)</f>
        <v>unassigned</v>
      </c>
      <c r="E616" s="29" t="str">
        <f>_xlfn.XLOOKUP(B616,'Payee Ref'!A:A,'Payee Ref'!C:C,"unassigned",0,1)</f>
        <v>unassigned</v>
      </c>
      <c r="F616" s="28" t="s">
        <v>2207</v>
      </c>
    </row>
    <row r="617" spans="1:6" x14ac:dyDescent="0.2">
      <c r="A617" s="30">
        <v>45797</v>
      </c>
      <c r="B617" s="28" t="s">
        <v>1952</v>
      </c>
      <c r="C617" s="28">
        <v>14.47</v>
      </c>
      <c r="D617" s="28" t="str">
        <f>_xlfn.XLOOKUP(B617,'Payee Ref'!A:A,'Payee Ref'!B:B,"unassigned",0,1)</f>
        <v>Groceries</v>
      </c>
      <c r="E617" s="29" t="str">
        <f>_xlfn.XLOOKUP(B617,'Payee Ref'!A:A,'Payee Ref'!C:C,"unassigned",0,1)</f>
        <v>Basic</v>
      </c>
      <c r="F617" s="28" t="s">
        <v>2207</v>
      </c>
    </row>
    <row r="618" spans="1:6" x14ac:dyDescent="0.2">
      <c r="A618" s="30">
        <v>45847</v>
      </c>
      <c r="B618" s="28" t="s">
        <v>1849</v>
      </c>
      <c r="C618" s="28">
        <v>14.5</v>
      </c>
      <c r="D618" s="28" t="str">
        <f>_xlfn.XLOOKUP(B618,'Payee Ref'!A:A,'Payee Ref'!B:B,"unassigned",0,1)</f>
        <v>Dining</v>
      </c>
      <c r="E618" s="29" t="str">
        <f>_xlfn.XLOOKUP(B618,'Payee Ref'!A:A,'Payee Ref'!C:C,"unassigned",0,1)</f>
        <v>Luxury</v>
      </c>
      <c r="F618" s="28" t="s">
        <v>2207</v>
      </c>
    </row>
    <row r="619" spans="1:6" x14ac:dyDescent="0.2">
      <c r="A619" s="30">
        <v>45808</v>
      </c>
      <c r="B619" s="28" t="s">
        <v>1965</v>
      </c>
      <c r="C619" s="28">
        <v>14.5</v>
      </c>
      <c r="D619" s="28" t="str">
        <f>_xlfn.XLOOKUP(B619,'Payee Ref'!A:A,'Payee Ref'!B:B,"unassigned",0,1)</f>
        <v>Dining</v>
      </c>
      <c r="E619" s="29" t="str">
        <f>_xlfn.XLOOKUP(B619,'Payee Ref'!A:A,'Payee Ref'!C:C,"unassigned",0,1)</f>
        <v>Luxury</v>
      </c>
      <c r="F619" s="28" t="s">
        <v>2207</v>
      </c>
    </row>
    <row r="620" spans="1:6" x14ac:dyDescent="0.2">
      <c r="A620" s="30">
        <v>45832</v>
      </c>
      <c r="B620" s="28" t="s">
        <v>1894</v>
      </c>
      <c r="C620" s="28">
        <v>14.59</v>
      </c>
      <c r="D620" s="28" t="str">
        <f>_xlfn.XLOOKUP(B620,'Payee Ref'!A:A,'Payee Ref'!B:B,"unassigned",0,1)</f>
        <v>Travel</v>
      </c>
      <c r="E620" s="29" t="str">
        <f>_xlfn.XLOOKUP(B620,'Payee Ref'!A:A,'Payee Ref'!C:C,"unassigned",0,1)</f>
        <v>Luxury</v>
      </c>
      <c r="F620" s="28" t="s">
        <v>2207</v>
      </c>
    </row>
    <row r="621" spans="1:6" x14ac:dyDescent="0.2">
      <c r="A621" s="30">
        <v>45673</v>
      </c>
      <c r="B621" s="28" t="s">
        <v>2102</v>
      </c>
      <c r="C621" s="28">
        <v>14.68</v>
      </c>
      <c r="D621" s="28" t="str">
        <f>_xlfn.XLOOKUP(B621,'Payee Ref'!A:A,'Payee Ref'!B:B,"unassigned",0,1)</f>
        <v>Dining</v>
      </c>
      <c r="E621" s="29" t="str">
        <f>_xlfn.XLOOKUP(B621,'Payee Ref'!A:A,'Payee Ref'!C:C,"unassigned",0,1)</f>
        <v>Luxury</v>
      </c>
      <c r="F621" s="28" t="s">
        <v>2207</v>
      </c>
    </row>
    <row r="622" spans="1:6" x14ac:dyDescent="0.2">
      <c r="A622" s="30">
        <v>45893</v>
      </c>
      <c r="B622" s="28" t="s">
        <v>1697</v>
      </c>
      <c r="C622" s="28">
        <v>14.69</v>
      </c>
      <c r="D622" s="28" t="str">
        <f>_xlfn.XLOOKUP(B622,'Payee Ref'!A:A,'Payee Ref'!B:B,"unassigned",0,1)</f>
        <v>Dining</v>
      </c>
      <c r="E622" s="29" t="str">
        <f>_xlfn.XLOOKUP(B622,'Payee Ref'!A:A,'Payee Ref'!C:C,"unassigned",0,1)</f>
        <v>Luxury</v>
      </c>
      <c r="F622" s="28" t="s">
        <v>2207</v>
      </c>
    </row>
    <row r="623" spans="1:6" x14ac:dyDescent="0.2">
      <c r="A623" s="30">
        <v>45694</v>
      </c>
      <c r="B623" s="28" t="s">
        <v>1952</v>
      </c>
      <c r="C623" s="28">
        <v>14.7</v>
      </c>
      <c r="D623" s="28" t="str">
        <f>_xlfn.XLOOKUP(B623,'Payee Ref'!A:A,'Payee Ref'!B:B,"unassigned",0,1)</f>
        <v>Groceries</v>
      </c>
      <c r="E623" s="29" t="str">
        <f>_xlfn.XLOOKUP(B623,'Payee Ref'!A:A,'Payee Ref'!C:C,"unassigned",0,1)</f>
        <v>Basic</v>
      </c>
      <c r="F623" s="28" t="s">
        <v>2207</v>
      </c>
    </row>
    <row r="624" spans="1:6" x14ac:dyDescent="0.2">
      <c r="A624" s="30">
        <v>45737</v>
      </c>
      <c r="B624" s="28" t="s">
        <v>2079</v>
      </c>
      <c r="C624" s="28">
        <v>14.72</v>
      </c>
      <c r="D624" s="28" t="str">
        <f>_xlfn.XLOOKUP(B624,'Payee Ref'!A:A,'Payee Ref'!B:B,"unassigned",0,1)</f>
        <v>Parking</v>
      </c>
      <c r="E624" s="29" t="str">
        <f>_xlfn.XLOOKUP(B624,'Payee Ref'!A:A,'Payee Ref'!C:C,"unassigned",0,1)</f>
        <v>Basic</v>
      </c>
      <c r="F624" s="28" t="s">
        <v>2207</v>
      </c>
    </row>
    <row r="625" spans="1:6" x14ac:dyDescent="0.2">
      <c r="A625" s="30">
        <v>45837</v>
      </c>
      <c r="B625" s="28" t="s">
        <v>1875</v>
      </c>
      <c r="C625" s="28">
        <v>14.75</v>
      </c>
      <c r="D625" s="28" t="str">
        <f>_xlfn.XLOOKUP(B625,'Payee Ref'!A:A,'Payee Ref'!B:B,"unassigned",0,1)</f>
        <v>Travel</v>
      </c>
      <c r="E625" s="29" t="str">
        <f>_xlfn.XLOOKUP(B625,'Payee Ref'!A:A,'Payee Ref'!C:C,"unassigned",0,1)</f>
        <v>Luxury</v>
      </c>
      <c r="F625" s="28" t="s">
        <v>2207</v>
      </c>
    </row>
    <row r="626" spans="1:6" x14ac:dyDescent="0.2">
      <c r="A626" s="30">
        <v>45737</v>
      </c>
      <c r="B626" s="28" t="s">
        <v>1952</v>
      </c>
      <c r="C626" s="28">
        <v>14.83</v>
      </c>
      <c r="D626" s="28" t="str">
        <f>_xlfn.XLOOKUP(B626,'Payee Ref'!A:A,'Payee Ref'!B:B,"unassigned",0,1)</f>
        <v>Groceries</v>
      </c>
      <c r="E626" s="29" t="str">
        <f>_xlfn.XLOOKUP(B626,'Payee Ref'!A:A,'Payee Ref'!C:C,"unassigned",0,1)</f>
        <v>Basic</v>
      </c>
      <c r="F626" s="28" t="s">
        <v>2207</v>
      </c>
    </row>
    <row r="627" spans="1:6" x14ac:dyDescent="0.2">
      <c r="A627" s="30">
        <v>45799</v>
      </c>
      <c r="B627" s="28" t="s">
        <v>1554</v>
      </c>
      <c r="C627" s="28">
        <v>14.89</v>
      </c>
      <c r="D627" s="28" t="str">
        <f>_xlfn.XLOOKUP(B627,'Payee Ref'!A:A,'Payee Ref'!B:B,"unassigned",0,1)</f>
        <v>Dining</v>
      </c>
      <c r="E627" s="29" t="str">
        <f>_xlfn.XLOOKUP(B627,'Payee Ref'!A:A,'Payee Ref'!C:C,"unassigned",0,1)</f>
        <v>Luxury</v>
      </c>
      <c r="F627" s="28" t="s">
        <v>2207</v>
      </c>
    </row>
    <row r="628" spans="1:6" x14ac:dyDescent="0.2">
      <c r="A628" s="30">
        <v>45869</v>
      </c>
      <c r="B628" s="28" t="s">
        <v>1768</v>
      </c>
      <c r="C628" s="28">
        <v>14.89</v>
      </c>
      <c r="D628" s="28" t="str">
        <f>_xlfn.XLOOKUP(B628,'Payee Ref'!A:A,'Payee Ref'!B:B,"unassigned",0,1)</f>
        <v>unassigned</v>
      </c>
      <c r="E628" s="29" t="str">
        <f>_xlfn.XLOOKUP(B628,'Payee Ref'!A:A,'Payee Ref'!C:C,"unassigned",0,1)</f>
        <v>unassigned</v>
      </c>
      <c r="F628" s="28" t="s">
        <v>2207</v>
      </c>
    </row>
    <row r="629" spans="1:6" x14ac:dyDescent="0.2">
      <c r="A629" s="30">
        <v>45867</v>
      </c>
      <c r="B629" s="28" t="s">
        <v>1539</v>
      </c>
      <c r="C629" s="28">
        <v>14.95</v>
      </c>
      <c r="D629" s="28" t="str">
        <f>_xlfn.XLOOKUP(B629,'Payee Ref'!A:A,'Payee Ref'!B:B,"unassigned",0,1)</f>
        <v>Groceries</v>
      </c>
      <c r="E629" s="29" t="str">
        <f>_xlfn.XLOOKUP(B629,'Payee Ref'!A:A,'Payee Ref'!C:C,"unassigned",0,1)</f>
        <v>Basic</v>
      </c>
      <c r="F629" s="28" t="s">
        <v>2207</v>
      </c>
    </row>
    <row r="630" spans="1:6" x14ac:dyDescent="0.2">
      <c r="A630" s="30">
        <v>45674</v>
      </c>
      <c r="B630" s="28" t="s">
        <v>1965</v>
      </c>
      <c r="C630" s="28">
        <v>15</v>
      </c>
      <c r="D630" s="28" t="str">
        <f>_xlfn.XLOOKUP(B630,'Payee Ref'!A:A,'Payee Ref'!B:B,"unassigned",0,1)</f>
        <v>Dining</v>
      </c>
      <c r="E630" s="29" t="str">
        <f>_xlfn.XLOOKUP(B630,'Payee Ref'!A:A,'Payee Ref'!C:C,"unassigned",0,1)</f>
        <v>Luxury</v>
      </c>
      <c r="F630" s="28" t="s">
        <v>2207</v>
      </c>
    </row>
    <row r="631" spans="1:6" x14ac:dyDescent="0.2">
      <c r="A631" s="30">
        <v>45962</v>
      </c>
      <c r="B631" s="28" t="s">
        <v>1214</v>
      </c>
      <c r="C631" s="28">
        <v>15</v>
      </c>
      <c r="D631" s="28" t="str">
        <f>_xlfn.XLOOKUP(B631,'Payee Ref'!A:A,'Payee Ref'!B:B,"unassigned",0,1)</f>
        <v>Enrichment</v>
      </c>
      <c r="E631" s="29" t="str">
        <f>_xlfn.XLOOKUP(B631,'Payee Ref'!A:A,'Payee Ref'!C:C,"unassigned",0,1)</f>
        <v>Basic</v>
      </c>
      <c r="F631" s="28" t="s">
        <v>2207</v>
      </c>
    </row>
    <row r="632" spans="1:6" x14ac:dyDescent="0.2">
      <c r="A632" s="30">
        <v>45866</v>
      </c>
      <c r="B632" s="28" t="s">
        <v>1385</v>
      </c>
      <c r="C632" s="28">
        <v>15</v>
      </c>
      <c r="D632" s="28" t="str">
        <f>_xlfn.XLOOKUP(B632,'Payee Ref'!A:A,'Payee Ref'!B:B,"unassigned",0,1)</f>
        <v>Bank Fees</v>
      </c>
      <c r="E632" s="29" t="str">
        <f>_xlfn.XLOOKUP(B632,'Payee Ref'!A:A,'Payee Ref'!C:C,"unassigned",0,1)</f>
        <v>Luxury</v>
      </c>
      <c r="F632" s="28" t="s">
        <v>2207</v>
      </c>
    </row>
    <row r="633" spans="1:6" x14ac:dyDescent="0.2">
      <c r="A633" s="30">
        <v>45744</v>
      </c>
      <c r="B633" s="28" t="s">
        <v>1965</v>
      </c>
      <c r="C633" s="28">
        <v>15.01</v>
      </c>
      <c r="D633" s="28" t="str">
        <f>_xlfn.XLOOKUP(B633,'Payee Ref'!A:A,'Payee Ref'!B:B,"unassigned",0,1)</f>
        <v>Dining</v>
      </c>
      <c r="E633" s="29" t="str">
        <f>_xlfn.XLOOKUP(B633,'Payee Ref'!A:A,'Payee Ref'!C:C,"unassigned",0,1)</f>
        <v>Luxury</v>
      </c>
      <c r="F633" s="28" t="s">
        <v>2207</v>
      </c>
    </row>
    <row r="634" spans="1:6" x14ac:dyDescent="0.2">
      <c r="A634" s="30">
        <v>45899</v>
      </c>
      <c r="B634" s="28" t="s">
        <v>1674</v>
      </c>
      <c r="C634" s="28">
        <v>15.04</v>
      </c>
      <c r="D634" s="28" t="str">
        <f>_xlfn.XLOOKUP(B634,'Payee Ref'!A:A,'Payee Ref'!B:B,"unassigned",0,1)</f>
        <v>unassigned</v>
      </c>
      <c r="E634" s="29" t="str">
        <f>_xlfn.XLOOKUP(B634,'Payee Ref'!A:A,'Payee Ref'!C:C,"unassigned",0,1)</f>
        <v>unassigned</v>
      </c>
      <c r="F634" s="28" t="s">
        <v>2207</v>
      </c>
    </row>
    <row r="635" spans="1:6" x14ac:dyDescent="0.2">
      <c r="A635" s="30">
        <v>45765</v>
      </c>
      <c r="B635" s="28" t="s">
        <v>1619</v>
      </c>
      <c r="C635" s="28">
        <v>15.06</v>
      </c>
      <c r="D635" s="28" t="str">
        <f>_xlfn.XLOOKUP(B635,'Payee Ref'!A:A,'Payee Ref'!B:B,"unassigned",0,1)</f>
        <v>Travel</v>
      </c>
      <c r="E635" s="29" t="str">
        <f>_xlfn.XLOOKUP(B635,'Payee Ref'!A:A,'Payee Ref'!C:C,"unassigned",0,1)</f>
        <v>Luxury</v>
      </c>
      <c r="F635" s="28" t="s">
        <v>2207</v>
      </c>
    </row>
    <row r="636" spans="1:6" x14ac:dyDescent="0.2">
      <c r="A636" s="30">
        <v>45763</v>
      </c>
      <c r="B636" s="28" t="s">
        <v>1619</v>
      </c>
      <c r="C636" s="28">
        <v>15.06</v>
      </c>
      <c r="D636" s="28" t="str">
        <f>_xlfn.XLOOKUP(B636,'Payee Ref'!A:A,'Payee Ref'!B:B,"unassigned",0,1)</f>
        <v>Travel</v>
      </c>
      <c r="E636" s="29" t="str">
        <f>_xlfn.XLOOKUP(B636,'Payee Ref'!A:A,'Payee Ref'!C:C,"unassigned",0,1)</f>
        <v>Luxury</v>
      </c>
      <c r="F636" s="28" t="s">
        <v>2207</v>
      </c>
    </row>
    <row r="637" spans="1:6" x14ac:dyDescent="0.2">
      <c r="A637" s="30">
        <v>45711</v>
      </c>
      <c r="B637" s="28" t="s">
        <v>1619</v>
      </c>
      <c r="C637" s="28">
        <v>15.06</v>
      </c>
      <c r="D637" s="28" t="str">
        <f>_xlfn.XLOOKUP(B637,'Payee Ref'!A:A,'Payee Ref'!B:B,"unassigned",0,1)</f>
        <v>Travel</v>
      </c>
      <c r="E637" s="29" t="str">
        <f>_xlfn.XLOOKUP(B637,'Payee Ref'!A:A,'Payee Ref'!C:C,"unassigned",0,1)</f>
        <v>Luxury</v>
      </c>
      <c r="F637" s="28" t="s">
        <v>2207</v>
      </c>
    </row>
    <row r="638" spans="1:6" x14ac:dyDescent="0.2">
      <c r="A638" s="30">
        <v>45786</v>
      </c>
      <c r="B638" s="28" t="s">
        <v>1796</v>
      </c>
      <c r="C638" s="28">
        <v>15.17</v>
      </c>
      <c r="D638" s="28" t="str">
        <f>_xlfn.XLOOKUP(B638,'Payee Ref'!A:A,'Payee Ref'!B:B,"unassigned",0,1)</f>
        <v>Dining</v>
      </c>
      <c r="E638" s="29" t="str">
        <f>_xlfn.XLOOKUP(B638,'Payee Ref'!A:A,'Payee Ref'!C:C,"unassigned",0,1)</f>
        <v>Luxury</v>
      </c>
      <c r="F638" s="28" t="s">
        <v>2207</v>
      </c>
    </row>
    <row r="639" spans="1:6" x14ac:dyDescent="0.2">
      <c r="A639" s="30">
        <v>45809</v>
      </c>
      <c r="B639" s="28" t="s">
        <v>1967</v>
      </c>
      <c r="C639" s="28">
        <v>15.2</v>
      </c>
      <c r="D639" s="28" t="str">
        <f>_xlfn.XLOOKUP(B639,'Payee Ref'!A:A,'Payee Ref'!B:B,"unassigned",0,1)</f>
        <v>Dining</v>
      </c>
      <c r="E639" s="29" t="str">
        <f>_xlfn.XLOOKUP(B639,'Payee Ref'!A:A,'Payee Ref'!C:C,"unassigned",0,1)</f>
        <v>Luxury</v>
      </c>
      <c r="F639" s="28" t="s">
        <v>2207</v>
      </c>
    </row>
    <row r="640" spans="1:6" x14ac:dyDescent="0.2">
      <c r="A640" s="30">
        <v>45969</v>
      </c>
      <c r="B640" s="28" t="s">
        <v>207</v>
      </c>
      <c r="C640" s="28">
        <v>15.2</v>
      </c>
      <c r="D640" s="28" t="str">
        <f>_xlfn.XLOOKUP(B640,'Payee Ref'!A:A,'Payee Ref'!B:B,"unassigned",0,1)</f>
        <v>Travel</v>
      </c>
      <c r="E640" s="29" t="str">
        <f>_xlfn.XLOOKUP(B640,'Payee Ref'!A:A,'Payee Ref'!C:C,"unassigned",0,1)</f>
        <v>Luxury</v>
      </c>
      <c r="F640" s="28" t="s">
        <v>2207</v>
      </c>
    </row>
    <row r="641" spans="1:6" x14ac:dyDescent="0.2">
      <c r="A641" s="30">
        <v>45681</v>
      </c>
      <c r="B641" s="28" t="s">
        <v>1952</v>
      </c>
      <c r="C641" s="28">
        <v>15.22</v>
      </c>
      <c r="D641" s="28" t="str">
        <f>_xlfn.XLOOKUP(B641,'Payee Ref'!A:A,'Payee Ref'!B:B,"unassigned",0,1)</f>
        <v>Groceries</v>
      </c>
      <c r="E641" s="29" t="str">
        <f>_xlfn.XLOOKUP(B641,'Payee Ref'!A:A,'Payee Ref'!C:C,"unassigned",0,1)</f>
        <v>Basic</v>
      </c>
      <c r="F641" s="28" t="s">
        <v>2207</v>
      </c>
    </row>
    <row r="642" spans="1:6" x14ac:dyDescent="0.2">
      <c r="A642" s="30">
        <v>45695</v>
      </c>
      <c r="B642" s="28" t="s">
        <v>2092</v>
      </c>
      <c r="C642" s="28">
        <v>15.23</v>
      </c>
      <c r="D642" s="28" t="str">
        <f>_xlfn.XLOOKUP(B642,'Payee Ref'!A:A,'Payee Ref'!B:B,"unassigned",0,1)</f>
        <v>Dining</v>
      </c>
      <c r="E642" s="29" t="str">
        <f>_xlfn.XLOOKUP(B642,'Payee Ref'!A:A,'Payee Ref'!C:C,"unassigned",0,1)</f>
        <v>Luxury</v>
      </c>
      <c r="F642" s="28" t="s">
        <v>2207</v>
      </c>
    </row>
    <row r="643" spans="1:6" x14ac:dyDescent="0.2">
      <c r="A643" s="30">
        <v>45660</v>
      </c>
      <c r="B643" s="28" t="s">
        <v>2195</v>
      </c>
      <c r="C643" s="28">
        <v>15.4</v>
      </c>
      <c r="D643" s="28" t="str">
        <f>_xlfn.XLOOKUP(B643,'Payee Ref'!A:A,'Payee Ref'!B:B,"unassigned",0,1)</f>
        <v>Dining</v>
      </c>
      <c r="E643" s="29" t="str">
        <f>_xlfn.XLOOKUP(B643,'Payee Ref'!A:A,'Payee Ref'!C:C,"unassigned",0,1)</f>
        <v>Luxury</v>
      </c>
      <c r="F643" s="28" t="s">
        <v>2207</v>
      </c>
    </row>
    <row r="644" spans="1:6" x14ac:dyDescent="0.2">
      <c r="A644" s="30">
        <v>45761</v>
      </c>
      <c r="B644" s="28" t="s">
        <v>1587</v>
      </c>
      <c r="C644" s="28">
        <v>15.43</v>
      </c>
      <c r="D644" s="28" t="str">
        <f>_xlfn.XLOOKUP(B644,'Payee Ref'!A:A,'Payee Ref'!B:B,"unassigned",0,1)</f>
        <v>Travel</v>
      </c>
      <c r="E644" s="29" t="str">
        <f>_xlfn.XLOOKUP(B644,'Payee Ref'!A:A,'Payee Ref'!C:C,"unassigned",0,1)</f>
        <v>Luxury</v>
      </c>
      <c r="F644" s="28" t="s">
        <v>2207</v>
      </c>
    </row>
    <row r="645" spans="1:6" x14ac:dyDescent="0.2">
      <c r="A645" s="30">
        <v>45663</v>
      </c>
      <c r="B645" s="31" t="s">
        <v>1543</v>
      </c>
      <c r="C645" s="28">
        <v>15.44</v>
      </c>
      <c r="D645" s="28" t="str">
        <f>_xlfn.XLOOKUP(B645,'Payee Ref'!A:A,'Payee Ref'!B:B,"unassigned",0,1)</f>
        <v>Subscriptions / Digital</v>
      </c>
      <c r="E645" s="29" t="str">
        <f>_xlfn.XLOOKUP(B645,'Payee Ref'!A:A,'Payee Ref'!C:C,"unassigned",0,1)</f>
        <v>Luxury</v>
      </c>
      <c r="F645" s="28" t="s">
        <v>2207</v>
      </c>
    </row>
    <row r="646" spans="1:6" x14ac:dyDescent="0.2">
      <c r="A646" s="30">
        <v>45662</v>
      </c>
      <c r="B646" s="31" t="s">
        <v>1543</v>
      </c>
      <c r="C646" s="28">
        <v>15.44</v>
      </c>
      <c r="D646" s="28" t="str">
        <f>_xlfn.XLOOKUP(B646,'Payee Ref'!A:A,'Payee Ref'!B:B,"unassigned",0,1)</f>
        <v>Subscriptions / Digital</v>
      </c>
      <c r="E646" s="29" t="str">
        <f>_xlfn.XLOOKUP(B646,'Payee Ref'!A:A,'Payee Ref'!C:C,"unassigned",0,1)</f>
        <v>Luxury</v>
      </c>
      <c r="F646" s="28" t="s">
        <v>2207</v>
      </c>
    </row>
    <row r="647" spans="1:6" x14ac:dyDescent="0.2">
      <c r="A647" s="30">
        <v>45844</v>
      </c>
      <c r="B647" s="28" t="s">
        <v>1754</v>
      </c>
      <c r="C647" s="28">
        <v>15.44</v>
      </c>
      <c r="D647" s="28" t="str">
        <f>_xlfn.XLOOKUP(B647,'Payee Ref'!A:A,'Payee Ref'!B:B,"unassigned",0,1)</f>
        <v>Utilities</v>
      </c>
      <c r="E647" s="29" t="str">
        <f>_xlfn.XLOOKUP(B647,'Payee Ref'!A:A,'Payee Ref'!C:C,"unassigned",0,1)</f>
        <v>Basic</v>
      </c>
      <c r="F647" s="28" t="s">
        <v>2207</v>
      </c>
    </row>
    <row r="648" spans="1:6" x14ac:dyDescent="0.2">
      <c r="A648" s="30">
        <v>45724</v>
      </c>
      <c r="B648" s="28" t="s">
        <v>1575</v>
      </c>
      <c r="C648" s="28">
        <v>15.45</v>
      </c>
      <c r="D648" s="28" t="str">
        <f>_xlfn.XLOOKUP(B648,'Payee Ref'!A:A,'Payee Ref'!B:B,"unassigned",0,1)</f>
        <v>Travel</v>
      </c>
      <c r="E648" s="29" t="str">
        <f>_xlfn.XLOOKUP(B648,'Payee Ref'!A:A,'Payee Ref'!C:C,"unassigned",0,1)</f>
        <v>Luxury</v>
      </c>
      <c r="F648" s="28" t="s">
        <v>2207</v>
      </c>
    </row>
    <row r="649" spans="1:6" x14ac:dyDescent="0.2">
      <c r="A649" s="30">
        <v>45739</v>
      </c>
      <c r="B649" s="28" t="s">
        <v>2069</v>
      </c>
      <c r="C649" s="28">
        <v>15.47</v>
      </c>
      <c r="D649" s="28" t="str">
        <f>_xlfn.XLOOKUP(B649,'Payee Ref'!A:A,'Payee Ref'!B:B,"unassigned",0,1)</f>
        <v>Dining</v>
      </c>
      <c r="E649" s="29" t="str">
        <f>_xlfn.XLOOKUP(B649,'Payee Ref'!A:A,'Payee Ref'!C:C,"unassigned",0,1)</f>
        <v>Luxury</v>
      </c>
      <c r="F649" s="28" t="s">
        <v>2207</v>
      </c>
    </row>
    <row r="650" spans="1:6" x14ac:dyDescent="0.2">
      <c r="A650" s="30">
        <v>45674</v>
      </c>
      <c r="B650" s="28" t="s">
        <v>1952</v>
      </c>
      <c r="C650" s="28">
        <v>15.5</v>
      </c>
      <c r="D650" s="28" t="str">
        <f>_xlfn.XLOOKUP(B650,'Payee Ref'!A:A,'Payee Ref'!B:B,"unassigned",0,1)</f>
        <v>Groceries</v>
      </c>
      <c r="E650" s="29" t="str">
        <f>_xlfn.XLOOKUP(B650,'Payee Ref'!A:A,'Payee Ref'!C:C,"unassigned",0,1)</f>
        <v>Basic</v>
      </c>
      <c r="F650" s="28" t="s">
        <v>2207</v>
      </c>
    </row>
    <row r="651" spans="1:6" x14ac:dyDescent="0.2">
      <c r="A651" s="30">
        <v>45705</v>
      </c>
      <c r="B651" s="28" t="s">
        <v>1588</v>
      </c>
      <c r="C651" s="28">
        <v>15.55</v>
      </c>
      <c r="D651" s="28" t="str">
        <f>_xlfn.XLOOKUP(B651,'Payee Ref'!A:A,'Payee Ref'!B:B,"unassigned",0,1)</f>
        <v>Groceries</v>
      </c>
      <c r="E651" s="29" t="str">
        <f>_xlfn.XLOOKUP(B651,'Payee Ref'!A:A,'Payee Ref'!C:C,"unassigned",0,1)</f>
        <v>Basic</v>
      </c>
      <c r="F651" s="28" t="s">
        <v>2207</v>
      </c>
    </row>
    <row r="652" spans="1:6" x14ac:dyDescent="0.2">
      <c r="A652" s="30">
        <v>45944</v>
      </c>
      <c r="B652" s="28" t="s">
        <v>1218</v>
      </c>
      <c r="C652" s="28">
        <v>15.59</v>
      </c>
      <c r="D652" s="28" t="str">
        <f>_xlfn.XLOOKUP(B652,'Payee Ref'!A:A,'Payee Ref'!B:B,"unassigned",0,1)</f>
        <v>Auto</v>
      </c>
      <c r="E652" s="29" t="str">
        <f>_xlfn.XLOOKUP(B652,'Payee Ref'!A:A,'Payee Ref'!C:C,"unassigned",0,1)</f>
        <v>Basic</v>
      </c>
      <c r="F652" s="28" t="s">
        <v>2207</v>
      </c>
    </row>
    <row r="653" spans="1:6" x14ac:dyDescent="0.2">
      <c r="A653" s="30">
        <v>45692</v>
      </c>
      <c r="B653" s="28" t="s">
        <v>1952</v>
      </c>
      <c r="C653" s="28">
        <v>15.63</v>
      </c>
      <c r="D653" s="28" t="str">
        <f>_xlfn.XLOOKUP(B653,'Payee Ref'!A:A,'Payee Ref'!B:B,"unassigned",0,1)</f>
        <v>Groceries</v>
      </c>
      <c r="E653" s="29" t="str">
        <f>_xlfn.XLOOKUP(B653,'Payee Ref'!A:A,'Payee Ref'!C:C,"unassigned",0,1)</f>
        <v>Basic</v>
      </c>
      <c r="F653" s="28" t="s">
        <v>2207</v>
      </c>
    </row>
    <row r="654" spans="1:6" x14ac:dyDescent="0.2">
      <c r="A654" s="30">
        <v>45789</v>
      </c>
      <c r="B654" s="28" t="s">
        <v>1957</v>
      </c>
      <c r="C654" s="28">
        <v>15.74</v>
      </c>
      <c r="D654" s="28" t="str">
        <f>_xlfn.XLOOKUP(B654,'Payee Ref'!A:A,'Payee Ref'!B:B,"unassigned",0,1)</f>
        <v>Dining</v>
      </c>
      <c r="E654" s="29" t="str">
        <f>_xlfn.XLOOKUP(B654,'Payee Ref'!A:A,'Payee Ref'!C:C,"unassigned",0,1)</f>
        <v>Luxury</v>
      </c>
      <c r="F654" s="28" t="s">
        <v>2207</v>
      </c>
    </row>
    <row r="655" spans="1:6" x14ac:dyDescent="0.2">
      <c r="A655" s="30">
        <v>45680</v>
      </c>
      <c r="B655" s="28" t="s">
        <v>2102</v>
      </c>
      <c r="C655" s="28">
        <v>15.75</v>
      </c>
      <c r="D655" s="28" t="str">
        <f>_xlfn.XLOOKUP(B655,'Payee Ref'!A:A,'Payee Ref'!B:B,"unassigned",0,1)</f>
        <v>Dining</v>
      </c>
      <c r="E655" s="29" t="str">
        <f>_xlfn.XLOOKUP(B655,'Payee Ref'!A:A,'Payee Ref'!C:C,"unassigned",0,1)</f>
        <v>Luxury</v>
      </c>
      <c r="F655" s="28" t="s">
        <v>2207</v>
      </c>
    </row>
    <row r="656" spans="1:6" x14ac:dyDescent="0.2">
      <c r="A656" s="30">
        <v>45720</v>
      </c>
      <c r="B656" s="28" t="s">
        <v>1952</v>
      </c>
      <c r="C656" s="28">
        <v>15.82</v>
      </c>
      <c r="D656" s="28" t="str">
        <f>_xlfn.XLOOKUP(B656,'Payee Ref'!A:A,'Payee Ref'!B:B,"unassigned",0,1)</f>
        <v>Groceries</v>
      </c>
      <c r="E656" s="29" t="str">
        <f>_xlfn.XLOOKUP(B656,'Payee Ref'!A:A,'Payee Ref'!C:C,"unassigned",0,1)</f>
        <v>Basic</v>
      </c>
      <c r="F656" s="28" t="s">
        <v>2207</v>
      </c>
    </row>
    <row r="657" spans="1:6" x14ac:dyDescent="0.2">
      <c r="A657" s="30">
        <v>45769</v>
      </c>
      <c r="B657" s="28" t="s">
        <v>1534</v>
      </c>
      <c r="C657" s="28">
        <v>15.86</v>
      </c>
      <c r="D657" s="28" t="str">
        <f>_xlfn.XLOOKUP(B657,'Payee Ref'!A:A,'Payee Ref'!B:B,"unassigned",0,1)</f>
        <v>Dining</v>
      </c>
      <c r="E657" s="29" t="str">
        <f>_xlfn.XLOOKUP(B657,'Payee Ref'!A:A,'Payee Ref'!C:C,"unassigned",0,1)</f>
        <v>Luxury</v>
      </c>
      <c r="F657" s="28" t="s">
        <v>2207</v>
      </c>
    </row>
    <row r="658" spans="1:6" x14ac:dyDescent="0.2">
      <c r="A658" s="30">
        <v>45728</v>
      </c>
      <c r="B658" s="28" t="s">
        <v>1534</v>
      </c>
      <c r="C658" s="28">
        <v>15.86</v>
      </c>
      <c r="D658" s="28" t="str">
        <f>_xlfn.XLOOKUP(B658,'Payee Ref'!A:A,'Payee Ref'!B:B,"unassigned",0,1)</f>
        <v>Dining</v>
      </c>
      <c r="E658" s="29" t="str">
        <f>_xlfn.XLOOKUP(B658,'Payee Ref'!A:A,'Payee Ref'!C:C,"unassigned",0,1)</f>
        <v>Luxury</v>
      </c>
      <c r="F658" s="28" t="s">
        <v>2207</v>
      </c>
    </row>
    <row r="659" spans="1:6" x14ac:dyDescent="0.2">
      <c r="A659" s="30">
        <v>45864</v>
      </c>
      <c r="B659" s="28" t="s">
        <v>1796</v>
      </c>
      <c r="C659" s="28">
        <v>15.89</v>
      </c>
      <c r="D659" s="28" t="str">
        <f>_xlfn.XLOOKUP(B659,'Payee Ref'!A:A,'Payee Ref'!B:B,"unassigned",0,1)</f>
        <v>Dining</v>
      </c>
      <c r="E659" s="29" t="str">
        <f>_xlfn.XLOOKUP(B659,'Payee Ref'!A:A,'Payee Ref'!C:C,"unassigned",0,1)</f>
        <v>Luxury</v>
      </c>
      <c r="F659" s="28" t="s">
        <v>2207</v>
      </c>
    </row>
    <row r="660" spans="1:6" x14ac:dyDescent="0.2">
      <c r="A660" s="30">
        <v>45683</v>
      </c>
      <c r="B660" s="28" t="s">
        <v>1667</v>
      </c>
      <c r="C660" s="28">
        <v>15.89</v>
      </c>
      <c r="D660" s="28" t="str">
        <f>_xlfn.XLOOKUP(B660,'Payee Ref'!A:A,'Payee Ref'!B:B,"unassigned",0,1)</f>
        <v>Dining</v>
      </c>
      <c r="E660" s="29" t="str">
        <f>_xlfn.XLOOKUP(B660,'Payee Ref'!A:A,'Payee Ref'!C:C,"unassigned",0,1)</f>
        <v>Luxury</v>
      </c>
      <c r="F660" s="28" t="s">
        <v>2207</v>
      </c>
    </row>
    <row r="661" spans="1:6" x14ac:dyDescent="0.2">
      <c r="A661" s="30">
        <v>45818</v>
      </c>
      <c r="B661" s="28" t="s">
        <v>1951</v>
      </c>
      <c r="C661" s="28">
        <v>15.9</v>
      </c>
      <c r="D661" s="28" t="str">
        <f>_xlfn.XLOOKUP(B661,'Payee Ref'!A:A,'Payee Ref'!B:B,"unassigned",0,1)</f>
        <v>Dining</v>
      </c>
      <c r="E661" s="29" t="str">
        <f>_xlfn.XLOOKUP(B661,'Payee Ref'!A:A,'Payee Ref'!C:C,"unassigned",0,1)</f>
        <v>Luxury</v>
      </c>
      <c r="F661" s="28" t="s">
        <v>2207</v>
      </c>
    </row>
    <row r="662" spans="1:6" x14ac:dyDescent="0.2">
      <c r="A662" s="30">
        <v>45903</v>
      </c>
      <c r="B662" s="28" t="s">
        <v>1665</v>
      </c>
      <c r="C662" s="28">
        <v>15.96</v>
      </c>
      <c r="D662" s="28" t="str">
        <f>_xlfn.XLOOKUP(B662,'Payee Ref'!A:A,'Payee Ref'!B:B,"unassigned",0,1)</f>
        <v>Travel</v>
      </c>
      <c r="E662" s="29" t="str">
        <f>_xlfn.XLOOKUP(B662,'Payee Ref'!A:A,'Payee Ref'!C:C,"unassigned",0,1)</f>
        <v>Luxury</v>
      </c>
      <c r="F662" s="28" t="s">
        <v>2207</v>
      </c>
    </row>
    <row r="663" spans="1:6" x14ac:dyDescent="0.2">
      <c r="A663" s="30">
        <v>45756</v>
      </c>
      <c r="B663" s="28" t="s">
        <v>1950</v>
      </c>
      <c r="C663" s="28">
        <v>15.98</v>
      </c>
      <c r="D663" s="28" t="str">
        <f>_xlfn.XLOOKUP(B663,'Payee Ref'!A:A,'Payee Ref'!B:B,"unassigned",0,1)</f>
        <v>Parking</v>
      </c>
      <c r="E663" s="29" t="str">
        <f>_xlfn.XLOOKUP(B663,'Payee Ref'!A:A,'Payee Ref'!C:C,"unassigned",0,1)</f>
        <v>Basic</v>
      </c>
      <c r="F663" s="28" t="s">
        <v>2207</v>
      </c>
    </row>
    <row r="664" spans="1:6" x14ac:dyDescent="0.2">
      <c r="A664" s="30">
        <v>45755</v>
      </c>
      <c r="B664" s="28" t="s">
        <v>1950</v>
      </c>
      <c r="C664" s="28">
        <v>15.98</v>
      </c>
      <c r="D664" s="28" t="str">
        <f>_xlfn.XLOOKUP(B664,'Payee Ref'!A:A,'Payee Ref'!B:B,"unassigned",0,1)</f>
        <v>Parking</v>
      </c>
      <c r="E664" s="29" t="str">
        <f>_xlfn.XLOOKUP(B664,'Payee Ref'!A:A,'Payee Ref'!C:C,"unassigned",0,1)</f>
        <v>Basic</v>
      </c>
      <c r="F664" s="28" t="s">
        <v>2207</v>
      </c>
    </row>
    <row r="665" spans="1:6" x14ac:dyDescent="0.2">
      <c r="A665" s="30">
        <v>45755</v>
      </c>
      <c r="B665" s="28" t="s">
        <v>1950</v>
      </c>
      <c r="C665" s="28">
        <v>15.98</v>
      </c>
      <c r="D665" s="28" t="str">
        <f>_xlfn.XLOOKUP(B665,'Payee Ref'!A:A,'Payee Ref'!B:B,"unassigned",0,1)</f>
        <v>Parking</v>
      </c>
      <c r="E665" s="29" t="str">
        <f>_xlfn.XLOOKUP(B665,'Payee Ref'!A:A,'Payee Ref'!C:C,"unassigned",0,1)</f>
        <v>Basic</v>
      </c>
      <c r="F665" s="28" t="s">
        <v>2207</v>
      </c>
    </row>
    <row r="666" spans="1:6" x14ac:dyDescent="0.2">
      <c r="A666" s="30">
        <v>45737</v>
      </c>
      <c r="B666" s="28" t="s">
        <v>1950</v>
      </c>
      <c r="C666" s="28">
        <v>15.98</v>
      </c>
      <c r="D666" s="28" t="str">
        <f>_xlfn.XLOOKUP(B666,'Payee Ref'!A:A,'Payee Ref'!B:B,"unassigned",0,1)</f>
        <v>Parking</v>
      </c>
      <c r="E666" s="29" t="str">
        <f>_xlfn.XLOOKUP(B666,'Payee Ref'!A:A,'Payee Ref'!C:C,"unassigned",0,1)</f>
        <v>Basic</v>
      </c>
      <c r="F666" s="28" t="s">
        <v>2207</v>
      </c>
    </row>
    <row r="667" spans="1:6" x14ac:dyDescent="0.2">
      <c r="A667" s="30">
        <v>45736</v>
      </c>
      <c r="B667" s="28" t="s">
        <v>1950</v>
      </c>
      <c r="C667" s="28">
        <v>15.98</v>
      </c>
      <c r="D667" s="28" t="str">
        <f>_xlfn.XLOOKUP(B667,'Payee Ref'!A:A,'Payee Ref'!B:B,"unassigned",0,1)</f>
        <v>Parking</v>
      </c>
      <c r="E667" s="29" t="str">
        <f>_xlfn.XLOOKUP(B667,'Payee Ref'!A:A,'Payee Ref'!C:C,"unassigned",0,1)</f>
        <v>Basic</v>
      </c>
      <c r="F667" s="28" t="s">
        <v>2207</v>
      </c>
    </row>
    <row r="668" spans="1:6" x14ac:dyDescent="0.2">
      <c r="A668" s="30">
        <v>45735</v>
      </c>
      <c r="B668" s="28" t="s">
        <v>1950</v>
      </c>
      <c r="C668" s="28">
        <v>15.98</v>
      </c>
      <c r="D668" s="28" t="str">
        <f>_xlfn.XLOOKUP(B668,'Payee Ref'!A:A,'Payee Ref'!B:B,"unassigned",0,1)</f>
        <v>Parking</v>
      </c>
      <c r="E668" s="29" t="str">
        <f>_xlfn.XLOOKUP(B668,'Payee Ref'!A:A,'Payee Ref'!C:C,"unassigned",0,1)</f>
        <v>Basic</v>
      </c>
      <c r="F668" s="28" t="s">
        <v>2207</v>
      </c>
    </row>
    <row r="669" spans="1:6" x14ac:dyDescent="0.2">
      <c r="A669" s="30">
        <v>45734</v>
      </c>
      <c r="B669" s="28" t="s">
        <v>1950</v>
      </c>
      <c r="C669" s="28">
        <v>15.98</v>
      </c>
      <c r="D669" s="28" t="str">
        <f>_xlfn.XLOOKUP(B669,'Payee Ref'!A:A,'Payee Ref'!B:B,"unassigned",0,1)</f>
        <v>Parking</v>
      </c>
      <c r="E669" s="29" t="str">
        <f>_xlfn.XLOOKUP(B669,'Payee Ref'!A:A,'Payee Ref'!C:C,"unassigned",0,1)</f>
        <v>Basic</v>
      </c>
      <c r="F669" s="28" t="s">
        <v>2207</v>
      </c>
    </row>
    <row r="670" spans="1:6" x14ac:dyDescent="0.2">
      <c r="A670" s="30">
        <v>45733</v>
      </c>
      <c r="B670" s="28" t="s">
        <v>1950</v>
      </c>
      <c r="C670" s="28">
        <v>15.98</v>
      </c>
      <c r="D670" s="28" t="str">
        <f>_xlfn.XLOOKUP(B670,'Payee Ref'!A:A,'Payee Ref'!B:B,"unassigned",0,1)</f>
        <v>Parking</v>
      </c>
      <c r="E670" s="29" t="str">
        <f>_xlfn.XLOOKUP(B670,'Payee Ref'!A:A,'Payee Ref'!C:C,"unassigned",0,1)</f>
        <v>Basic</v>
      </c>
      <c r="F670" s="28" t="s">
        <v>2207</v>
      </c>
    </row>
    <row r="671" spans="1:6" x14ac:dyDescent="0.2">
      <c r="A671" s="30">
        <v>45730</v>
      </c>
      <c r="B671" s="28" t="s">
        <v>1950</v>
      </c>
      <c r="C671" s="28">
        <v>15.98</v>
      </c>
      <c r="D671" s="28" t="str">
        <f>_xlfn.XLOOKUP(B671,'Payee Ref'!A:A,'Payee Ref'!B:B,"unassigned",0,1)</f>
        <v>Parking</v>
      </c>
      <c r="E671" s="29" t="str">
        <f>_xlfn.XLOOKUP(B671,'Payee Ref'!A:A,'Payee Ref'!C:C,"unassigned",0,1)</f>
        <v>Basic</v>
      </c>
      <c r="F671" s="28" t="s">
        <v>2207</v>
      </c>
    </row>
    <row r="672" spans="1:6" x14ac:dyDescent="0.2">
      <c r="A672" s="30">
        <v>45728</v>
      </c>
      <c r="B672" s="28" t="s">
        <v>1950</v>
      </c>
      <c r="C672" s="28">
        <v>15.98</v>
      </c>
      <c r="D672" s="28" t="str">
        <f>_xlfn.XLOOKUP(B672,'Payee Ref'!A:A,'Payee Ref'!B:B,"unassigned",0,1)</f>
        <v>Parking</v>
      </c>
      <c r="E672" s="29" t="str">
        <f>_xlfn.XLOOKUP(B672,'Payee Ref'!A:A,'Payee Ref'!C:C,"unassigned",0,1)</f>
        <v>Basic</v>
      </c>
      <c r="F672" s="28" t="s">
        <v>2207</v>
      </c>
    </row>
    <row r="673" spans="1:6" x14ac:dyDescent="0.2">
      <c r="A673" s="30">
        <v>45726</v>
      </c>
      <c r="B673" s="28" t="s">
        <v>1950</v>
      </c>
      <c r="C673" s="28">
        <v>15.98</v>
      </c>
      <c r="D673" s="28" t="str">
        <f>_xlfn.XLOOKUP(B673,'Payee Ref'!A:A,'Payee Ref'!B:B,"unassigned",0,1)</f>
        <v>Parking</v>
      </c>
      <c r="E673" s="29" t="str">
        <f>_xlfn.XLOOKUP(B673,'Payee Ref'!A:A,'Payee Ref'!C:C,"unassigned",0,1)</f>
        <v>Basic</v>
      </c>
      <c r="F673" s="28" t="s">
        <v>2207</v>
      </c>
    </row>
    <row r="674" spans="1:6" x14ac:dyDescent="0.2">
      <c r="A674" s="30">
        <v>45724</v>
      </c>
      <c r="B674" s="28" t="s">
        <v>1950</v>
      </c>
      <c r="C674" s="28">
        <v>15.98</v>
      </c>
      <c r="D674" s="28" t="str">
        <f>_xlfn.XLOOKUP(B674,'Payee Ref'!A:A,'Payee Ref'!B:B,"unassigned",0,1)</f>
        <v>Parking</v>
      </c>
      <c r="E674" s="29" t="str">
        <f>_xlfn.XLOOKUP(B674,'Payee Ref'!A:A,'Payee Ref'!C:C,"unassigned",0,1)</f>
        <v>Basic</v>
      </c>
      <c r="F674" s="28" t="s">
        <v>2207</v>
      </c>
    </row>
    <row r="675" spans="1:6" x14ac:dyDescent="0.2">
      <c r="A675" s="30">
        <v>45721</v>
      </c>
      <c r="B675" s="28" t="s">
        <v>1950</v>
      </c>
      <c r="C675" s="28">
        <v>15.98</v>
      </c>
      <c r="D675" s="28" t="str">
        <f>_xlfn.XLOOKUP(B675,'Payee Ref'!A:A,'Payee Ref'!B:B,"unassigned",0,1)</f>
        <v>Parking</v>
      </c>
      <c r="E675" s="29" t="str">
        <f>_xlfn.XLOOKUP(B675,'Payee Ref'!A:A,'Payee Ref'!C:C,"unassigned",0,1)</f>
        <v>Basic</v>
      </c>
      <c r="F675" s="28" t="s">
        <v>2207</v>
      </c>
    </row>
    <row r="676" spans="1:6" x14ac:dyDescent="0.2">
      <c r="A676" s="30">
        <v>45720</v>
      </c>
      <c r="B676" s="28" t="s">
        <v>1950</v>
      </c>
      <c r="C676" s="28">
        <v>15.98</v>
      </c>
      <c r="D676" s="28" t="str">
        <f>_xlfn.XLOOKUP(B676,'Payee Ref'!A:A,'Payee Ref'!B:B,"unassigned",0,1)</f>
        <v>Parking</v>
      </c>
      <c r="E676" s="29" t="str">
        <f>_xlfn.XLOOKUP(B676,'Payee Ref'!A:A,'Payee Ref'!C:C,"unassigned",0,1)</f>
        <v>Basic</v>
      </c>
      <c r="F676" s="28" t="s">
        <v>2207</v>
      </c>
    </row>
    <row r="677" spans="1:6" x14ac:dyDescent="0.2">
      <c r="A677" s="30">
        <v>45679</v>
      </c>
      <c r="B677" s="28" t="s">
        <v>1950</v>
      </c>
      <c r="C677" s="28">
        <v>15.98</v>
      </c>
      <c r="D677" s="28" t="str">
        <f>_xlfn.XLOOKUP(B677,'Payee Ref'!A:A,'Payee Ref'!B:B,"unassigned",0,1)</f>
        <v>Parking</v>
      </c>
      <c r="E677" s="29" t="str">
        <f>_xlfn.XLOOKUP(B677,'Payee Ref'!A:A,'Payee Ref'!C:C,"unassigned",0,1)</f>
        <v>Basic</v>
      </c>
      <c r="F677" s="28" t="s">
        <v>2207</v>
      </c>
    </row>
    <row r="678" spans="1:6" x14ac:dyDescent="0.2">
      <c r="A678" s="30">
        <v>45827</v>
      </c>
      <c r="B678" s="28" t="s">
        <v>1822</v>
      </c>
      <c r="C678" s="28">
        <v>15.99</v>
      </c>
      <c r="D678" s="28" t="str">
        <f>_xlfn.XLOOKUP(B678,'Payee Ref'!A:A,'Payee Ref'!B:B,"unassigned",0,1)</f>
        <v>Dining</v>
      </c>
      <c r="E678" s="29" t="str">
        <f>_xlfn.XLOOKUP(B678,'Payee Ref'!A:A,'Payee Ref'!C:C,"unassigned",0,1)</f>
        <v>Luxury</v>
      </c>
      <c r="F678" s="28" t="s">
        <v>2207</v>
      </c>
    </row>
    <row r="679" spans="1:6" x14ac:dyDescent="0.2">
      <c r="A679" s="30">
        <v>45751</v>
      </c>
      <c r="B679" s="28" t="s">
        <v>1950</v>
      </c>
      <c r="C679" s="28">
        <v>16.18</v>
      </c>
      <c r="D679" s="28" t="str">
        <f>_xlfn.XLOOKUP(B679,'Payee Ref'!A:A,'Payee Ref'!B:B,"unassigned",0,1)</f>
        <v>Parking</v>
      </c>
      <c r="E679" s="29" t="str">
        <f>_xlfn.XLOOKUP(B679,'Payee Ref'!A:A,'Payee Ref'!C:C,"unassigned",0,1)</f>
        <v>Basic</v>
      </c>
      <c r="F679" s="28" t="s">
        <v>2207</v>
      </c>
    </row>
    <row r="680" spans="1:6" x14ac:dyDescent="0.2">
      <c r="A680" s="30">
        <v>45750</v>
      </c>
      <c r="B680" s="28" t="s">
        <v>1950</v>
      </c>
      <c r="C680" s="28">
        <v>16.18</v>
      </c>
      <c r="D680" s="28" t="str">
        <f>_xlfn.XLOOKUP(B680,'Payee Ref'!A:A,'Payee Ref'!B:B,"unassigned",0,1)</f>
        <v>Parking</v>
      </c>
      <c r="E680" s="29" t="str">
        <f>_xlfn.XLOOKUP(B680,'Payee Ref'!A:A,'Payee Ref'!C:C,"unassigned",0,1)</f>
        <v>Basic</v>
      </c>
      <c r="F680" s="28" t="s">
        <v>2207</v>
      </c>
    </row>
    <row r="681" spans="1:6" x14ac:dyDescent="0.2">
      <c r="A681" s="30">
        <v>45748</v>
      </c>
      <c r="B681" s="28" t="s">
        <v>1950</v>
      </c>
      <c r="C681" s="28">
        <v>16.18</v>
      </c>
      <c r="D681" s="28" t="str">
        <f>_xlfn.XLOOKUP(B681,'Payee Ref'!A:A,'Payee Ref'!B:B,"unassigned",0,1)</f>
        <v>Parking</v>
      </c>
      <c r="E681" s="29" t="str">
        <f>_xlfn.XLOOKUP(B681,'Payee Ref'!A:A,'Payee Ref'!C:C,"unassigned",0,1)</f>
        <v>Basic</v>
      </c>
      <c r="F681" s="28" t="s">
        <v>2207</v>
      </c>
    </row>
    <row r="682" spans="1:6" x14ac:dyDescent="0.2">
      <c r="A682" s="30">
        <v>45744</v>
      </c>
      <c r="B682" s="28" t="s">
        <v>1950</v>
      </c>
      <c r="C682" s="28">
        <v>16.18</v>
      </c>
      <c r="D682" s="28" t="str">
        <f>_xlfn.XLOOKUP(B682,'Payee Ref'!A:A,'Payee Ref'!B:B,"unassigned",0,1)</f>
        <v>Parking</v>
      </c>
      <c r="E682" s="29" t="str">
        <f>_xlfn.XLOOKUP(B682,'Payee Ref'!A:A,'Payee Ref'!C:C,"unassigned",0,1)</f>
        <v>Basic</v>
      </c>
      <c r="F682" s="28" t="s">
        <v>2207</v>
      </c>
    </row>
    <row r="683" spans="1:6" x14ac:dyDescent="0.2">
      <c r="A683" s="30">
        <v>45743</v>
      </c>
      <c r="B683" s="28" t="s">
        <v>1950</v>
      </c>
      <c r="C683" s="28">
        <v>16.18</v>
      </c>
      <c r="D683" s="28" t="str">
        <f>_xlfn.XLOOKUP(B683,'Payee Ref'!A:A,'Payee Ref'!B:B,"unassigned",0,1)</f>
        <v>Parking</v>
      </c>
      <c r="E683" s="29" t="str">
        <f>_xlfn.XLOOKUP(B683,'Payee Ref'!A:A,'Payee Ref'!C:C,"unassigned",0,1)</f>
        <v>Basic</v>
      </c>
      <c r="F683" s="28" t="s">
        <v>2207</v>
      </c>
    </row>
    <row r="684" spans="1:6" x14ac:dyDescent="0.2">
      <c r="A684" s="30">
        <v>45742</v>
      </c>
      <c r="B684" s="28" t="s">
        <v>1950</v>
      </c>
      <c r="C684" s="28">
        <v>16.18</v>
      </c>
      <c r="D684" s="28" t="str">
        <f>_xlfn.XLOOKUP(B684,'Payee Ref'!A:A,'Payee Ref'!B:B,"unassigned",0,1)</f>
        <v>Parking</v>
      </c>
      <c r="E684" s="29" t="str">
        <f>_xlfn.XLOOKUP(B684,'Payee Ref'!A:A,'Payee Ref'!C:C,"unassigned",0,1)</f>
        <v>Basic</v>
      </c>
      <c r="F684" s="28" t="s">
        <v>2207</v>
      </c>
    </row>
    <row r="685" spans="1:6" x14ac:dyDescent="0.2">
      <c r="A685" s="30">
        <v>45741</v>
      </c>
      <c r="B685" s="28" t="s">
        <v>1950</v>
      </c>
      <c r="C685" s="28">
        <v>16.18</v>
      </c>
      <c r="D685" s="28" t="str">
        <f>_xlfn.XLOOKUP(B685,'Payee Ref'!A:A,'Payee Ref'!B:B,"unassigned",0,1)</f>
        <v>Parking</v>
      </c>
      <c r="E685" s="29" t="str">
        <f>_xlfn.XLOOKUP(B685,'Payee Ref'!A:A,'Payee Ref'!C:C,"unassigned",0,1)</f>
        <v>Basic</v>
      </c>
      <c r="F685" s="28" t="s">
        <v>2207</v>
      </c>
    </row>
    <row r="686" spans="1:6" x14ac:dyDescent="0.2">
      <c r="A686" s="30">
        <v>45740</v>
      </c>
      <c r="B686" s="28" t="s">
        <v>1950</v>
      </c>
      <c r="C686" s="28">
        <v>16.18</v>
      </c>
      <c r="D686" s="28" t="str">
        <f>_xlfn.XLOOKUP(B686,'Payee Ref'!A:A,'Payee Ref'!B:B,"unassigned",0,1)</f>
        <v>Parking</v>
      </c>
      <c r="E686" s="29" t="str">
        <f>_xlfn.XLOOKUP(B686,'Payee Ref'!A:A,'Payee Ref'!C:C,"unassigned",0,1)</f>
        <v>Basic</v>
      </c>
      <c r="F686" s="28" t="s">
        <v>2207</v>
      </c>
    </row>
    <row r="687" spans="1:6" x14ac:dyDescent="0.2">
      <c r="A687" s="30">
        <v>45734</v>
      </c>
      <c r="B687" s="28" t="s">
        <v>1950</v>
      </c>
      <c r="C687" s="28">
        <v>16.18</v>
      </c>
      <c r="D687" s="28" t="str">
        <f>_xlfn.XLOOKUP(B687,'Payee Ref'!A:A,'Payee Ref'!B:B,"unassigned",0,1)</f>
        <v>Parking</v>
      </c>
      <c r="E687" s="29" t="str">
        <f>_xlfn.XLOOKUP(B687,'Payee Ref'!A:A,'Payee Ref'!C:C,"unassigned",0,1)</f>
        <v>Basic</v>
      </c>
      <c r="F687" s="28" t="s">
        <v>2207</v>
      </c>
    </row>
    <row r="688" spans="1:6" x14ac:dyDescent="0.2">
      <c r="A688" s="30">
        <v>45723</v>
      </c>
      <c r="B688" s="28" t="s">
        <v>72</v>
      </c>
      <c r="C688" s="28">
        <v>16.22</v>
      </c>
      <c r="D688" s="28" t="str">
        <f>_xlfn.XLOOKUP(B688,'Payee Ref'!A:A,'Payee Ref'!B:B,"unassigned",0,1)</f>
        <v>Bank Fees</v>
      </c>
      <c r="E688" s="29" t="str">
        <f>_xlfn.XLOOKUP(B688,'Payee Ref'!A:A,'Payee Ref'!C:C,"unassigned",0,1)</f>
        <v>Luxury</v>
      </c>
      <c r="F688" s="28" t="s">
        <v>2207</v>
      </c>
    </row>
    <row r="689" spans="1:6" x14ac:dyDescent="0.2">
      <c r="A689" s="30">
        <v>45775</v>
      </c>
      <c r="B689" s="28" t="s">
        <v>1534</v>
      </c>
      <c r="C689" s="28">
        <v>16.27</v>
      </c>
      <c r="D689" s="28" t="str">
        <f>_xlfn.XLOOKUP(B689,'Payee Ref'!A:A,'Payee Ref'!B:B,"unassigned",0,1)</f>
        <v>Dining</v>
      </c>
      <c r="E689" s="29" t="str">
        <f>_xlfn.XLOOKUP(B689,'Payee Ref'!A:A,'Payee Ref'!C:C,"unassigned",0,1)</f>
        <v>Luxury</v>
      </c>
      <c r="F689" s="28" t="s">
        <v>2207</v>
      </c>
    </row>
    <row r="690" spans="1:6" x14ac:dyDescent="0.2">
      <c r="A690" s="30">
        <v>45663</v>
      </c>
      <c r="B690" s="28" t="s">
        <v>2119</v>
      </c>
      <c r="C690" s="28">
        <v>16.28</v>
      </c>
      <c r="D690" s="28" t="str">
        <f>_xlfn.XLOOKUP(B690,'Payee Ref'!A:A,'Payee Ref'!B:B,"unassigned",0,1)</f>
        <v>Clothing</v>
      </c>
      <c r="E690" s="29" t="str">
        <f>_xlfn.XLOOKUP(B690,'Payee Ref'!A:A,'Payee Ref'!C:C,"unassigned",0,1)</f>
        <v>Luxury</v>
      </c>
      <c r="F690" s="28" t="s">
        <v>2207</v>
      </c>
    </row>
    <row r="691" spans="1:6" x14ac:dyDescent="0.2">
      <c r="A691" s="30">
        <v>45804</v>
      </c>
      <c r="B691" s="28" t="s">
        <v>1796</v>
      </c>
      <c r="C691" s="28">
        <v>16.28</v>
      </c>
      <c r="D691" s="28" t="str">
        <f>_xlfn.XLOOKUP(B691,'Payee Ref'!A:A,'Payee Ref'!B:B,"unassigned",0,1)</f>
        <v>Dining</v>
      </c>
      <c r="E691" s="29" t="str">
        <f>_xlfn.XLOOKUP(B691,'Payee Ref'!A:A,'Payee Ref'!C:C,"unassigned",0,1)</f>
        <v>Luxury</v>
      </c>
      <c r="F691" s="28" t="s">
        <v>2207</v>
      </c>
    </row>
    <row r="692" spans="1:6" x14ac:dyDescent="0.2">
      <c r="A692" s="30">
        <v>45778</v>
      </c>
      <c r="B692" s="28" t="s">
        <v>1796</v>
      </c>
      <c r="C692" s="28">
        <v>16.28</v>
      </c>
      <c r="D692" s="28" t="str">
        <f>_xlfn.XLOOKUP(B692,'Payee Ref'!A:A,'Payee Ref'!B:B,"unassigned",0,1)</f>
        <v>Dining</v>
      </c>
      <c r="E692" s="29" t="str">
        <f>_xlfn.XLOOKUP(B692,'Payee Ref'!A:A,'Payee Ref'!C:C,"unassigned",0,1)</f>
        <v>Luxury</v>
      </c>
      <c r="F692" s="28" t="s">
        <v>2207</v>
      </c>
    </row>
    <row r="693" spans="1:6" x14ac:dyDescent="0.2">
      <c r="A693" s="30">
        <v>45973</v>
      </c>
      <c r="B693" s="28" t="s">
        <v>168</v>
      </c>
      <c r="C693" s="28">
        <v>16.309999999999999</v>
      </c>
      <c r="D693" s="28" t="str">
        <f>_xlfn.XLOOKUP(B693,'Payee Ref'!A:A,'Payee Ref'!B:B,"unassigned",0,1)</f>
        <v>Dining</v>
      </c>
      <c r="E693" s="29" t="str">
        <f>_xlfn.XLOOKUP(B693,'Payee Ref'!A:A,'Payee Ref'!C:C,"unassigned",0,1)</f>
        <v>Luxury</v>
      </c>
      <c r="F693" s="28" t="s">
        <v>2207</v>
      </c>
    </row>
    <row r="694" spans="1:6" x14ac:dyDescent="0.2">
      <c r="A694" s="30">
        <v>45965</v>
      </c>
      <c r="B694" s="28" t="s">
        <v>1194</v>
      </c>
      <c r="C694" s="28">
        <v>16.309999999999999</v>
      </c>
      <c r="D694" s="28" t="str">
        <f>_xlfn.XLOOKUP(B694,'Payee Ref'!A:A,'Payee Ref'!B:B,"unassigned",0,1)</f>
        <v>Travel</v>
      </c>
      <c r="E694" s="29" t="str">
        <f>_xlfn.XLOOKUP(B694,'Payee Ref'!A:A,'Payee Ref'!C:C,"unassigned",0,1)</f>
        <v>Luxury</v>
      </c>
      <c r="F694" s="28" t="s">
        <v>2207</v>
      </c>
    </row>
    <row r="695" spans="1:6" x14ac:dyDescent="0.2">
      <c r="A695" s="30">
        <v>45770</v>
      </c>
      <c r="B695" s="28" t="s">
        <v>1952</v>
      </c>
      <c r="C695" s="28">
        <v>16.32</v>
      </c>
      <c r="D695" s="28" t="str">
        <f>_xlfn.XLOOKUP(B695,'Payee Ref'!A:A,'Payee Ref'!B:B,"unassigned",0,1)</f>
        <v>Groceries</v>
      </c>
      <c r="E695" s="29" t="str">
        <f>_xlfn.XLOOKUP(B695,'Payee Ref'!A:A,'Payee Ref'!C:C,"unassigned",0,1)</f>
        <v>Basic</v>
      </c>
      <c r="F695" s="28" t="s">
        <v>2207</v>
      </c>
    </row>
    <row r="696" spans="1:6" x14ac:dyDescent="0.2">
      <c r="A696" s="30">
        <v>45755</v>
      </c>
      <c r="B696" s="28" t="s">
        <v>1952</v>
      </c>
      <c r="C696" s="28">
        <v>16.329999999999998</v>
      </c>
      <c r="D696" s="28" t="str">
        <f>_xlfn.XLOOKUP(B696,'Payee Ref'!A:A,'Payee Ref'!B:B,"unassigned",0,1)</f>
        <v>Groceries</v>
      </c>
      <c r="E696" s="29" t="str">
        <f>_xlfn.XLOOKUP(B696,'Payee Ref'!A:A,'Payee Ref'!C:C,"unassigned",0,1)</f>
        <v>Basic</v>
      </c>
      <c r="F696" s="28" t="s">
        <v>2207</v>
      </c>
    </row>
    <row r="697" spans="1:6" x14ac:dyDescent="0.2">
      <c r="A697" s="30">
        <v>45881</v>
      </c>
      <c r="B697" s="28" t="s">
        <v>1733</v>
      </c>
      <c r="C697" s="28">
        <v>16.34</v>
      </c>
      <c r="D697" s="28" t="str">
        <f>_xlfn.XLOOKUP(B697,'Payee Ref'!A:A,'Payee Ref'!B:B,"unassigned",0,1)</f>
        <v>Home &amp; Garden</v>
      </c>
      <c r="E697" s="29" t="str">
        <f>_xlfn.XLOOKUP(B697,'Payee Ref'!A:A,'Payee Ref'!C:C,"unassigned",0,1)</f>
        <v>Basic</v>
      </c>
      <c r="F697" s="28" t="s">
        <v>2207</v>
      </c>
    </row>
    <row r="698" spans="1:6" x14ac:dyDescent="0.2">
      <c r="A698" s="30">
        <v>45890</v>
      </c>
      <c r="B698" s="28" t="s">
        <v>1702</v>
      </c>
      <c r="C698" s="28">
        <v>16.350000000000001</v>
      </c>
      <c r="D698" s="28" t="str">
        <f>_xlfn.XLOOKUP(B698,'Payee Ref'!A:A,'Payee Ref'!B:B,"unassigned",0,1)</f>
        <v>Dining</v>
      </c>
      <c r="E698" s="29" t="str">
        <f>_xlfn.XLOOKUP(B698,'Payee Ref'!A:A,'Payee Ref'!C:C,"unassigned",0,1)</f>
        <v>Luxury</v>
      </c>
      <c r="F698" s="28" t="s">
        <v>2207</v>
      </c>
    </row>
    <row r="699" spans="1:6" x14ac:dyDescent="0.2">
      <c r="A699" s="30">
        <v>45897</v>
      </c>
      <c r="B699" s="28" t="s">
        <v>1682</v>
      </c>
      <c r="C699" s="28">
        <v>16.48</v>
      </c>
      <c r="D699" s="28" t="str">
        <f>_xlfn.XLOOKUP(B699,'Payee Ref'!A:A,'Payee Ref'!B:B,"unassigned",0,1)</f>
        <v>unassigned</v>
      </c>
      <c r="E699" s="29" t="str">
        <f>_xlfn.XLOOKUP(B699,'Payee Ref'!A:A,'Payee Ref'!C:C,"unassigned",0,1)</f>
        <v>unassigned</v>
      </c>
      <c r="F699" s="28" t="s">
        <v>2207</v>
      </c>
    </row>
    <row r="700" spans="1:6" x14ac:dyDescent="0.2">
      <c r="A700" s="30">
        <v>45793</v>
      </c>
      <c r="B700" s="28" t="s">
        <v>1996</v>
      </c>
      <c r="C700" s="28">
        <v>16.5</v>
      </c>
      <c r="D700" s="28" t="str">
        <f>_xlfn.XLOOKUP(B700,'Payee Ref'!A:A,'Payee Ref'!B:B,"unassigned",0,1)</f>
        <v>Dining</v>
      </c>
      <c r="E700" s="29" t="str">
        <f>_xlfn.XLOOKUP(B700,'Payee Ref'!A:A,'Payee Ref'!C:C,"unassigned",0,1)</f>
        <v>Luxury</v>
      </c>
      <c r="F700" s="28" t="s">
        <v>2207</v>
      </c>
    </row>
    <row r="701" spans="1:6" x14ac:dyDescent="0.2">
      <c r="A701" s="30">
        <v>45897</v>
      </c>
      <c r="B701" s="28" t="s">
        <v>1685</v>
      </c>
      <c r="C701" s="28">
        <v>16.5</v>
      </c>
      <c r="D701" s="28" t="str">
        <f>_xlfn.XLOOKUP(B701,'Payee Ref'!A:A,'Payee Ref'!B:B,"unassigned",0,1)</f>
        <v>unassigned</v>
      </c>
      <c r="E701" s="29" t="str">
        <f>_xlfn.XLOOKUP(B701,'Payee Ref'!A:A,'Payee Ref'!C:C,"unassigned",0,1)</f>
        <v>unassigned</v>
      </c>
      <c r="F701" s="28" t="s">
        <v>2207</v>
      </c>
    </row>
    <row r="702" spans="1:6" x14ac:dyDescent="0.2">
      <c r="A702" s="30">
        <v>45901</v>
      </c>
      <c r="B702" s="28" t="s">
        <v>1669</v>
      </c>
      <c r="C702" s="28">
        <v>16.5</v>
      </c>
      <c r="D702" s="28" t="str">
        <f>_xlfn.XLOOKUP(B702,'Payee Ref'!A:A,'Payee Ref'!B:B,"unassigned",0,1)</f>
        <v>Utilities</v>
      </c>
      <c r="E702" s="29" t="str">
        <f>_xlfn.XLOOKUP(B702,'Payee Ref'!A:A,'Payee Ref'!C:C,"unassigned",0,1)</f>
        <v>Basic</v>
      </c>
      <c r="F702" s="28" t="s">
        <v>2207</v>
      </c>
    </row>
    <row r="703" spans="1:6" x14ac:dyDescent="0.2">
      <c r="A703" s="30">
        <v>45749</v>
      </c>
      <c r="B703" s="31" t="s">
        <v>2053</v>
      </c>
      <c r="C703" s="28">
        <v>16.52</v>
      </c>
      <c r="D703" s="28" t="str">
        <f>_xlfn.XLOOKUP(B703,'Payee Ref'!A:A,'Payee Ref'!B:B,"unassigned",0,1)</f>
        <v>Home &amp; Garden</v>
      </c>
      <c r="E703" s="29" t="str">
        <f>_xlfn.XLOOKUP(B703,'Payee Ref'!A:A,'Payee Ref'!C:C,"unassigned",0,1)</f>
        <v>Basic</v>
      </c>
      <c r="F703" s="28" t="s">
        <v>2207</v>
      </c>
    </row>
    <row r="704" spans="1:6" x14ac:dyDescent="0.2">
      <c r="A704" s="30">
        <v>45799</v>
      </c>
      <c r="B704" s="28" t="s">
        <v>1952</v>
      </c>
      <c r="C704" s="28">
        <v>16.53</v>
      </c>
      <c r="D704" s="28" t="str">
        <f>_xlfn.XLOOKUP(B704,'Payee Ref'!A:A,'Payee Ref'!B:B,"unassigned",0,1)</f>
        <v>Groceries</v>
      </c>
      <c r="E704" s="29" t="str">
        <f>_xlfn.XLOOKUP(B704,'Payee Ref'!A:A,'Payee Ref'!C:C,"unassigned",0,1)</f>
        <v>Basic</v>
      </c>
      <c r="F704" s="28" t="s">
        <v>2207</v>
      </c>
    </row>
    <row r="705" spans="1:6" x14ac:dyDescent="0.2">
      <c r="A705" s="30">
        <v>45769</v>
      </c>
      <c r="B705" s="31" t="s">
        <v>2026</v>
      </c>
      <c r="C705" s="28">
        <v>16.54</v>
      </c>
      <c r="D705" s="28" t="str">
        <f>_xlfn.XLOOKUP(B705,'Payee Ref'!A:A,'Payee Ref'!B:B,"unassigned",0,1)</f>
        <v>Home &amp; Garden</v>
      </c>
      <c r="E705" s="29" t="str">
        <f>_xlfn.XLOOKUP(B705,'Payee Ref'!A:A,'Payee Ref'!C:C,"unassigned",0,1)</f>
        <v>Basic</v>
      </c>
      <c r="F705" s="28" t="s">
        <v>2207</v>
      </c>
    </row>
    <row r="706" spans="1:6" x14ac:dyDescent="0.2">
      <c r="A706" s="30">
        <v>45738</v>
      </c>
      <c r="B706" s="31" t="s">
        <v>2078</v>
      </c>
      <c r="C706" s="28">
        <v>16.54</v>
      </c>
      <c r="D706" s="28" t="str">
        <f>_xlfn.XLOOKUP(B706,'Payee Ref'!A:A,'Payee Ref'!B:B,"unassigned",0,1)</f>
        <v>Home &amp; Garden</v>
      </c>
      <c r="E706" s="29" t="str">
        <f>_xlfn.XLOOKUP(B706,'Payee Ref'!A:A,'Payee Ref'!C:C,"unassigned",0,1)</f>
        <v>Basic</v>
      </c>
      <c r="F706" s="28" t="s">
        <v>2207</v>
      </c>
    </row>
    <row r="707" spans="1:6" x14ac:dyDescent="0.2">
      <c r="A707" s="30">
        <v>45710</v>
      </c>
      <c r="B707" s="31" t="s">
        <v>2112</v>
      </c>
      <c r="C707" s="28">
        <v>16.54</v>
      </c>
      <c r="D707" s="28" t="str">
        <f>_xlfn.XLOOKUP(B707,'Payee Ref'!A:A,'Payee Ref'!B:B,"unassigned",0,1)</f>
        <v>Home &amp; Garden</v>
      </c>
      <c r="E707" s="29" t="str">
        <f>_xlfn.XLOOKUP(B707,'Payee Ref'!A:A,'Payee Ref'!C:C,"unassigned",0,1)</f>
        <v>Basic</v>
      </c>
      <c r="F707" s="28" t="s">
        <v>2207</v>
      </c>
    </row>
    <row r="708" spans="1:6" x14ac:dyDescent="0.2">
      <c r="A708" s="30">
        <v>45679</v>
      </c>
      <c r="B708" s="31" t="s">
        <v>2156</v>
      </c>
      <c r="C708" s="28">
        <v>16.54</v>
      </c>
      <c r="D708" s="28" t="str">
        <f>_xlfn.XLOOKUP(B708,'Payee Ref'!A:A,'Payee Ref'!B:B,"unassigned",0,1)</f>
        <v>Home &amp; Garden</v>
      </c>
      <c r="E708" s="29" t="str">
        <f>_xlfn.XLOOKUP(B708,'Payee Ref'!A:A,'Payee Ref'!C:C,"unassigned",0,1)</f>
        <v>Basic</v>
      </c>
      <c r="F708" s="28" t="s">
        <v>2207</v>
      </c>
    </row>
    <row r="709" spans="1:6" x14ac:dyDescent="0.2">
      <c r="A709" s="30">
        <v>45969</v>
      </c>
      <c r="B709" s="28" t="s">
        <v>852</v>
      </c>
      <c r="C709" s="28">
        <v>16.54</v>
      </c>
      <c r="D709" s="28" t="str">
        <f>_xlfn.XLOOKUP(B709,'Payee Ref'!A:A,'Payee Ref'!B:B,"unassigned",0,1)</f>
        <v>Pharmacy</v>
      </c>
      <c r="E709" s="29" t="str">
        <f>_xlfn.XLOOKUP(B709,'Payee Ref'!A:A,'Payee Ref'!C:C,"unassigned",0,1)</f>
        <v>Basic</v>
      </c>
      <c r="F709" s="28" t="s">
        <v>2207</v>
      </c>
    </row>
    <row r="710" spans="1:6" x14ac:dyDescent="0.2">
      <c r="A710" s="30">
        <v>45974</v>
      </c>
      <c r="B710" s="31" t="s">
        <v>916</v>
      </c>
      <c r="C710" s="28">
        <v>16.54</v>
      </c>
      <c r="D710" s="28" t="str">
        <f>_xlfn.XLOOKUP(B710,'Payee Ref'!A:A,'Payee Ref'!B:B,"unassigned",0,1)</f>
        <v>Subscriptions / Digital</v>
      </c>
      <c r="E710" s="29" t="str">
        <f>_xlfn.XLOOKUP(B710,'Payee Ref'!A:A,'Payee Ref'!C:C,"unassigned",0,1)</f>
        <v>Luxury</v>
      </c>
      <c r="F710" s="28" t="s">
        <v>2207</v>
      </c>
    </row>
    <row r="711" spans="1:6" x14ac:dyDescent="0.2">
      <c r="A711" s="30">
        <v>45943</v>
      </c>
      <c r="B711" s="31" t="s">
        <v>916</v>
      </c>
      <c r="C711" s="28">
        <v>16.54</v>
      </c>
      <c r="D711" s="28" t="str">
        <f>_xlfn.XLOOKUP(B711,'Payee Ref'!A:A,'Payee Ref'!B:B,"unassigned",0,1)</f>
        <v>Subscriptions / Digital</v>
      </c>
      <c r="E711" s="29" t="str">
        <f>_xlfn.XLOOKUP(B711,'Payee Ref'!A:A,'Payee Ref'!C:C,"unassigned",0,1)</f>
        <v>Luxury</v>
      </c>
      <c r="F711" s="28" t="s">
        <v>2207</v>
      </c>
    </row>
    <row r="712" spans="1:6" x14ac:dyDescent="0.2">
      <c r="A712" s="30">
        <v>45920</v>
      </c>
      <c r="B712" s="31" t="s">
        <v>1543</v>
      </c>
      <c r="C712" s="28">
        <v>16.54</v>
      </c>
      <c r="D712" s="28" t="str">
        <f>_xlfn.XLOOKUP(B712,'Payee Ref'!A:A,'Payee Ref'!B:B,"unassigned",0,1)</f>
        <v>Subscriptions / Digital</v>
      </c>
      <c r="E712" s="29" t="str">
        <f>_xlfn.XLOOKUP(B712,'Payee Ref'!A:A,'Payee Ref'!C:C,"unassigned",0,1)</f>
        <v>Luxury</v>
      </c>
      <c r="F712" s="28" t="s">
        <v>2207</v>
      </c>
    </row>
    <row r="713" spans="1:6" x14ac:dyDescent="0.2">
      <c r="A713" s="30">
        <v>45913</v>
      </c>
      <c r="B713" s="28" t="s">
        <v>1569</v>
      </c>
      <c r="C713" s="28">
        <v>16.54</v>
      </c>
      <c r="D713" s="28" t="str">
        <f>_xlfn.XLOOKUP(B713,'Payee Ref'!A:A,'Payee Ref'!B:B,"unassigned",0,1)</f>
        <v>Subscriptions / Digital</v>
      </c>
      <c r="E713" s="29" t="str">
        <f>_xlfn.XLOOKUP(B713,'Payee Ref'!A:A,'Payee Ref'!C:C,"unassigned",0,1)</f>
        <v>Luxury</v>
      </c>
      <c r="F713" s="28" t="s">
        <v>2207</v>
      </c>
    </row>
    <row r="714" spans="1:6" x14ac:dyDescent="0.2">
      <c r="A714" s="30">
        <v>45882</v>
      </c>
      <c r="B714" s="28" t="s">
        <v>1569</v>
      </c>
      <c r="C714" s="28">
        <v>16.54</v>
      </c>
      <c r="D714" s="28" t="str">
        <f>_xlfn.XLOOKUP(B714,'Payee Ref'!A:A,'Payee Ref'!B:B,"unassigned",0,1)</f>
        <v>Subscriptions / Digital</v>
      </c>
      <c r="E714" s="29" t="str">
        <f>_xlfn.XLOOKUP(B714,'Payee Ref'!A:A,'Payee Ref'!C:C,"unassigned",0,1)</f>
        <v>Luxury</v>
      </c>
      <c r="F714" s="28" t="s">
        <v>2207</v>
      </c>
    </row>
    <row r="715" spans="1:6" x14ac:dyDescent="0.2">
      <c r="A715" s="30">
        <v>45851</v>
      </c>
      <c r="B715" s="28" t="s">
        <v>1569</v>
      </c>
      <c r="C715" s="28">
        <v>16.54</v>
      </c>
      <c r="D715" s="28" t="str">
        <f>_xlfn.XLOOKUP(B715,'Payee Ref'!A:A,'Payee Ref'!B:B,"unassigned",0,1)</f>
        <v>Subscriptions / Digital</v>
      </c>
      <c r="E715" s="29" t="str">
        <f>_xlfn.XLOOKUP(B715,'Payee Ref'!A:A,'Payee Ref'!C:C,"unassigned",0,1)</f>
        <v>Luxury</v>
      </c>
      <c r="F715" s="28" t="s">
        <v>2207</v>
      </c>
    </row>
    <row r="716" spans="1:6" x14ac:dyDescent="0.2">
      <c r="A716" s="30">
        <v>45821</v>
      </c>
      <c r="B716" s="28" t="s">
        <v>1569</v>
      </c>
      <c r="C716" s="28">
        <v>16.54</v>
      </c>
      <c r="D716" s="28" t="str">
        <f>_xlfn.XLOOKUP(B716,'Payee Ref'!A:A,'Payee Ref'!B:B,"unassigned",0,1)</f>
        <v>Subscriptions / Digital</v>
      </c>
      <c r="E716" s="29" t="str">
        <f>_xlfn.XLOOKUP(B716,'Payee Ref'!A:A,'Payee Ref'!C:C,"unassigned",0,1)</f>
        <v>Luxury</v>
      </c>
      <c r="F716" s="28" t="s">
        <v>2207</v>
      </c>
    </row>
    <row r="717" spans="1:6" x14ac:dyDescent="0.2">
      <c r="A717" s="30">
        <v>45790</v>
      </c>
      <c r="B717" s="28" t="s">
        <v>1569</v>
      </c>
      <c r="C717" s="28">
        <v>16.54</v>
      </c>
      <c r="D717" s="28" t="str">
        <f>_xlfn.XLOOKUP(B717,'Payee Ref'!A:A,'Payee Ref'!B:B,"unassigned",0,1)</f>
        <v>Subscriptions / Digital</v>
      </c>
      <c r="E717" s="29" t="str">
        <f>_xlfn.XLOOKUP(B717,'Payee Ref'!A:A,'Payee Ref'!C:C,"unassigned",0,1)</f>
        <v>Luxury</v>
      </c>
      <c r="F717" s="28" t="s">
        <v>2207</v>
      </c>
    </row>
    <row r="718" spans="1:6" x14ac:dyDescent="0.2">
      <c r="A718" s="30">
        <v>45760</v>
      </c>
      <c r="B718" s="28" t="s">
        <v>1569</v>
      </c>
      <c r="C718" s="28">
        <v>16.54</v>
      </c>
      <c r="D718" s="28" t="str">
        <f>_xlfn.XLOOKUP(B718,'Payee Ref'!A:A,'Payee Ref'!B:B,"unassigned",0,1)</f>
        <v>Subscriptions / Digital</v>
      </c>
      <c r="E718" s="29" t="str">
        <f>_xlfn.XLOOKUP(B718,'Payee Ref'!A:A,'Payee Ref'!C:C,"unassigned",0,1)</f>
        <v>Luxury</v>
      </c>
      <c r="F718" s="28" t="s">
        <v>2207</v>
      </c>
    </row>
    <row r="719" spans="1:6" x14ac:dyDescent="0.2">
      <c r="A719" s="30">
        <v>45729</v>
      </c>
      <c r="B719" s="28" t="s">
        <v>1569</v>
      </c>
      <c r="C719" s="28">
        <v>16.54</v>
      </c>
      <c r="D719" s="28" t="str">
        <f>_xlfn.XLOOKUP(B719,'Payee Ref'!A:A,'Payee Ref'!B:B,"unassigned",0,1)</f>
        <v>Subscriptions / Digital</v>
      </c>
      <c r="E719" s="29" t="str">
        <f>_xlfn.XLOOKUP(B719,'Payee Ref'!A:A,'Payee Ref'!C:C,"unassigned",0,1)</f>
        <v>Luxury</v>
      </c>
      <c r="F719" s="28" t="s">
        <v>2207</v>
      </c>
    </row>
    <row r="720" spans="1:6" x14ac:dyDescent="0.2">
      <c r="A720" s="30">
        <v>45701</v>
      </c>
      <c r="B720" s="28" t="s">
        <v>1569</v>
      </c>
      <c r="C720" s="28">
        <v>16.54</v>
      </c>
      <c r="D720" s="28" t="str">
        <f>_xlfn.XLOOKUP(B720,'Payee Ref'!A:A,'Payee Ref'!B:B,"unassigned",0,1)</f>
        <v>Subscriptions / Digital</v>
      </c>
      <c r="E720" s="29" t="str">
        <f>_xlfn.XLOOKUP(B720,'Payee Ref'!A:A,'Payee Ref'!C:C,"unassigned",0,1)</f>
        <v>Luxury</v>
      </c>
      <c r="F720" s="28" t="s">
        <v>2207</v>
      </c>
    </row>
    <row r="721" spans="1:6" x14ac:dyDescent="0.2">
      <c r="A721" s="30">
        <v>45670</v>
      </c>
      <c r="B721" s="28" t="s">
        <v>1569</v>
      </c>
      <c r="C721" s="28">
        <v>16.54</v>
      </c>
      <c r="D721" s="28" t="str">
        <f>_xlfn.XLOOKUP(B721,'Payee Ref'!A:A,'Payee Ref'!B:B,"unassigned",0,1)</f>
        <v>Subscriptions / Digital</v>
      </c>
      <c r="E721" s="29" t="str">
        <f>_xlfn.XLOOKUP(B721,'Payee Ref'!A:A,'Payee Ref'!C:C,"unassigned",0,1)</f>
        <v>Luxury</v>
      </c>
      <c r="F721" s="28" t="s">
        <v>2207</v>
      </c>
    </row>
    <row r="722" spans="1:6" x14ac:dyDescent="0.2">
      <c r="A722" s="30">
        <v>45881</v>
      </c>
      <c r="B722" s="28" t="s">
        <v>1529</v>
      </c>
      <c r="C722" s="28">
        <v>16.55</v>
      </c>
      <c r="D722" s="28" t="str">
        <f>_xlfn.XLOOKUP(B722,'Payee Ref'!A:A,'Payee Ref'!B:B,"unassigned",0,1)</f>
        <v>Dining</v>
      </c>
      <c r="E722" s="29" t="str">
        <f>_xlfn.XLOOKUP(B722,'Payee Ref'!A:A,'Payee Ref'!C:C,"unassigned",0,1)</f>
        <v>Luxury</v>
      </c>
      <c r="F722" s="28" t="s">
        <v>2207</v>
      </c>
    </row>
    <row r="723" spans="1:6" x14ac:dyDescent="0.2">
      <c r="A723" s="30">
        <v>45981</v>
      </c>
      <c r="B723" s="28" t="s">
        <v>1553</v>
      </c>
      <c r="C723" s="28">
        <v>16.559999999999999</v>
      </c>
      <c r="D723" s="28" t="str">
        <f>_xlfn.XLOOKUP(B723,'Payee Ref'!A:A,'Payee Ref'!B:B,"unassigned",0,1)</f>
        <v>unassigned</v>
      </c>
      <c r="E723" s="29" t="str">
        <f>_xlfn.XLOOKUP(B723,'Payee Ref'!A:A,'Payee Ref'!C:C,"unassigned",0,1)</f>
        <v>unassigned</v>
      </c>
      <c r="F723" s="28" t="s">
        <v>2207</v>
      </c>
    </row>
    <row r="724" spans="1:6" x14ac:dyDescent="0.2">
      <c r="A724" s="30">
        <v>45799</v>
      </c>
      <c r="B724" s="28" t="s">
        <v>1697</v>
      </c>
      <c r="C724" s="28">
        <v>16.57</v>
      </c>
      <c r="D724" s="28" t="str">
        <f>_xlfn.XLOOKUP(B724,'Payee Ref'!A:A,'Payee Ref'!B:B,"unassigned",0,1)</f>
        <v>Dining</v>
      </c>
      <c r="E724" s="29" t="str">
        <f>_xlfn.XLOOKUP(B724,'Payee Ref'!A:A,'Payee Ref'!C:C,"unassigned",0,1)</f>
        <v>Luxury</v>
      </c>
      <c r="F724" s="28" t="s">
        <v>2207</v>
      </c>
    </row>
    <row r="725" spans="1:6" x14ac:dyDescent="0.2">
      <c r="A725" s="30">
        <v>45764</v>
      </c>
      <c r="B725" s="28" t="s">
        <v>1697</v>
      </c>
      <c r="C725" s="28">
        <v>16.57</v>
      </c>
      <c r="D725" s="28" t="str">
        <f>_xlfn.XLOOKUP(B725,'Payee Ref'!A:A,'Payee Ref'!B:B,"unassigned",0,1)</f>
        <v>Dining</v>
      </c>
      <c r="E725" s="29" t="str">
        <f>_xlfn.XLOOKUP(B725,'Payee Ref'!A:A,'Payee Ref'!C:C,"unassigned",0,1)</f>
        <v>Luxury</v>
      </c>
      <c r="F725" s="28" t="s">
        <v>2207</v>
      </c>
    </row>
    <row r="726" spans="1:6" x14ac:dyDescent="0.2">
      <c r="A726" s="30">
        <v>45930</v>
      </c>
      <c r="B726" s="28" t="s">
        <v>1534</v>
      </c>
      <c r="C726" s="28">
        <v>16.600000000000001</v>
      </c>
      <c r="D726" s="28" t="str">
        <f>_xlfn.XLOOKUP(B726,'Payee Ref'!A:A,'Payee Ref'!B:B,"unassigned",0,1)</f>
        <v>Dining</v>
      </c>
      <c r="E726" s="29" t="str">
        <f>_xlfn.XLOOKUP(B726,'Payee Ref'!A:A,'Payee Ref'!C:C,"unassigned",0,1)</f>
        <v>Luxury</v>
      </c>
      <c r="F726" s="28" t="s">
        <v>2207</v>
      </c>
    </row>
    <row r="727" spans="1:6" x14ac:dyDescent="0.2">
      <c r="A727" s="30">
        <v>45924</v>
      </c>
      <c r="B727" s="28" t="s">
        <v>1534</v>
      </c>
      <c r="C727" s="28">
        <v>16.600000000000001</v>
      </c>
      <c r="D727" s="28" t="str">
        <f>_xlfn.XLOOKUP(B727,'Payee Ref'!A:A,'Payee Ref'!B:B,"unassigned",0,1)</f>
        <v>Dining</v>
      </c>
      <c r="E727" s="29" t="str">
        <f>_xlfn.XLOOKUP(B727,'Payee Ref'!A:A,'Payee Ref'!C:C,"unassigned",0,1)</f>
        <v>Luxury</v>
      </c>
      <c r="F727" s="28" t="s">
        <v>2207</v>
      </c>
    </row>
    <row r="728" spans="1:6" x14ac:dyDescent="0.2">
      <c r="A728" s="30">
        <v>45916</v>
      </c>
      <c r="B728" s="28" t="s">
        <v>1645</v>
      </c>
      <c r="C728" s="28">
        <v>16.61</v>
      </c>
      <c r="D728" s="28" t="str">
        <f>_xlfn.XLOOKUP(B728,'Payee Ref'!A:A,'Payee Ref'!B:B,"unassigned",0,1)</f>
        <v>unassigned</v>
      </c>
      <c r="E728" s="29" t="str">
        <f>_xlfn.XLOOKUP(B728,'Payee Ref'!A:A,'Payee Ref'!C:C,"unassigned",0,1)</f>
        <v>unassigned</v>
      </c>
      <c r="F728" s="28" t="s">
        <v>2207</v>
      </c>
    </row>
    <row r="729" spans="1:6" x14ac:dyDescent="0.2">
      <c r="A729" s="30">
        <v>45783</v>
      </c>
      <c r="B729" s="28" t="s">
        <v>1952</v>
      </c>
      <c r="C729" s="28">
        <v>16.649999999999999</v>
      </c>
      <c r="D729" s="28" t="str">
        <f>_xlfn.XLOOKUP(B729,'Payee Ref'!A:A,'Payee Ref'!B:B,"unassigned",0,1)</f>
        <v>Groceries</v>
      </c>
      <c r="E729" s="29" t="str">
        <f>_xlfn.XLOOKUP(B729,'Payee Ref'!A:A,'Payee Ref'!C:C,"unassigned",0,1)</f>
        <v>Basic</v>
      </c>
      <c r="F729" s="28" t="s">
        <v>2207</v>
      </c>
    </row>
    <row r="730" spans="1:6" x14ac:dyDescent="0.2">
      <c r="A730" s="30">
        <v>45865</v>
      </c>
      <c r="B730" s="28" t="s">
        <v>1794</v>
      </c>
      <c r="C730" s="28">
        <v>16.690000000000001</v>
      </c>
      <c r="D730" s="28" t="str">
        <f>_xlfn.XLOOKUP(B730,'Payee Ref'!A:A,'Payee Ref'!B:B,"unassigned",0,1)</f>
        <v>Travel</v>
      </c>
      <c r="E730" s="29" t="str">
        <f>_xlfn.XLOOKUP(B730,'Payee Ref'!A:A,'Payee Ref'!C:C,"unassigned",0,1)</f>
        <v>Luxury</v>
      </c>
      <c r="F730" s="28" t="s">
        <v>2207</v>
      </c>
    </row>
    <row r="731" spans="1:6" x14ac:dyDescent="0.2">
      <c r="A731" s="30">
        <v>45776</v>
      </c>
      <c r="B731" s="28" t="s">
        <v>1534</v>
      </c>
      <c r="C731" s="28">
        <v>16.809999999999999</v>
      </c>
      <c r="D731" s="28" t="str">
        <f>_xlfn.XLOOKUP(B731,'Payee Ref'!A:A,'Payee Ref'!B:B,"unassigned",0,1)</f>
        <v>Dining</v>
      </c>
      <c r="E731" s="29" t="str">
        <f>_xlfn.XLOOKUP(B731,'Payee Ref'!A:A,'Payee Ref'!C:C,"unassigned",0,1)</f>
        <v>Luxury</v>
      </c>
      <c r="F731" s="28" t="s">
        <v>2207</v>
      </c>
    </row>
    <row r="732" spans="1:6" x14ac:dyDescent="0.2">
      <c r="A732" s="30">
        <v>45770</v>
      </c>
      <c r="B732" s="28" t="s">
        <v>1534</v>
      </c>
      <c r="C732" s="28">
        <v>16.809999999999999</v>
      </c>
      <c r="D732" s="28" t="str">
        <f>_xlfn.XLOOKUP(B732,'Payee Ref'!A:A,'Payee Ref'!B:B,"unassigned",0,1)</f>
        <v>Dining</v>
      </c>
      <c r="E732" s="29" t="str">
        <f>_xlfn.XLOOKUP(B732,'Payee Ref'!A:A,'Payee Ref'!C:C,"unassigned",0,1)</f>
        <v>Luxury</v>
      </c>
      <c r="F732" s="28" t="s">
        <v>2207</v>
      </c>
    </row>
    <row r="733" spans="1:6" x14ac:dyDescent="0.2">
      <c r="A733" s="30">
        <v>45755</v>
      </c>
      <c r="B733" s="28" t="s">
        <v>1534</v>
      </c>
      <c r="C733" s="28">
        <v>16.809999999999999</v>
      </c>
      <c r="D733" s="28" t="str">
        <f>_xlfn.XLOOKUP(B733,'Payee Ref'!A:A,'Payee Ref'!B:B,"unassigned",0,1)</f>
        <v>Dining</v>
      </c>
      <c r="E733" s="29" t="str">
        <f>_xlfn.XLOOKUP(B733,'Payee Ref'!A:A,'Payee Ref'!C:C,"unassigned",0,1)</f>
        <v>Luxury</v>
      </c>
      <c r="F733" s="28" t="s">
        <v>2207</v>
      </c>
    </row>
    <row r="734" spans="1:6" x14ac:dyDescent="0.2">
      <c r="A734" s="30">
        <v>45748</v>
      </c>
      <c r="B734" s="28" t="s">
        <v>1796</v>
      </c>
      <c r="C734" s="28">
        <v>16.809999999999999</v>
      </c>
      <c r="D734" s="28" t="str">
        <f>_xlfn.XLOOKUP(B734,'Payee Ref'!A:A,'Payee Ref'!B:B,"unassigned",0,1)</f>
        <v>Dining</v>
      </c>
      <c r="E734" s="29" t="str">
        <f>_xlfn.XLOOKUP(B734,'Payee Ref'!A:A,'Payee Ref'!C:C,"unassigned",0,1)</f>
        <v>Luxury</v>
      </c>
      <c r="F734" s="28" t="s">
        <v>2207</v>
      </c>
    </row>
    <row r="735" spans="1:6" x14ac:dyDescent="0.2">
      <c r="A735" s="30">
        <v>45797</v>
      </c>
      <c r="B735" s="28" t="s">
        <v>1952</v>
      </c>
      <c r="C735" s="28">
        <v>16.86</v>
      </c>
      <c r="D735" s="28" t="str">
        <f>_xlfn.XLOOKUP(B735,'Payee Ref'!A:A,'Payee Ref'!B:B,"unassigned",0,1)</f>
        <v>Groceries</v>
      </c>
      <c r="E735" s="29" t="str">
        <f>_xlfn.XLOOKUP(B735,'Payee Ref'!A:A,'Payee Ref'!C:C,"unassigned",0,1)</f>
        <v>Basic</v>
      </c>
      <c r="F735" s="28" t="s">
        <v>2207</v>
      </c>
    </row>
    <row r="736" spans="1:6" x14ac:dyDescent="0.2">
      <c r="A736" s="30">
        <v>45881</v>
      </c>
      <c r="B736" s="28" t="s">
        <v>1539</v>
      </c>
      <c r="C736" s="28">
        <v>16.95</v>
      </c>
      <c r="D736" s="28" t="str">
        <f>_xlfn.XLOOKUP(B736,'Payee Ref'!A:A,'Payee Ref'!B:B,"unassigned",0,1)</f>
        <v>Groceries</v>
      </c>
      <c r="E736" s="29" t="str">
        <f>_xlfn.XLOOKUP(B736,'Payee Ref'!A:A,'Payee Ref'!C:C,"unassigned",0,1)</f>
        <v>Basic</v>
      </c>
      <c r="F736" s="28" t="s">
        <v>2207</v>
      </c>
    </row>
    <row r="737" spans="1:6" x14ac:dyDescent="0.2">
      <c r="A737" s="30">
        <v>45839</v>
      </c>
      <c r="B737" s="28" t="s">
        <v>1539</v>
      </c>
      <c r="C737" s="28">
        <v>16.95</v>
      </c>
      <c r="D737" s="28" t="str">
        <f>_xlfn.XLOOKUP(B737,'Payee Ref'!A:A,'Payee Ref'!B:B,"unassigned",0,1)</f>
        <v>Groceries</v>
      </c>
      <c r="E737" s="29" t="str">
        <f>_xlfn.XLOOKUP(B737,'Payee Ref'!A:A,'Payee Ref'!C:C,"unassigned",0,1)</f>
        <v>Basic</v>
      </c>
      <c r="F737" s="28" t="s">
        <v>2207</v>
      </c>
    </row>
    <row r="738" spans="1:6" x14ac:dyDescent="0.2">
      <c r="A738" s="30">
        <v>45666</v>
      </c>
      <c r="B738" s="28" t="s">
        <v>2117</v>
      </c>
      <c r="C738" s="28">
        <v>16.96</v>
      </c>
      <c r="D738" s="28" t="str">
        <f>_xlfn.XLOOKUP(B738,'Payee Ref'!A:A,'Payee Ref'!B:B,"unassigned",0,1)</f>
        <v>Groceries</v>
      </c>
      <c r="E738" s="29" t="str">
        <f>_xlfn.XLOOKUP(B738,'Payee Ref'!A:A,'Payee Ref'!C:C,"unassigned",0,1)</f>
        <v>Basic</v>
      </c>
      <c r="F738" s="28" t="s">
        <v>2207</v>
      </c>
    </row>
    <row r="739" spans="1:6" x14ac:dyDescent="0.2">
      <c r="A739" s="30">
        <v>45892</v>
      </c>
      <c r="B739" s="28" t="s">
        <v>1536</v>
      </c>
      <c r="C739" s="28">
        <v>16.98</v>
      </c>
      <c r="D739" s="28" t="str">
        <f>_xlfn.XLOOKUP(B739,'Payee Ref'!A:A,'Payee Ref'!B:B,"unassigned",0,1)</f>
        <v>Groceries</v>
      </c>
      <c r="E739" s="29" t="str">
        <f>_xlfn.XLOOKUP(B739,'Payee Ref'!A:A,'Payee Ref'!C:C,"unassigned",0,1)</f>
        <v>Basic</v>
      </c>
      <c r="F739" s="28" t="s">
        <v>2207</v>
      </c>
    </row>
    <row r="740" spans="1:6" x14ac:dyDescent="0.2">
      <c r="A740" s="30">
        <v>45902</v>
      </c>
      <c r="B740" s="28" t="s">
        <v>1667</v>
      </c>
      <c r="C740" s="28">
        <v>16.989999999999998</v>
      </c>
      <c r="D740" s="28" t="str">
        <f>_xlfn.XLOOKUP(B740,'Payee Ref'!A:A,'Payee Ref'!B:B,"unassigned",0,1)</f>
        <v>Dining</v>
      </c>
      <c r="E740" s="29" t="str">
        <f>_xlfn.XLOOKUP(B740,'Payee Ref'!A:A,'Payee Ref'!C:C,"unassigned",0,1)</f>
        <v>Luxury</v>
      </c>
      <c r="F740" s="28" t="s">
        <v>2207</v>
      </c>
    </row>
    <row r="741" spans="1:6" x14ac:dyDescent="0.2">
      <c r="A741" s="30">
        <v>45839</v>
      </c>
      <c r="B741" s="28" t="s">
        <v>1869</v>
      </c>
      <c r="C741" s="28">
        <v>16.989999999999998</v>
      </c>
      <c r="D741" s="28" t="str">
        <f>_xlfn.XLOOKUP(B741,'Payee Ref'!A:A,'Payee Ref'!B:B,"unassigned",0,1)</f>
        <v>Dining</v>
      </c>
      <c r="E741" s="29" t="str">
        <f>_xlfn.XLOOKUP(B741,'Payee Ref'!A:A,'Payee Ref'!C:C,"unassigned",0,1)</f>
        <v>Luxury</v>
      </c>
      <c r="F741" s="28" t="s">
        <v>2207</v>
      </c>
    </row>
    <row r="742" spans="1:6" x14ac:dyDescent="0.2">
      <c r="A742" s="30">
        <v>45678</v>
      </c>
      <c r="B742" s="28" t="s">
        <v>2159</v>
      </c>
      <c r="C742" s="28">
        <v>16.989999999999998</v>
      </c>
      <c r="D742" s="28" t="str">
        <f>_xlfn.XLOOKUP(B742,'Payee Ref'!A:A,'Payee Ref'!B:B,"unassigned",0,1)</f>
        <v>Dining</v>
      </c>
      <c r="E742" s="29" t="str">
        <f>_xlfn.XLOOKUP(B742,'Payee Ref'!A:A,'Payee Ref'!C:C,"unassigned",0,1)</f>
        <v>Luxury</v>
      </c>
      <c r="F742" s="28" t="s">
        <v>2207</v>
      </c>
    </row>
    <row r="743" spans="1:6" x14ac:dyDescent="0.2">
      <c r="A743" s="30">
        <v>45804</v>
      </c>
      <c r="B743" s="28" t="s">
        <v>1952</v>
      </c>
      <c r="C743" s="28">
        <v>16.989999999999998</v>
      </c>
      <c r="D743" s="28" t="str">
        <f>_xlfn.XLOOKUP(B743,'Payee Ref'!A:A,'Payee Ref'!B:B,"unassigned",0,1)</f>
        <v>Groceries</v>
      </c>
      <c r="E743" s="29" t="str">
        <f>_xlfn.XLOOKUP(B743,'Payee Ref'!A:A,'Payee Ref'!C:C,"unassigned",0,1)</f>
        <v>Basic</v>
      </c>
      <c r="F743" s="28" t="s">
        <v>2207</v>
      </c>
    </row>
    <row r="744" spans="1:6" x14ac:dyDescent="0.2">
      <c r="A744" s="30">
        <v>45791</v>
      </c>
      <c r="B744" s="28" t="s">
        <v>1952</v>
      </c>
      <c r="C744" s="28">
        <v>17.07</v>
      </c>
      <c r="D744" s="28" t="str">
        <f>_xlfn.XLOOKUP(B744,'Payee Ref'!A:A,'Payee Ref'!B:B,"unassigned",0,1)</f>
        <v>Groceries</v>
      </c>
      <c r="E744" s="29" t="str">
        <f>_xlfn.XLOOKUP(B744,'Payee Ref'!A:A,'Payee Ref'!C:C,"unassigned",0,1)</f>
        <v>Basic</v>
      </c>
      <c r="F744" s="28" t="s">
        <v>2207</v>
      </c>
    </row>
    <row r="745" spans="1:6" x14ac:dyDescent="0.2">
      <c r="A745" s="30">
        <v>45841</v>
      </c>
      <c r="B745" s="28" t="s">
        <v>1697</v>
      </c>
      <c r="C745" s="28">
        <v>17.12</v>
      </c>
      <c r="D745" s="28" t="str">
        <f>_xlfn.XLOOKUP(B745,'Payee Ref'!A:A,'Payee Ref'!B:B,"unassigned",0,1)</f>
        <v>Dining</v>
      </c>
      <c r="E745" s="29" t="str">
        <f>_xlfn.XLOOKUP(B745,'Payee Ref'!A:A,'Payee Ref'!C:C,"unassigned",0,1)</f>
        <v>Luxury</v>
      </c>
      <c r="F745" s="28" t="s">
        <v>2207</v>
      </c>
    </row>
    <row r="746" spans="1:6" x14ac:dyDescent="0.2">
      <c r="A746" s="30">
        <v>45727</v>
      </c>
      <c r="B746" s="28" t="s">
        <v>1952</v>
      </c>
      <c r="C746" s="28">
        <v>17.13</v>
      </c>
      <c r="D746" s="28" t="str">
        <f>_xlfn.XLOOKUP(B746,'Payee Ref'!A:A,'Payee Ref'!B:B,"unassigned",0,1)</f>
        <v>Groceries</v>
      </c>
      <c r="E746" s="29" t="str">
        <f>_xlfn.XLOOKUP(B746,'Payee Ref'!A:A,'Payee Ref'!C:C,"unassigned",0,1)</f>
        <v>Basic</v>
      </c>
      <c r="F746" s="28" t="s">
        <v>2207</v>
      </c>
    </row>
    <row r="747" spans="1:6" x14ac:dyDescent="0.2">
      <c r="A747" s="30">
        <v>45701</v>
      </c>
      <c r="B747" s="28" t="s">
        <v>1534</v>
      </c>
      <c r="C747" s="28">
        <v>17.14</v>
      </c>
      <c r="D747" s="28" t="str">
        <f>_xlfn.XLOOKUP(B747,'Payee Ref'!A:A,'Payee Ref'!B:B,"unassigned",0,1)</f>
        <v>Dining</v>
      </c>
      <c r="E747" s="29" t="str">
        <f>_xlfn.XLOOKUP(B747,'Payee Ref'!A:A,'Payee Ref'!C:C,"unassigned",0,1)</f>
        <v>Luxury</v>
      </c>
      <c r="F747" s="28" t="s">
        <v>2207</v>
      </c>
    </row>
    <row r="748" spans="1:6" x14ac:dyDescent="0.2">
      <c r="A748" s="30">
        <v>45810</v>
      </c>
      <c r="B748" s="28" t="s">
        <v>1952</v>
      </c>
      <c r="C748" s="28">
        <v>17.190000000000001</v>
      </c>
      <c r="D748" s="28" t="str">
        <f>_xlfn.XLOOKUP(B748,'Payee Ref'!A:A,'Payee Ref'!B:B,"unassigned",0,1)</f>
        <v>Groceries</v>
      </c>
      <c r="E748" s="29" t="str">
        <f>_xlfn.XLOOKUP(B748,'Payee Ref'!A:A,'Payee Ref'!C:C,"unassigned",0,1)</f>
        <v>Basic</v>
      </c>
      <c r="F748" s="28" t="s">
        <v>2207</v>
      </c>
    </row>
    <row r="749" spans="1:6" x14ac:dyDescent="0.2">
      <c r="A749" s="30">
        <v>45679</v>
      </c>
      <c r="B749" s="28" t="s">
        <v>1952</v>
      </c>
      <c r="C749" s="28">
        <v>17.22</v>
      </c>
      <c r="D749" s="28" t="str">
        <f>_xlfn.XLOOKUP(B749,'Payee Ref'!A:A,'Payee Ref'!B:B,"unassigned",0,1)</f>
        <v>Groceries</v>
      </c>
      <c r="E749" s="29" t="str">
        <f>_xlfn.XLOOKUP(B749,'Payee Ref'!A:A,'Payee Ref'!C:C,"unassigned",0,1)</f>
        <v>Basic</v>
      </c>
      <c r="F749" s="28" t="s">
        <v>2207</v>
      </c>
    </row>
    <row r="750" spans="1:6" x14ac:dyDescent="0.2">
      <c r="A750" s="30">
        <v>45847</v>
      </c>
      <c r="B750" s="28" t="s">
        <v>1577</v>
      </c>
      <c r="C750" s="28">
        <v>17.23</v>
      </c>
      <c r="D750" s="28" t="str">
        <f>_xlfn.XLOOKUP(B750,'Payee Ref'!A:A,'Payee Ref'!B:B,"unassigned",0,1)</f>
        <v>Auto</v>
      </c>
      <c r="E750" s="29" t="str">
        <f>_xlfn.XLOOKUP(B750,'Payee Ref'!A:A,'Payee Ref'!C:C,"unassigned",0,1)</f>
        <v>Basic</v>
      </c>
      <c r="F750" s="28" t="s">
        <v>2207</v>
      </c>
    </row>
    <row r="751" spans="1:6" x14ac:dyDescent="0.2">
      <c r="A751" s="30">
        <v>45926</v>
      </c>
      <c r="B751" s="28" t="s">
        <v>1534</v>
      </c>
      <c r="C751" s="28">
        <v>17.25</v>
      </c>
      <c r="D751" s="28" t="str">
        <f>_xlfn.XLOOKUP(B751,'Payee Ref'!A:A,'Payee Ref'!B:B,"unassigned",0,1)</f>
        <v>Dining</v>
      </c>
      <c r="E751" s="29" t="str">
        <f>_xlfn.XLOOKUP(B751,'Payee Ref'!A:A,'Payee Ref'!C:C,"unassigned",0,1)</f>
        <v>Luxury</v>
      </c>
      <c r="F751" s="28" t="s">
        <v>2207</v>
      </c>
    </row>
    <row r="752" spans="1:6" x14ac:dyDescent="0.2">
      <c r="A752" s="30">
        <v>45925</v>
      </c>
      <c r="B752" s="28" t="s">
        <v>1534</v>
      </c>
      <c r="C752" s="28">
        <v>17.25</v>
      </c>
      <c r="D752" s="28" t="str">
        <f>_xlfn.XLOOKUP(B752,'Payee Ref'!A:A,'Payee Ref'!B:B,"unassigned",0,1)</f>
        <v>Dining</v>
      </c>
      <c r="E752" s="29" t="str">
        <f>_xlfn.XLOOKUP(B752,'Payee Ref'!A:A,'Payee Ref'!C:C,"unassigned",0,1)</f>
        <v>Luxury</v>
      </c>
      <c r="F752" s="28" t="s">
        <v>2207</v>
      </c>
    </row>
    <row r="753" spans="1:6" x14ac:dyDescent="0.2">
      <c r="A753" s="30">
        <v>45919</v>
      </c>
      <c r="B753" s="28" t="s">
        <v>1534</v>
      </c>
      <c r="C753" s="28">
        <v>17.25</v>
      </c>
      <c r="D753" s="28" t="str">
        <f>_xlfn.XLOOKUP(B753,'Payee Ref'!A:A,'Payee Ref'!B:B,"unassigned",0,1)</f>
        <v>Dining</v>
      </c>
      <c r="E753" s="29" t="str">
        <f>_xlfn.XLOOKUP(B753,'Payee Ref'!A:A,'Payee Ref'!C:C,"unassigned",0,1)</f>
        <v>Luxury</v>
      </c>
      <c r="F753" s="28" t="s">
        <v>2207</v>
      </c>
    </row>
    <row r="754" spans="1:6" x14ac:dyDescent="0.2">
      <c r="A754" s="30">
        <v>45917</v>
      </c>
      <c r="B754" s="28" t="s">
        <v>1534</v>
      </c>
      <c r="C754" s="28">
        <v>17.25</v>
      </c>
      <c r="D754" s="28" t="str">
        <f>_xlfn.XLOOKUP(B754,'Payee Ref'!A:A,'Payee Ref'!B:B,"unassigned",0,1)</f>
        <v>Dining</v>
      </c>
      <c r="E754" s="29" t="str">
        <f>_xlfn.XLOOKUP(B754,'Payee Ref'!A:A,'Payee Ref'!C:C,"unassigned",0,1)</f>
        <v>Luxury</v>
      </c>
      <c r="F754" s="28" t="s">
        <v>2207</v>
      </c>
    </row>
    <row r="755" spans="1:6" x14ac:dyDescent="0.2">
      <c r="A755" s="30">
        <v>45915</v>
      </c>
      <c r="B755" s="28" t="s">
        <v>1534</v>
      </c>
      <c r="C755" s="28">
        <v>17.25</v>
      </c>
      <c r="D755" s="28" t="str">
        <f>_xlfn.XLOOKUP(B755,'Payee Ref'!A:A,'Payee Ref'!B:B,"unassigned",0,1)</f>
        <v>Dining</v>
      </c>
      <c r="E755" s="29" t="str">
        <f>_xlfn.XLOOKUP(B755,'Payee Ref'!A:A,'Payee Ref'!C:C,"unassigned",0,1)</f>
        <v>Luxury</v>
      </c>
      <c r="F755" s="28" t="s">
        <v>2207</v>
      </c>
    </row>
    <row r="756" spans="1:6" x14ac:dyDescent="0.2">
      <c r="A756" s="30">
        <v>45912</v>
      </c>
      <c r="B756" s="28" t="s">
        <v>1534</v>
      </c>
      <c r="C756" s="28">
        <v>17.25</v>
      </c>
      <c r="D756" s="28" t="str">
        <f>_xlfn.XLOOKUP(B756,'Payee Ref'!A:A,'Payee Ref'!B:B,"unassigned",0,1)</f>
        <v>Dining</v>
      </c>
      <c r="E756" s="29" t="str">
        <f>_xlfn.XLOOKUP(B756,'Payee Ref'!A:A,'Payee Ref'!C:C,"unassigned",0,1)</f>
        <v>Luxury</v>
      </c>
      <c r="F756" s="28" t="s">
        <v>2207</v>
      </c>
    </row>
    <row r="757" spans="1:6" x14ac:dyDescent="0.2">
      <c r="A757" s="30">
        <v>45755</v>
      </c>
      <c r="B757" s="28" t="s">
        <v>1534</v>
      </c>
      <c r="C757" s="28">
        <v>17.25</v>
      </c>
      <c r="D757" s="28" t="str">
        <f>_xlfn.XLOOKUP(B757,'Payee Ref'!A:A,'Payee Ref'!B:B,"unassigned",0,1)</f>
        <v>Dining</v>
      </c>
      <c r="E757" s="29" t="str">
        <f>_xlfn.XLOOKUP(B757,'Payee Ref'!A:A,'Payee Ref'!C:C,"unassigned",0,1)</f>
        <v>Luxury</v>
      </c>
      <c r="F757" s="28" t="s">
        <v>2207</v>
      </c>
    </row>
    <row r="758" spans="1:6" x14ac:dyDescent="0.2">
      <c r="A758" s="30">
        <v>45985</v>
      </c>
      <c r="B758" s="28" t="s">
        <v>168</v>
      </c>
      <c r="C758" s="28">
        <v>17.25</v>
      </c>
      <c r="D758" s="28" t="str">
        <f>_xlfn.XLOOKUP(B758,'Payee Ref'!A:A,'Payee Ref'!B:B,"unassigned",0,1)</f>
        <v>Dining</v>
      </c>
      <c r="E758" s="29" t="str">
        <f>_xlfn.XLOOKUP(B758,'Payee Ref'!A:A,'Payee Ref'!C:C,"unassigned",0,1)</f>
        <v>Luxury</v>
      </c>
      <c r="F758" s="28" t="s">
        <v>2207</v>
      </c>
    </row>
    <row r="759" spans="1:6" x14ac:dyDescent="0.2">
      <c r="A759" s="30">
        <v>45866</v>
      </c>
      <c r="B759" s="28" t="s">
        <v>1788</v>
      </c>
      <c r="C759" s="28">
        <v>17.260000000000002</v>
      </c>
      <c r="D759" s="28" t="str">
        <f>_xlfn.XLOOKUP(B759,'Payee Ref'!A:A,'Payee Ref'!B:B,"unassigned",0,1)</f>
        <v>unassigned</v>
      </c>
      <c r="E759" s="29" t="str">
        <f>_xlfn.XLOOKUP(B759,'Payee Ref'!A:A,'Payee Ref'!C:C,"unassigned",0,1)</f>
        <v>unassigned</v>
      </c>
      <c r="F759" s="28" t="s">
        <v>2207</v>
      </c>
    </row>
    <row r="760" spans="1:6" x14ac:dyDescent="0.2">
      <c r="A760" s="30">
        <v>45711</v>
      </c>
      <c r="B760" s="28" t="s">
        <v>1587</v>
      </c>
      <c r="C760" s="28">
        <v>17.3</v>
      </c>
      <c r="D760" s="28" t="str">
        <f>_xlfn.XLOOKUP(B760,'Payee Ref'!A:A,'Payee Ref'!B:B,"unassigned",0,1)</f>
        <v>Travel</v>
      </c>
      <c r="E760" s="29" t="str">
        <f>_xlfn.XLOOKUP(B760,'Payee Ref'!A:A,'Payee Ref'!C:C,"unassigned",0,1)</f>
        <v>Luxury</v>
      </c>
      <c r="F760" s="28" t="s">
        <v>2207</v>
      </c>
    </row>
    <row r="761" spans="1:6" x14ac:dyDescent="0.2">
      <c r="A761" s="30">
        <v>45815</v>
      </c>
      <c r="B761" s="28" t="s">
        <v>1952</v>
      </c>
      <c r="C761" s="28">
        <v>17.3</v>
      </c>
      <c r="D761" s="28" t="str">
        <f>_xlfn.XLOOKUP(B761,'Payee Ref'!A:A,'Payee Ref'!B:B,"unassigned",0,1)</f>
        <v>Groceries</v>
      </c>
      <c r="E761" s="29" t="str">
        <f>_xlfn.XLOOKUP(B761,'Payee Ref'!A:A,'Payee Ref'!C:C,"unassigned",0,1)</f>
        <v>Basic</v>
      </c>
      <c r="F761" s="28" t="s">
        <v>2207</v>
      </c>
    </row>
    <row r="762" spans="1:6" x14ac:dyDescent="0.2">
      <c r="A762" s="30">
        <v>45882</v>
      </c>
      <c r="B762" s="28" t="s">
        <v>1729</v>
      </c>
      <c r="C762" s="28">
        <v>17.3</v>
      </c>
      <c r="D762" s="28" t="str">
        <f>_xlfn.XLOOKUP(B762,'Payee Ref'!A:A,'Payee Ref'!B:B,"unassigned",0,1)</f>
        <v>unassigned</v>
      </c>
      <c r="E762" s="29" t="str">
        <f>_xlfn.XLOOKUP(B762,'Payee Ref'!A:A,'Payee Ref'!C:C,"unassigned",0,1)</f>
        <v>unassigned</v>
      </c>
      <c r="F762" s="28" t="s">
        <v>2207</v>
      </c>
    </row>
    <row r="763" spans="1:6" x14ac:dyDescent="0.2">
      <c r="A763" s="30">
        <v>45800</v>
      </c>
      <c r="B763" s="28" t="s">
        <v>1534</v>
      </c>
      <c r="C763" s="28">
        <v>17.38</v>
      </c>
      <c r="D763" s="28" t="str">
        <f>_xlfn.XLOOKUP(B763,'Payee Ref'!A:A,'Payee Ref'!B:B,"unassigned",0,1)</f>
        <v>Dining</v>
      </c>
      <c r="E763" s="29" t="str">
        <f>_xlfn.XLOOKUP(B763,'Payee Ref'!A:A,'Payee Ref'!C:C,"unassigned",0,1)</f>
        <v>Luxury</v>
      </c>
      <c r="F763" s="28" t="s">
        <v>2207</v>
      </c>
    </row>
    <row r="764" spans="1:6" x14ac:dyDescent="0.2">
      <c r="A764" s="30">
        <v>45947</v>
      </c>
      <c r="B764" s="28" t="s">
        <v>168</v>
      </c>
      <c r="C764" s="28">
        <v>17.38</v>
      </c>
      <c r="D764" s="28" t="str">
        <f>_xlfn.XLOOKUP(B764,'Payee Ref'!A:A,'Payee Ref'!B:B,"unassigned",0,1)</f>
        <v>Dining</v>
      </c>
      <c r="E764" s="29" t="str">
        <f>_xlfn.XLOOKUP(B764,'Payee Ref'!A:A,'Payee Ref'!C:C,"unassigned",0,1)</f>
        <v>Luxury</v>
      </c>
      <c r="F764" s="28" t="s">
        <v>2207</v>
      </c>
    </row>
    <row r="765" spans="1:6" x14ac:dyDescent="0.2">
      <c r="A765" s="30">
        <v>45923</v>
      </c>
      <c r="B765" s="28" t="s">
        <v>1539</v>
      </c>
      <c r="C765" s="28">
        <v>17.45</v>
      </c>
      <c r="D765" s="28" t="str">
        <f>_xlfn.XLOOKUP(B765,'Payee Ref'!A:A,'Payee Ref'!B:B,"unassigned",0,1)</f>
        <v>Groceries</v>
      </c>
      <c r="E765" s="29" t="str">
        <f>_xlfn.XLOOKUP(B765,'Payee Ref'!A:A,'Payee Ref'!C:C,"unassigned",0,1)</f>
        <v>Basic</v>
      </c>
      <c r="F765" s="28" t="s">
        <v>2207</v>
      </c>
    </row>
    <row r="766" spans="1:6" x14ac:dyDescent="0.2">
      <c r="A766" s="30">
        <v>45909</v>
      </c>
      <c r="B766" s="28" t="s">
        <v>1539</v>
      </c>
      <c r="C766" s="28">
        <v>17.45</v>
      </c>
      <c r="D766" s="28" t="str">
        <f>_xlfn.XLOOKUP(B766,'Payee Ref'!A:A,'Payee Ref'!B:B,"unassigned",0,1)</f>
        <v>Groceries</v>
      </c>
      <c r="E766" s="29" t="str">
        <f>_xlfn.XLOOKUP(B766,'Payee Ref'!A:A,'Payee Ref'!C:C,"unassigned",0,1)</f>
        <v>Basic</v>
      </c>
      <c r="F766" s="28" t="s">
        <v>2207</v>
      </c>
    </row>
    <row r="767" spans="1:6" x14ac:dyDescent="0.2">
      <c r="A767" s="30">
        <v>45875</v>
      </c>
      <c r="B767" s="28" t="s">
        <v>1749</v>
      </c>
      <c r="C767" s="28">
        <v>17.45</v>
      </c>
      <c r="D767" s="28" t="str">
        <f>_xlfn.XLOOKUP(B767,'Payee Ref'!A:A,'Payee Ref'!B:B,"unassigned",0,1)</f>
        <v>unassigned</v>
      </c>
      <c r="E767" s="29" t="str">
        <f>_xlfn.XLOOKUP(B767,'Payee Ref'!A:A,'Payee Ref'!C:C,"unassigned",0,1)</f>
        <v>unassigned</v>
      </c>
      <c r="F767" s="28" t="s">
        <v>2207</v>
      </c>
    </row>
    <row r="768" spans="1:6" x14ac:dyDescent="0.2">
      <c r="A768" s="30">
        <v>45822</v>
      </c>
      <c r="B768" s="28" t="s">
        <v>1942</v>
      </c>
      <c r="C768" s="28">
        <v>17.46</v>
      </c>
      <c r="D768" s="28" t="str">
        <f>_xlfn.XLOOKUP(B768,'Payee Ref'!A:A,'Payee Ref'!B:B,"unassigned",0,1)</f>
        <v>Dining</v>
      </c>
      <c r="E768" s="29" t="str">
        <f>_xlfn.XLOOKUP(B768,'Payee Ref'!A:A,'Payee Ref'!C:C,"unassigned",0,1)</f>
        <v>Luxury</v>
      </c>
      <c r="F768" s="28" t="s">
        <v>2207</v>
      </c>
    </row>
    <row r="769" spans="1:6" x14ac:dyDescent="0.2">
      <c r="A769" s="30">
        <v>45691</v>
      </c>
      <c r="B769" s="31" t="s">
        <v>2137</v>
      </c>
      <c r="C769" s="28">
        <v>17.48</v>
      </c>
      <c r="D769" s="28" t="str">
        <f>_xlfn.XLOOKUP(B769,'Payee Ref'!A:A,'Payee Ref'!B:B,"unassigned",0,1)</f>
        <v>Home &amp; Garden</v>
      </c>
      <c r="E769" s="29" t="str">
        <f>_xlfn.XLOOKUP(B769,'Payee Ref'!A:A,'Payee Ref'!C:C,"unassigned",0,1)</f>
        <v>Basic</v>
      </c>
      <c r="F769" s="28" t="s">
        <v>2207</v>
      </c>
    </row>
    <row r="770" spans="1:6" x14ac:dyDescent="0.2">
      <c r="A770" s="30">
        <v>45959</v>
      </c>
      <c r="B770" s="28" t="s">
        <v>168</v>
      </c>
      <c r="C770" s="28">
        <v>17.54</v>
      </c>
      <c r="D770" s="28" t="str">
        <f>_xlfn.XLOOKUP(B770,'Payee Ref'!A:A,'Payee Ref'!B:B,"unassigned",0,1)</f>
        <v>Dining</v>
      </c>
      <c r="E770" s="29" t="str">
        <f>_xlfn.XLOOKUP(B770,'Payee Ref'!A:A,'Payee Ref'!C:C,"unassigned",0,1)</f>
        <v>Luxury</v>
      </c>
      <c r="F770" s="28" t="s">
        <v>2207</v>
      </c>
    </row>
    <row r="771" spans="1:6" x14ac:dyDescent="0.2">
      <c r="A771" s="30">
        <v>45889</v>
      </c>
      <c r="B771" s="28" t="s">
        <v>1703</v>
      </c>
      <c r="C771" s="28">
        <v>17.54</v>
      </c>
      <c r="D771" s="28" t="str">
        <f>_xlfn.XLOOKUP(B771,'Payee Ref'!A:A,'Payee Ref'!B:B,"unassigned",0,1)</f>
        <v>unassigned</v>
      </c>
      <c r="E771" s="29" t="str">
        <f>_xlfn.XLOOKUP(B771,'Payee Ref'!A:A,'Payee Ref'!C:C,"unassigned",0,1)</f>
        <v>unassigned</v>
      </c>
      <c r="F771" s="28" t="s">
        <v>2207</v>
      </c>
    </row>
    <row r="772" spans="1:6" x14ac:dyDescent="0.2">
      <c r="A772" s="30">
        <v>45818</v>
      </c>
      <c r="B772" s="28" t="s">
        <v>1533</v>
      </c>
      <c r="C772" s="28">
        <v>17.59</v>
      </c>
      <c r="D772" s="28" t="str">
        <f>_xlfn.XLOOKUP(B772,'Payee Ref'!A:A,'Payee Ref'!B:B,"unassigned",0,1)</f>
        <v>Dining</v>
      </c>
      <c r="E772" s="29" t="str">
        <f>_xlfn.XLOOKUP(B772,'Payee Ref'!A:A,'Payee Ref'!C:C,"unassigned",0,1)</f>
        <v>Luxury</v>
      </c>
      <c r="F772" s="28" t="s">
        <v>2207</v>
      </c>
    </row>
    <row r="773" spans="1:6" x14ac:dyDescent="0.2">
      <c r="A773" s="30">
        <v>45976</v>
      </c>
      <c r="B773" s="28" t="s">
        <v>1563</v>
      </c>
      <c r="C773" s="28">
        <v>17.61</v>
      </c>
      <c r="D773" s="28" t="str">
        <f>_xlfn.XLOOKUP(B773,'Payee Ref'!A:A,'Payee Ref'!B:B,"unassigned",0,1)</f>
        <v>unassigned</v>
      </c>
      <c r="E773" s="29" t="str">
        <f>_xlfn.XLOOKUP(B773,'Payee Ref'!A:A,'Payee Ref'!C:C,"unassigned",0,1)</f>
        <v>unassigned</v>
      </c>
      <c r="F773" s="28" t="s">
        <v>2207</v>
      </c>
    </row>
    <row r="774" spans="1:6" x14ac:dyDescent="0.2">
      <c r="A774" s="30">
        <v>45902</v>
      </c>
      <c r="B774" s="28" t="s">
        <v>1666</v>
      </c>
      <c r="C774" s="28">
        <v>17.66</v>
      </c>
      <c r="D774" s="28" t="str">
        <f>_xlfn.XLOOKUP(B774,'Payee Ref'!A:A,'Payee Ref'!B:B,"unassigned",0,1)</f>
        <v>Dining</v>
      </c>
      <c r="E774" s="29" t="str">
        <f>_xlfn.XLOOKUP(B774,'Payee Ref'!A:A,'Payee Ref'!C:C,"unassigned",0,1)</f>
        <v>Luxury</v>
      </c>
      <c r="F774" s="28" t="s">
        <v>2207</v>
      </c>
    </row>
    <row r="775" spans="1:6" x14ac:dyDescent="0.2">
      <c r="A775" s="30">
        <v>45884</v>
      </c>
      <c r="B775" s="28" t="s">
        <v>1721</v>
      </c>
      <c r="C775" s="28">
        <v>17.66</v>
      </c>
      <c r="D775" s="28" t="str">
        <f>_xlfn.XLOOKUP(B775,'Payee Ref'!A:A,'Payee Ref'!B:B,"unassigned",0,1)</f>
        <v>unassigned</v>
      </c>
      <c r="E775" s="29" t="str">
        <f>_xlfn.XLOOKUP(B775,'Payee Ref'!A:A,'Payee Ref'!C:C,"unassigned",0,1)</f>
        <v>unassigned</v>
      </c>
      <c r="F775" s="28" t="s">
        <v>2207</v>
      </c>
    </row>
    <row r="776" spans="1:6" x14ac:dyDescent="0.2">
      <c r="A776" s="30">
        <v>45880</v>
      </c>
      <c r="B776" s="28" t="s">
        <v>1726</v>
      </c>
      <c r="C776" s="28">
        <v>17.670000000000002</v>
      </c>
      <c r="D776" s="28" t="str">
        <f>_xlfn.XLOOKUP(B776,'Payee Ref'!A:A,'Payee Ref'!B:B,"unassigned",0,1)</f>
        <v>unassigned</v>
      </c>
      <c r="E776" s="29" t="str">
        <f>_xlfn.XLOOKUP(B776,'Payee Ref'!A:A,'Payee Ref'!C:C,"unassigned",0,1)</f>
        <v>unassigned</v>
      </c>
      <c r="F776" s="28" t="s">
        <v>2207</v>
      </c>
    </row>
    <row r="777" spans="1:6" x14ac:dyDescent="0.2">
      <c r="A777" s="30">
        <v>45919</v>
      </c>
      <c r="B777" s="28" t="s">
        <v>1638</v>
      </c>
      <c r="C777" s="28">
        <v>17.75</v>
      </c>
      <c r="D777" s="28" t="str">
        <f>_xlfn.XLOOKUP(B777,'Payee Ref'!A:A,'Payee Ref'!B:B,"unassigned",0,1)</f>
        <v>unassigned</v>
      </c>
      <c r="E777" s="29" t="str">
        <f>_xlfn.XLOOKUP(B777,'Payee Ref'!A:A,'Payee Ref'!C:C,"unassigned",0,1)</f>
        <v>unassigned</v>
      </c>
      <c r="F777" s="28" t="s">
        <v>2207</v>
      </c>
    </row>
    <row r="778" spans="1:6" x14ac:dyDescent="0.2">
      <c r="A778" s="30">
        <v>45833</v>
      </c>
      <c r="B778" s="28" t="s">
        <v>1529</v>
      </c>
      <c r="C778" s="28">
        <v>17.86</v>
      </c>
      <c r="D778" s="28" t="str">
        <f>_xlfn.XLOOKUP(B778,'Payee Ref'!A:A,'Payee Ref'!B:B,"unassigned",0,1)</f>
        <v>Dining</v>
      </c>
      <c r="E778" s="29" t="str">
        <f>_xlfn.XLOOKUP(B778,'Payee Ref'!A:A,'Payee Ref'!C:C,"unassigned",0,1)</f>
        <v>Luxury</v>
      </c>
      <c r="F778" s="28" t="s">
        <v>2207</v>
      </c>
    </row>
    <row r="779" spans="1:6" x14ac:dyDescent="0.2">
      <c r="A779" s="30">
        <v>45757</v>
      </c>
      <c r="B779" s="28" t="s">
        <v>2042</v>
      </c>
      <c r="C779" s="28">
        <v>17.86</v>
      </c>
      <c r="D779" s="28" t="str">
        <f>_xlfn.XLOOKUP(B779,'Payee Ref'!A:A,'Payee Ref'!B:B,"unassigned",0,1)</f>
        <v>Dining</v>
      </c>
      <c r="E779" s="29" t="str">
        <f>_xlfn.XLOOKUP(B779,'Payee Ref'!A:A,'Payee Ref'!C:C,"unassigned",0,1)</f>
        <v>Luxury</v>
      </c>
      <c r="F779" s="28" t="s">
        <v>2207</v>
      </c>
    </row>
    <row r="780" spans="1:6" x14ac:dyDescent="0.2">
      <c r="A780" s="30">
        <v>45895</v>
      </c>
      <c r="B780" s="28" t="s">
        <v>1539</v>
      </c>
      <c r="C780" s="28">
        <v>17.95</v>
      </c>
      <c r="D780" s="28" t="str">
        <f>_xlfn.XLOOKUP(B780,'Payee Ref'!A:A,'Payee Ref'!B:B,"unassigned",0,1)</f>
        <v>Groceries</v>
      </c>
      <c r="E780" s="29" t="str">
        <f>_xlfn.XLOOKUP(B780,'Payee Ref'!A:A,'Payee Ref'!C:C,"unassigned",0,1)</f>
        <v>Basic</v>
      </c>
      <c r="F780" s="28" t="s">
        <v>2207</v>
      </c>
    </row>
    <row r="781" spans="1:6" x14ac:dyDescent="0.2">
      <c r="A781" s="30">
        <v>45853</v>
      </c>
      <c r="B781" s="28" t="s">
        <v>1539</v>
      </c>
      <c r="C781" s="28">
        <v>17.95</v>
      </c>
      <c r="D781" s="28" t="str">
        <f>_xlfn.XLOOKUP(B781,'Payee Ref'!A:A,'Payee Ref'!B:B,"unassigned",0,1)</f>
        <v>Groceries</v>
      </c>
      <c r="E781" s="29" t="str">
        <f>_xlfn.XLOOKUP(B781,'Payee Ref'!A:A,'Payee Ref'!C:C,"unassigned",0,1)</f>
        <v>Basic</v>
      </c>
      <c r="F781" s="28" t="s">
        <v>2207</v>
      </c>
    </row>
    <row r="782" spans="1:6" x14ac:dyDescent="0.2">
      <c r="A782" s="30">
        <v>45825</v>
      </c>
      <c r="B782" s="28" t="s">
        <v>1539</v>
      </c>
      <c r="C782" s="28">
        <v>17.95</v>
      </c>
      <c r="D782" s="28" t="str">
        <f>_xlfn.XLOOKUP(B782,'Payee Ref'!A:A,'Payee Ref'!B:B,"unassigned",0,1)</f>
        <v>Groceries</v>
      </c>
      <c r="E782" s="29" t="str">
        <f>_xlfn.XLOOKUP(B782,'Payee Ref'!A:A,'Payee Ref'!C:C,"unassigned",0,1)</f>
        <v>Basic</v>
      </c>
      <c r="F782" s="28" t="s">
        <v>2207</v>
      </c>
    </row>
    <row r="783" spans="1:6" x14ac:dyDescent="0.2">
      <c r="A783" s="30">
        <v>45811</v>
      </c>
      <c r="B783" s="28" t="s">
        <v>1539</v>
      </c>
      <c r="C783" s="28">
        <v>17.95</v>
      </c>
      <c r="D783" s="28" t="str">
        <f>_xlfn.XLOOKUP(B783,'Payee Ref'!A:A,'Payee Ref'!B:B,"unassigned",0,1)</f>
        <v>Groceries</v>
      </c>
      <c r="E783" s="29" t="str">
        <f>_xlfn.XLOOKUP(B783,'Payee Ref'!A:A,'Payee Ref'!C:C,"unassigned",0,1)</f>
        <v>Basic</v>
      </c>
      <c r="F783" s="28" t="s">
        <v>2207</v>
      </c>
    </row>
    <row r="784" spans="1:6" x14ac:dyDescent="0.2">
      <c r="A784" s="30">
        <v>45824</v>
      </c>
      <c r="B784" s="28" t="s">
        <v>1848</v>
      </c>
      <c r="C784" s="28">
        <v>17.97</v>
      </c>
      <c r="D784" s="28" t="str">
        <f>_xlfn.XLOOKUP(B784,'Payee Ref'!A:A,'Payee Ref'!B:B,"unassigned",0,1)</f>
        <v>Dining</v>
      </c>
      <c r="E784" s="29" t="str">
        <f>_xlfn.XLOOKUP(B784,'Payee Ref'!A:A,'Payee Ref'!C:C,"unassigned",0,1)</f>
        <v>Luxury</v>
      </c>
      <c r="F784" s="28" t="s">
        <v>2207</v>
      </c>
    </row>
    <row r="785" spans="1:6" x14ac:dyDescent="0.2">
      <c r="A785" s="30">
        <v>45692</v>
      </c>
      <c r="B785" s="28" t="s">
        <v>2136</v>
      </c>
      <c r="C785" s="28">
        <v>17.98</v>
      </c>
      <c r="D785" s="28" t="str">
        <f>_xlfn.XLOOKUP(B785,'Payee Ref'!A:A,'Payee Ref'!B:B,"unassigned",0,1)</f>
        <v>Groceries</v>
      </c>
      <c r="E785" s="29" t="str">
        <f>_xlfn.XLOOKUP(B785,'Payee Ref'!A:A,'Payee Ref'!C:C,"unassigned",0,1)</f>
        <v>Basic</v>
      </c>
      <c r="F785" s="28" t="s">
        <v>2207</v>
      </c>
    </row>
    <row r="786" spans="1:6" x14ac:dyDescent="0.2">
      <c r="A786" s="30">
        <v>45942</v>
      </c>
      <c r="B786" s="28" t="s">
        <v>334</v>
      </c>
      <c r="C786" s="28">
        <v>18</v>
      </c>
      <c r="D786" s="28" t="str">
        <f>_xlfn.XLOOKUP(B786,'Payee Ref'!A:A,'Payee Ref'!B:B,"unassigned",0,1)</f>
        <v>Dining</v>
      </c>
      <c r="E786" s="29" t="str">
        <f>_xlfn.XLOOKUP(B786,'Payee Ref'!A:A,'Payee Ref'!C:C,"unassigned",0,1)</f>
        <v>Luxury</v>
      </c>
      <c r="F786" s="28" t="s">
        <v>2207</v>
      </c>
    </row>
    <row r="787" spans="1:6" x14ac:dyDescent="0.2">
      <c r="A787" s="30">
        <v>45881</v>
      </c>
      <c r="B787" s="31" t="s">
        <v>1734</v>
      </c>
      <c r="C787" s="28">
        <v>18</v>
      </c>
      <c r="D787" s="28" t="str">
        <f>_xlfn.XLOOKUP(B787,'Payee Ref'!A:A,'Payee Ref'!B:B,"unassigned",0,1)</f>
        <v>Health &amp; Medical</v>
      </c>
      <c r="E787" s="29" t="str">
        <f>_xlfn.XLOOKUP(B787,'Payee Ref'!A:A,'Payee Ref'!C:C,"unassigned",0,1)</f>
        <v>Basic</v>
      </c>
      <c r="F787" s="28" t="s">
        <v>2207</v>
      </c>
    </row>
    <row r="788" spans="1:6" x14ac:dyDescent="0.2">
      <c r="A788" s="30">
        <v>45850</v>
      </c>
      <c r="B788" s="31" t="s">
        <v>1734</v>
      </c>
      <c r="C788" s="28">
        <v>18</v>
      </c>
      <c r="D788" s="28" t="str">
        <f>_xlfn.XLOOKUP(B788,'Payee Ref'!A:A,'Payee Ref'!B:B,"unassigned",0,1)</f>
        <v>Health &amp; Medical</v>
      </c>
      <c r="E788" s="29" t="str">
        <f>_xlfn.XLOOKUP(B788,'Payee Ref'!A:A,'Payee Ref'!C:C,"unassigned",0,1)</f>
        <v>Basic</v>
      </c>
      <c r="F788" s="28" t="s">
        <v>2207</v>
      </c>
    </row>
    <row r="789" spans="1:6" x14ac:dyDescent="0.2">
      <c r="A789" s="30">
        <v>45820</v>
      </c>
      <c r="B789" s="31" t="s">
        <v>1734</v>
      </c>
      <c r="C789" s="28">
        <v>18</v>
      </c>
      <c r="D789" s="28" t="str">
        <f>_xlfn.XLOOKUP(B789,'Payee Ref'!A:A,'Payee Ref'!B:B,"unassigned",0,1)</f>
        <v>Health &amp; Medical</v>
      </c>
      <c r="E789" s="29" t="str">
        <f>_xlfn.XLOOKUP(B789,'Payee Ref'!A:A,'Payee Ref'!C:C,"unassigned",0,1)</f>
        <v>Basic</v>
      </c>
      <c r="F789" s="28" t="s">
        <v>2207</v>
      </c>
    </row>
    <row r="790" spans="1:6" x14ac:dyDescent="0.2">
      <c r="A790" s="30">
        <v>45789</v>
      </c>
      <c r="B790" s="31" t="s">
        <v>1734</v>
      </c>
      <c r="C790" s="28">
        <v>18</v>
      </c>
      <c r="D790" s="28" t="str">
        <f>_xlfn.XLOOKUP(B790,'Payee Ref'!A:A,'Payee Ref'!B:B,"unassigned",0,1)</f>
        <v>Health &amp; Medical</v>
      </c>
      <c r="E790" s="29" t="str">
        <f>_xlfn.XLOOKUP(B790,'Payee Ref'!A:A,'Payee Ref'!C:C,"unassigned",0,1)</f>
        <v>Basic</v>
      </c>
      <c r="F790" s="28" t="s">
        <v>2207</v>
      </c>
    </row>
    <row r="791" spans="1:6" x14ac:dyDescent="0.2">
      <c r="A791" s="30">
        <v>45759</v>
      </c>
      <c r="B791" s="31" t="s">
        <v>1734</v>
      </c>
      <c r="C791" s="28">
        <v>18</v>
      </c>
      <c r="D791" s="28" t="str">
        <f>_xlfn.XLOOKUP(B791,'Payee Ref'!A:A,'Payee Ref'!B:B,"unassigned",0,1)</f>
        <v>Health &amp; Medical</v>
      </c>
      <c r="E791" s="29" t="str">
        <f>_xlfn.XLOOKUP(B791,'Payee Ref'!A:A,'Payee Ref'!C:C,"unassigned",0,1)</f>
        <v>Basic</v>
      </c>
      <c r="F791" s="28" t="s">
        <v>2207</v>
      </c>
    </row>
    <row r="792" spans="1:6" x14ac:dyDescent="0.2">
      <c r="A792" s="30">
        <v>45728</v>
      </c>
      <c r="B792" s="31" t="s">
        <v>1734</v>
      </c>
      <c r="C792" s="28">
        <v>18</v>
      </c>
      <c r="D792" s="28" t="str">
        <f>_xlfn.XLOOKUP(B792,'Payee Ref'!A:A,'Payee Ref'!B:B,"unassigned",0,1)</f>
        <v>Health &amp; Medical</v>
      </c>
      <c r="E792" s="29" t="str">
        <f>_xlfn.XLOOKUP(B792,'Payee Ref'!A:A,'Payee Ref'!C:C,"unassigned",0,1)</f>
        <v>Basic</v>
      </c>
      <c r="F792" s="28" t="s">
        <v>2207</v>
      </c>
    </row>
    <row r="793" spans="1:6" x14ac:dyDescent="0.2">
      <c r="A793" s="30">
        <v>45700</v>
      </c>
      <c r="B793" s="31" t="s">
        <v>1734</v>
      </c>
      <c r="C793" s="28">
        <v>18</v>
      </c>
      <c r="D793" s="28" t="str">
        <f>_xlfn.XLOOKUP(B793,'Payee Ref'!A:A,'Payee Ref'!B:B,"unassigned",0,1)</f>
        <v>Health &amp; Medical</v>
      </c>
      <c r="E793" s="29" t="str">
        <f>_xlfn.XLOOKUP(B793,'Payee Ref'!A:A,'Payee Ref'!C:C,"unassigned",0,1)</f>
        <v>Basic</v>
      </c>
      <c r="F793" s="28" t="s">
        <v>2207</v>
      </c>
    </row>
    <row r="794" spans="1:6" x14ac:dyDescent="0.2">
      <c r="A794" s="30">
        <v>45669</v>
      </c>
      <c r="B794" s="31" t="s">
        <v>1734</v>
      </c>
      <c r="C794" s="28">
        <v>18</v>
      </c>
      <c r="D794" s="28" t="str">
        <f>_xlfn.XLOOKUP(B794,'Payee Ref'!A:A,'Payee Ref'!B:B,"unassigned",0,1)</f>
        <v>Health &amp; Medical</v>
      </c>
      <c r="E794" s="29" t="str">
        <f>_xlfn.XLOOKUP(B794,'Payee Ref'!A:A,'Payee Ref'!C:C,"unassigned",0,1)</f>
        <v>Basic</v>
      </c>
      <c r="F794" s="28" t="s">
        <v>2207</v>
      </c>
    </row>
    <row r="795" spans="1:6" x14ac:dyDescent="0.2">
      <c r="A795" s="30">
        <v>45973</v>
      </c>
      <c r="B795" s="28" t="s">
        <v>610</v>
      </c>
      <c r="C795" s="28">
        <v>18</v>
      </c>
      <c r="D795" s="28" t="str">
        <f>_xlfn.XLOOKUP(B795,'Payee Ref'!A:A,'Payee Ref'!B:B,"unassigned",0,1)</f>
        <v>Health &amp; Medical</v>
      </c>
      <c r="E795" s="29" t="str">
        <f>_xlfn.XLOOKUP(B795,'Payee Ref'!A:A,'Payee Ref'!C:C,"unassigned",0,1)</f>
        <v>Basic</v>
      </c>
      <c r="F795" s="28" t="s">
        <v>2207</v>
      </c>
    </row>
    <row r="796" spans="1:6" x14ac:dyDescent="0.2">
      <c r="A796" s="30">
        <v>45942</v>
      </c>
      <c r="B796" s="28" t="s">
        <v>610</v>
      </c>
      <c r="C796" s="28">
        <v>18</v>
      </c>
      <c r="D796" s="28" t="str">
        <f>_xlfn.XLOOKUP(B796,'Payee Ref'!A:A,'Payee Ref'!B:B,"unassigned",0,1)</f>
        <v>Health &amp; Medical</v>
      </c>
      <c r="E796" s="29" t="str">
        <f>_xlfn.XLOOKUP(B796,'Payee Ref'!A:A,'Payee Ref'!C:C,"unassigned",0,1)</f>
        <v>Basic</v>
      </c>
      <c r="F796" s="28" t="s">
        <v>2207</v>
      </c>
    </row>
    <row r="797" spans="1:6" x14ac:dyDescent="0.2">
      <c r="A797" s="30">
        <v>45924</v>
      </c>
      <c r="B797" s="28" t="s">
        <v>1626</v>
      </c>
      <c r="C797" s="28">
        <v>18</v>
      </c>
      <c r="D797" s="28" t="str">
        <f>_xlfn.XLOOKUP(B797,'Payee Ref'!A:A,'Payee Ref'!B:B,"unassigned",0,1)</f>
        <v>Travel</v>
      </c>
      <c r="E797" s="29" t="str">
        <f>_xlfn.XLOOKUP(B797,'Payee Ref'!A:A,'Payee Ref'!C:C,"unassigned",0,1)</f>
        <v>Luxury</v>
      </c>
      <c r="F797" s="28" t="s">
        <v>2207</v>
      </c>
    </row>
    <row r="798" spans="1:6" x14ac:dyDescent="0.2">
      <c r="A798" s="30">
        <v>45912</v>
      </c>
      <c r="B798" s="28" t="s">
        <v>1572</v>
      </c>
      <c r="C798" s="28">
        <v>18</v>
      </c>
      <c r="D798" s="28" t="str">
        <f>_xlfn.XLOOKUP(B798,'Payee Ref'!A:A,'Payee Ref'!B:B,"unassigned",0,1)</f>
        <v>unassigned</v>
      </c>
      <c r="E798" s="29" t="str">
        <f>_xlfn.XLOOKUP(B798,'Payee Ref'!A:A,'Payee Ref'!C:C,"unassigned",0,1)</f>
        <v>unassigned</v>
      </c>
      <c r="F798" s="28" t="s">
        <v>2207</v>
      </c>
    </row>
    <row r="799" spans="1:6" x14ac:dyDescent="0.2">
      <c r="A799" s="30">
        <v>45950</v>
      </c>
      <c r="B799" s="28" t="s">
        <v>551</v>
      </c>
      <c r="C799" s="28">
        <v>18.190000000000001</v>
      </c>
      <c r="D799" s="28" t="str">
        <f>_xlfn.XLOOKUP(B799,'Payee Ref'!A:A,'Payee Ref'!B:B,"unassigned",0,1)</f>
        <v>Groceries</v>
      </c>
      <c r="E799" s="29" t="str">
        <f>_xlfn.XLOOKUP(B799,'Payee Ref'!A:A,'Payee Ref'!C:C,"unassigned",0,1)</f>
        <v>Luxury</v>
      </c>
      <c r="F799" s="28" t="s">
        <v>2207</v>
      </c>
    </row>
    <row r="800" spans="1:6" x14ac:dyDescent="0.2">
      <c r="A800" s="30">
        <v>45689</v>
      </c>
      <c r="B800" s="31" t="s">
        <v>2139</v>
      </c>
      <c r="C800" s="28">
        <v>18.2</v>
      </c>
      <c r="D800" s="28" t="str">
        <f>_xlfn.XLOOKUP(B800,'Payee Ref'!A:A,'Payee Ref'!B:B,"unassigned",0,1)</f>
        <v>Home &amp; Garden</v>
      </c>
      <c r="E800" s="29" t="str">
        <f>_xlfn.XLOOKUP(B800,'Payee Ref'!A:A,'Payee Ref'!C:C,"unassigned",0,1)</f>
        <v>Basic</v>
      </c>
      <c r="F800" s="28" t="s">
        <v>2207</v>
      </c>
    </row>
    <row r="801" spans="1:6" x14ac:dyDescent="0.2">
      <c r="A801" s="30">
        <v>45721</v>
      </c>
      <c r="B801" s="28" t="s">
        <v>1534</v>
      </c>
      <c r="C801" s="28">
        <v>18.23</v>
      </c>
      <c r="D801" s="28" t="str">
        <f>_xlfn.XLOOKUP(B801,'Payee Ref'!A:A,'Payee Ref'!B:B,"unassigned",0,1)</f>
        <v>Dining</v>
      </c>
      <c r="E801" s="29" t="str">
        <f>_xlfn.XLOOKUP(B801,'Payee Ref'!A:A,'Payee Ref'!C:C,"unassigned",0,1)</f>
        <v>Luxury</v>
      </c>
      <c r="F801" s="28" t="s">
        <v>2207</v>
      </c>
    </row>
    <row r="802" spans="1:6" x14ac:dyDescent="0.2">
      <c r="A802" s="30">
        <v>45769</v>
      </c>
      <c r="B802" s="28" t="s">
        <v>2027</v>
      </c>
      <c r="C802" s="28">
        <v>18.239999999999998</v>
      </c>
      <c r="D802" s="28" t="str">
        <f>_xlfn.XLOOKUP(B802,'Payee Ref'!A:A,'Payee Ref'!B:B,"unassigned",0,1)</f>
        <v>Dining</v>
      </c>
      <c r="E802" s="29" t="str">
        <f>_xlfn.XLOOKUP(B802,'Payee Ref'!A:A,'Payee Ref'!C:C,"unassigned",0,1)</f>
        <v>Luxury</v>
      </c>
      <c r="F802" s="28" t="s">
        <v>2207</v>
      </c>
    </row>
    <row r="803" spans="1:6" x14ac:dyDescent="0.2">
      <c r="A803" s="30">
        <v>45741</v>
      </c>
      <c r="B803" s="28" t="s">
        <v>1796</v>
      </c>
      <c r="C803" s="28">
        <v>18.399999999999999</v>
      </c>
      <c r="D803" s="28" t="str">
        <f>_xlfn.XLOOKUP(B803,'Payee Ref'!A:A,'Payee Ref'!B:B,"unassigned",0,1)</f>
        <v>Dining</v>
      </c>
      <c r="E803" s="29" t="str">
        <f>_xlfn.XLOOKUP(B803,'Payee Ref'!A:A,'Payee Ref'!C:C,"unassigned",0,1)</f>
        <v>Luxury</v>
      </c>
      <c r="F803" s="28" t="s">
        <v>2207</v>
      </c>
    </row>
    <row r="804" spans="1:6" x14ac:dyDescent="0.2">
      <c r="A804" s="30">
        <v>45818</v>
      </c>
      <c r="B804" s="28" t="s">
        <v>1950</v>
      </c>
      <c r="C804" s="28">
        <v>18.48</v>
      </c>
      <c r="D804" s="28" t="str">
        <f>_xlfn.XLOOKUP(B804,'Payee Ref'!A:A,'Payee Ref'!B:B,"unassigned",0,1)</f>
        <v>Parking</v>
      </c>
      <c r="E804" s="29" t="str">
        <f>_xlfn.XLOOKUP(B804,'Payee Ref'!A:A,'Payee Ref'!C:C,"unassigned",0,1)</f>
        <v>Basic</v>
      </c>
      <c r="F804" s="28" t="s">
        <v>2207</v>
      </c>
    </row>
    <row r="805" spans="1:6" x14ac:dyDescent="0.2">
      <c r="A805" s="30">
        <v>45817</v>
      </c>
      <c r="B805" s="28" t="s">
        <v>1950</v>
      </c>
      <c r="C805" s="28">
        <v>18.48</v>
      </c>
      <c r="D805" s="28" t="str">
        <f>_xlfn.XLOOKUP(B805,'Payee Ref'!A:A,'Payee Ref'!B:B,"unassigned",0,1)</f>
        <v>Parking</v>
      </c>
      <c r="E805" s="29" t="str">
        <f>_xlfn.XLOOKUP(B805,'Payee Ref'!A:A,'Payee Ref'!C:C,"unassigned",0,1)</f>
        <v>Basic</v>
      </c>
      <c r="F805" s="28" t="s">
        <v>2207</v>
      </c>
    </row>
    <row r="806" spans="1:6" x14ac:dyDescent="0.2">
      <c r="A806" s="30">
        <v>45815</v>
      </c>
      <c r="B806" s="28" t="s">
        <v>1950</v>
      </c>
      <c r="C806" s="28">
        <v>18.48</v>
      </c>
      <c r="D806" s="28" t="str">
        <f>_xlfn.XLOOKUP(B806,'Payee Ref'!A:A,'Payee Ref'!B:B,"unassigned",0,1)</f>
        <v>Parking</v>
      </c>
      <c r="E806" s="29" t="str">
        <f>_xlfn.XLOOKUP(B806,'Payee Ref'!A:A,'Payee Ref'!C:C,"unassigned",0,1)</f>
        <v>Basic</v>
      </c>
      <c r="F806" s="28" t="s">
        <v>2207</v>
      </c>
    </row>
    <row r="807" spans="1:6" x14ac:dyDescent="0.2">
      <c r="A807" s="30">
        <v>45815</v>
      </c>
      <c r="B807" s="28" t="s">
        <v>1950</v>
      </c>
      <c r="C807" s="28">
        <v>18.48</v>
      </c>
      <c r="D807" s="28" t="str">
        <f>_xlfn.XLOOKUP(B807,'Payee Ref'!A:A,'Payee Ref'!B:B,"unassigned",0,1)</f>
        <v>Parking</v>
      </c>
      <c r="E807" s="29" t="str">
        <f>_xlfn.XLOOKUP(B807,'Payee Ref'!A:A,'Payee Ref'!C:C,"unassigned",0,1)</f>
        <v>Basic</v>
      </c>
      <c r="F807" s="28" t="s">
        <v>2207</v>
      </c>
    </row>
    <row r="808" spans="1:6" x14ac:dyDescent="0.2">
      <c r="A808" s="30">
        <v>45811</v>
      </c>
      <c r="B808" s="28" t="s">
        <v>1950</v>
      </c>
      <c r="C808" s="28">
        <v>18.48</v>
      </c>
      <c r="D808" s="28" t="str">
        <f>_xlfn.XLOOKUP(B808,'Payee Ref'!A:A,'Payee Ref'!B:B,"unassigned",0,1)</f>
        <v>Parking</v>
      </c>
      <c r="E808" s="29" t="str">
        <f>_xlfn.XLOOKUP(B808,'Payee Ref'!A:A,'Payee Ref'!C:C,"unassigned",0,1)</f>
        <v>Basic</v>
      </c>
      <c r="F808" s="28" t="s">
        <v>2207</v>
      </c>
    </row>
    <row r="809" spans="1:6" x14ac:dyDescent="0.2">
      <c r="A809" s="30">
        <v>45810</v>
      </c>
      <c r="B809" s="28" t="s">
        <v>1950</v>
      </c>
      <c r="C809" s="28">
        <v>18.48</v>
      </c>
      <c r="D809" s="28" t="str">
        <f>_xlfn.XLOOKUP(B809,'Payee Ref'!A:A,'Payee Ref'!B:B,"unassigned",0,1)</f>
        <v>Parking</v>
      </c>
      <c r="E809" s="29" t="str">
        <f>_xlfn.XLOOKUP(B809,'Payee Ref'!A:A,'Payee Ref'!C:C,"unassigned",0,1)</f>
        <v>Basic</v>
      </c>
      <c r="F809" s="28" t="s">
        <v>2207</v>
      </c>
    </row>
    <row r="810" spans="1:6" x14ac:dyDescent="0.2">
      <c r="A810" s="30">
        <v>45807</v>
      </c>
      <c r="B810" s="28" t="s">
        <v>1950</v>
      </c>
      <c r="C810" s="28">
        <v>18.48</v>
      </c>
      <c r="D810" s="28" t="str">
        <f>_xlfn.XLOOKUP(B810,'Payee Ref'!A:A,'Payee Ref'!B:B,"unassigned",0,1)</f>
        <v>Parking</v>
      </c>
      <c r="E810" s="29" t="str">
        <f>_xlfn.XLOOKUP(B810,'Payee Ref'!A:A,'Payee Ref'!C:C,"unassigned",0,1)</f>
        <v>Basic</v>
      </c>
      <c r="F810" s="28" t="s">
        <v>2207</v>
      </c>
    </row>
    <row r="811" spans="1:6" x14ac:dyDescent="0.2">
      <c r="A811" s="30">
        <v>45804</v>
      </c>
      <c r="B811" s="28" t="s">
        <v>1950</v>
      </c>
      <c r="C811" s="28">
        <v>18.48</v>
      </c>
      <c r="D811" s="28" t="str">
        <f>_xlfn.XLOOKUP(B811,'Payee Ref'!A:A,'Payee Ref'!B:B,"unassigned",0,1)</f>
        <v>Parking</v>
      </c>
      <c r="E811" s="29" t="str">
        <f>_xlfn.XLOOKUP(B811,'Payee Ref'!A:A,'Payee Ref'!C:C,"unassigned",0,1)</f>
        <v>Basic</v>
      </c>
      <c r="F811" s="28" t="s">
        <v>2207</v>
      </c>
    </row>
    <row r="812" spans="1:6" x14ac:dyDescent="0.2">
      <c r="A812" s="30">
        <v>45800</v>
      </c>
      <c r="B812" s="28" t="s">
        <v>1950</v>
      </c>
      <c r="C812" s="28">
        <v>18.48</v>
      </c>
      <c r="D812" s="28" t="str">
        <f>_xlfn.XLOOKUP(B812,'Payee Ref'!A:A,'Payee Ref'!B:B,"unassigned",0,1)</f>
        <v>Parking</v>
      </c>
      <c r="E812" s="29" t="str">
        <f>_xlfn.XLOOKUP(B812,'Payee Ref'!A:A,'Payee Ref'!C:C,"unassigned",0,1)</f>
        <v>Basic</v>
      </c>
      <c r="F812" s="28" t="s">
        <v>2207</v>
      </c>
    </row>
    <row r="813" spans="1:6" x14ac:dyDescent="0.2">
      <c r="A813" s="30">
        <v>45799</v>
      </c>
      <c r="B813" s="28" t="s">
        <v>1950</v>
      </c>
      <c r="C813" s="28">
        <v>18.48</v>
      </c>
      <c r="D813" s="28" t="str">
        <f>_xlfn.XLOOKUP(B813,'Payee Ref'!A:A,'Payee Ref'!B:B,"unassigned",0,1)</f>
        <v>Parking</v>
      </c>
      <c r="E813" s="29" t="str">
        <f>_xlfn.XLOOKUP(B813,'Payee Ref'!A:A,'Payee Ref'!C:C,"unassigned",0,1)</f>
        <v>Basic</v>
      </c>
      <c r="F813" s="28" t="s">
        <v>2207</v>
      </c>
    </row>
    <row r="814" spans="1:6" x14ac:dyDescent="0.2">
      <c r="A814" s="30">
        <v>45796</v>
      </c>
      <c r="B814" s="28" t="s">
        <v>1950</v>
      </c>
      <c r="C814" s="28">
        <v>18.48</v>
      </c>
      <c r="D814" s="28" t="str">
        <f>_xlfn.XLOOKUP(B814,'Payee Ref'!A:A,'Payee Ref'!B:B,"unassigned",0,1)</f>
        <v>Parking</v>
      </c>
      <c r="E814" s="29" t="str">
        <f>_xlfn.XLOOKUP(B814,'Payee Ref'!A:A,'Payee Ref'!C:C,"unassigned",0,1)</f>
        <v>Basic</v>
      </c>
      <c r="F814" s="28" t="s">
        <v>2207</v>
      </c>
    </row>
    <row r="815" spans="1:6" x14ac:dyDescent="0.2">
      <c r="A815" s="30">
        <v>45793</v>
      </c>
      <c r="B815" s="28" t="s">
        <v>1950</v>
      </c>
      <c r="C815" s="28">
        <v>18.48</v>
      </c>
      <c r="D815" s="28" t="str">
        <f>_xlfn.XLOOKUP(B815,'Payee Ref'!A:A,'Payee Ref'!B:B,"unassigned",0,1)</f>
        <v>Parking</v>
      </c>
      <c r="E815" s="29" t="str">
        <f>_xlfn.XLOOKUP(B815,'Payee Ref'!A:A,'Payee Ref'!C:C,"unassigned",0,1)</f>
        <v>Basic</v>
      </c>
      <c r="F815" s="28" t="s">
        <v>2207</v>
      </c>
    </row>
    <row r="816" spans="1:6" x14ac:dyDescent="0.2">
      <c r="A816" s="30">
        <v>45792</v>
      </c>
      <c r="B816" s="28" t="s">
        <v>1950</v>
      </c>
      <c r="C816" s="28">
        <v>18.48</v>
      </c>
      <c r="D816" s="28" t="str">
        <f>_xlfn.XLOOKUP(B816,'Payee Ref'!A:A,'Payee Ref'!B:B,"unassigned",0,1)</f>
        <v>Parking</v>
      </c>
      <c r="E816" s="29" t="str">
        <f>_xlfn.XLOOKUP(B816,'Payee Ref'!A:A,'Payee Ref'!C:C,"unassigned",0,1)</f>
        <v>Basic</v>
      </c>
      <c r="F816" s="28" t="s">
        <v>2207</v>
      </c>
    </row>
    <row r="817" spans="1:6" x14ac:dyDescent="0.2">
      <c r="A817" s="30">
        <v>45791</v>
      </c>
      <c r="B817" s="28" t="s">
        <v>1950</v>
      </c>
      <c r="C817" s="28">
        <v>18.48</v>
      </c>
      <c r="D817" s="28" t="str">
        <f>_xlfn.XLOOKUP(B817,'Payee Ref'!A:A,'Payee Ref'!B:B,"unassigned",0,1)</f>
        <v>Parking</v>
      </c>
      <c r="E817" s="29" t="str">
        <f>_xlfn.XLOOKUP(B817,'Payee Ref'!A:A,'Payee Ref'!C:C,"unassigned",0,1)</f>
        <v>Basic</v>
      </c>
      <c r="F817" s="28" t="s">
        <v>2207</v>
      </c>
    </row>
    <row r="818" spans="1:6" x14ac:dyDescent="0.2">
      <c r="A818" s="30">
        <v>45790</v>
      </c>
      <c r="B818" s="28" t="s">
        <v>1950</v>
      </c>
      <c r="C818" s="28">
        <v>18.48</v>
      </c>
      <c r="D818" s="28" t="str">
        <f>_xlfn.XLOOKUP(B818,'Payee Ref'!A:A,'Payee Ref'!B:B,"unassigned",0,1)</f>
        <v>Parking</v>
      </c>
      <c r="E818" s="29" t="str">
        <f>_xlfn.XLOOKUP(B818,'Payee Ref'!A:A,'Payee Ref'!C:C,"unassigned",0,1)</f>
        <v>Basic</v>
      </c>
      <c r="F818" s="28" t="s">
        <v>2207</v>
      </c>
    </row>
    <row r="819" spans="1:6" x14ac:dyDescent="0.2">
      <c r="A819" s="30">
        <v>45789</v>
      </c>
      <c r="B819" s="28" t="s">
        <v>1950</v>
      </c>
      <c r="C819" s="28">
        <v>18.48</v>
      </c>
      <c r="D819" s="28" t="str">
        <f>_xlfn.XLOOKUP(B819,'Payee Ref'!A:A,'Payee Ref'!B:B,"unassigned",0,1)</f>
        <v>Parking</v>
      </c>
      <c r="E819" s="29" t="str">
        <f>_xlfn.XLOOKUP(B819,'Payee Ref'!A:A,'Payee Ref'!C:C,"unassigned",0,1)</f>
        <v>Basic</v>
      </c>
      <c r="F819" s="28" t="s">
        <v>2207</v>
      </c>
    </row>
    <row r="820" spans="1:6" x14ac:dyDescent="0.2">
      <c r="A820" s="30">
        <v>45786</v>
      </c>
      <c r="B820" s="28" t="s">
        <v>1950</v>
      </c>
      <c r="C820" s="28">
        <v>18.48</v>
      </c>
      <c r="D820" s="28" t="str">
        <f>_xlfn.XLOOKUP(B820,'Payee Ref'!A:A,'Payee Ref'!B:B,"unassigned",0,1)</f>
        <v>Parking</v>
      </c>
      <c r="E820" s="29" t="str">
        <f>_xlfn.XLOOKUP(B820,'Payee Ref'!A:A,'Payee Ref'!C:C,"unassigned",0,1)</f>
        <v>Basic</v>
      </c>
      <c r="F820" s="28" t="s">
        <v>2207</v>
      </c>
    </row>
    <row r="821" spans="1:6" x14ac:dyDescent="0.2">
      <c r="A821" s="30">
        <v>45786</v>
      </c>
      <c r="B821" s="28" t="s">
        <v>1950</v>
      </c>
      <c r="C821" s="28">
        <v>18.48</v>
      </c>
      <c r="D821" s="28" t="str">
        <f>_xlfn.XLOOKUP(B821,'Payee Ref'!A:A,'Payee Ref'!B:B,"unassigned",0,1)</f>
        <v>Parking</v>
      </c>
      <c r="E821" s="29" t="str">
        <f>_xlfn.XLOOKUP(B821,'Payee Ref'!A:A,'Payee Ref'!C:C,"unassigned",0,1)</f>
        <v>Basic</v>
      </c>
      <c r="F821" s="28" t="s">
        <v>2207</v>
      </c>
    </row>
    <row r="822" spans="1:6" x14ac:dyDescent="0.2">
      <c r="A822" s="30">
        <v>45783</v>
      </c>
      <c r="B822" s="28" t="s">
        <v>1950</v>
      </c>
      <c r="C822" s="28">
        <v>18.48</v>
      </c>
      <c r="D822" s="28" t="str">
        <f>_xlfn.XLOOKUP(B822,'Payee Ref'!A:A,'Payee Ref'!B:B,"unassigned",0,1)</f>
        <v>Parking</v>
      </c>
      <c r="E822" s="29" t="str">
        <f>_xlfn.XLOOKUP(B822,'Payee Ref'!A:A,'Payee Ref'!C:C,"unassigned",0,1)</f>
        <v>Basic</v>
      </c>
      <c r="F822" s="28" t="s">
        <v>2207</v>
      </c>
    </row>
    <row r="823" spans="1:6" x14ac:dyDescent="0.2">
      <c r="A823" s="30">
        <v>45782</v>
      </c>
      <c r="B823" s="28" t="s">
        <v>1950</v>
      </c>
      <c r="C823" s="28">
        <v>18.48</v>
      </c>
      <c r="D823" s="28" t="str">
        <f>_xlfn.XLOOKUP(B823,'Payee Ref'!A:A,'Payee Ref'!B:B,"unassigned",0,1)</f>
        <v>Parking</v>
      </c>
      <c r="E823" s="29" t="str">
        <f>_xlfn.XLOOKUP(B823,'Payee Ref'!A:A,'Payee Ref'!C:C,"unassigned",0,1)</f>
        <v>Basic</v>
      </c>
      <c r="F823" s="28" t="s">
        <v>2207</v>
      </c>
    </row>
    <row r="824" spans="1:6" x14ac:dyDescent="0.2">
      <c r="A824" s="30">
        <v>45778</v>
      </c>
      <c r="B824" s="28" t="s">
        <v>1950</v>
      </c>
      <c r="C824" s="28">
        <v>18.48</v>
      </c>
      <c r="D824" s="28" t="str">
        <f>_xlfn.XLOOKUP(B824,'Payee Ref'!A:A,'Payee Ref'!B:B,"unassigned",0,1)</f>
        <v>Parking</v>
      </c>
      <c r="E824" s="29" t="str">
        <f>_xlfn.XLOOKUP(B824,'Payee Ref'!A:A,'Payee Ref'!C:C,"unassigned",0,1)</f>
        <v>Basic</v>
      </c>
      <c r="F824" s="28" t="s">
        <v>2207</v>
      </c>
    </row>
    <row r="825" spans="1:6" x14ac:dyDescent="0.2">
      <c r="A825" s="30">
        <v>45777</v>
      </c>
      <c r="B825" s="28" t="s">
        <v>1950</v>
      </c>
      <c r="C825" s="28">
        <v>18.48</v>
      </c>
      <c r="D825" s="28" t="str">
        <f>_xlfn.XLOOKUP(B825,'Payee Ref'!A:A,'Payee Ref'!B:B,"unassigned",0,1)</f>
        <v>Parking</v>
      </c>
      <c r="E825" s="29" t="str">
        <f>_xlfn.XLOOKUP(B825,'Payee Ref'!A:A,'Payee Ref'!C:C,"unassigned",0,1)</f>
        <v>Basic</v>
      </c>
      <c r="F825" s="28" t="s">
        <v>2207</v>
      </c>
    </row>
    <row r="826" spans="1:6" x14ac:dyDescent="0.2">
      <c r="A826" s="30">
        <v>45775</v>
      </c>
      <c r="B826" s="28" t="s">
        <v>1950</v>
      </c>
      <c r="C826" s="28">
        <v>18.48</v>
      </c>
      <c r="D826" s="28" t="str">
        <f>_xlfn.XLOOKUP(B826,'Payee Ref'!A:A,'Payee Ref'!B:B,"unassigned",0,1)</f>
        <v>Parking</v>
      </c>
      <c r="E826" s="29" t="str">
        <f>_xlfn.XLOOKUP(B826,'Payee Ref'!A:A,'Payee Ref'!C:C,"unassigned",0,1)</f>
        <v>Basic</v>
      </c>
      <c r="F826" s="28" t="s">
        <v>2207</v>
      </c>
    </row>
    <row r="827" spans="1:6" x14ac:dyDescent="0.2">
      <c r="A827" s="30">
        <v>45772</v>
      </c>
      <c r="B827" s="28" t="s">
        <v>1950</v>
      </c>
      <c r="C827" s="28">
        <v>18.48</v>
      </c>
      <c r="D827" s="28" t="str">
        <f>_xlfn.XLOOKUP(B827,'Payee Ref'!A:A,'Payee Ref'!B:B,"unassigned",0,1)</f>
        <v>Parking</v>
      </c>
      <c r="E827" s="29" t="str">
        <f>_xlfn.XLOOKUP(B827,'Payee Ref'!A:A,'Payee Ref'!C:C,"unassigned",0,1)</f>
        <v>Basic</v>
      </c>
      <c r="F827" s="28" t="s">
        <v>2207</v>
      </c>
    </row>
    <row r="828" spans="1:6" x14ac:dyDescent="0.2">
      <c r="A828" s="30">
        <v>45769</v>
      </c>
      <c r="B828" s="28" t="s">
        <v>1950</v>
      </c>
      <c r="C828" s="28">
        <v>18.48</v>
      </c>
      <c r="D828" s="28" t="str">
        <f>_xlfn.XLOOKUP(B828,'Payee Ref'!A:A,'Payee Ref'!B:B,"unassigned",0,1)</f>
        <v>Parking</v>
      </c>
      <c r="E828" s="29" t="str">
        <f>_xlfn.XLOOKUP(B828,'Payee Ref'!A:A,'Payee Ref'!C:C,"unassigned",0,1)</f>
        <v>Basic</v>
      </c>
      <c r="F828" s="28" t="s">
        <v>2207</v>
      </c>
    </row>
    <row r="829" spans="1:6" x14ac:dyDescent="0.2">
      <c r="A829" s="30">
        <v>45660</v>
      </c>
      <c r="B829" s="28" t="s">
        <v>2194</v>
      </c>
      <c r="C829" s="28">
        <v>18.649999999999999</v>
      </c>
      <c r="D829" s="28" t="str">
        <f>_xlfn.XLOOKUP(B829,'Payee Ref'!A:A,'Payee Ref'!B:B,"unassigned",0,1)</f>
        <v>Auto</v>
      </c>
      <c r="E829" s="29" t="str">
        <f>_xlfn.XLOOKUP(B829,'Payee Ref'!A:A,'Payee Ref'!C:C,"unassigned",0,1)</f>
        <v>Basic</v>
      </c>
      <c r="F829" s="28" t="s">
        <v>2207</v>
      </c>
    </row>
    <row r="830" spans="1:6" x14ac:dyDescent="0.2">
      <c r="A830" s="30">
        <v>45833</v>
      </c>
      <c r="B830" s="28" t="s">
        <v>1667</v>
      </c>
      <c r="C830" s="28">
        <v>18.649999999999999</v>
      </c>
      <c r="D830" s="28" t="str">
        <f>_xlfn.XLOOKUP(B830,'Payee Ref'!A:A,'Payee Ref'!B:B,"unassigned",0,1)</f>
        <v>Dining</v>
      </c>
      <c r="E830" s="29" t="str">
        <f>_xlfn.XLOOKUP(B830,'Payee Ref'!A:A,'Payee Ref'!C:C,"unassigned",0,1)</f>
        <v>Luxury</v>
      </c>
      <c r="F830" s="28" t="s">
        <v>2207</v>
      </c>
    </row>
    <row r="831" spans="1:6" x14ac:dyDescent="0.2">
      <c r="A831" s="30">
        <v>45758</v>
      </c>
      <c r="B831" s="28" t="s">
        <v>1547</v>
      </c>
      <c r="C831" s="28">
        <v>18.670000000000002</v>
      </c>
      <c r="D831" s="28" t="str">
        <f>_xlfn.XLOOKUP(B831,'Payee Ref'!A:A,'Payee Ref'!B:B,"unassigned",0,1)</f>
        <v>Pharmacy</v>
      </c>
      <c r="E831" s="29" t="str">
        <f>_xlfn.XLOOKUP(B831,'Payee Ref'!A:A,'Payee Ref'!C:C,"unassigned",0,1)</f>
        <v>Basic</v>
      </c>
      <c r="F831" s="28" t="s">
        <v>2207</v>
      </c>
    </row>
    <row r="832" spans="1:6" x14ac:dyDescent="0.2">
      <c r="A832" s="30">
        <v>45806</v>
      </c>
      <c r="B832" s="28" t="s">
        <v>1950</v>
      </c>
      <c r="C832" s="28">
        <v>18.68</v>
      </c>
      <c r="D832" s="28" t="str">
        <f>_xlfn.XLOOKUP(B832,'Payee Ref'!A:A,'Payee Ref'!B:B,"unassigned",0,1)</f>
        <v>Parking</v>
      </c>
      <c r="E832" s="29" t="str">
        <f>_xlfn.XLOOKUP(B832,'Payee Ref'!A:A,'Payee Ref'!C:C,"unassigned",0,1)</f>
        <v>Basic</v>
      </c>
      <c r="F832" s="28" t="s">
        <v>2207</v>
      </c>
    </row>
    <row r="833" spans="1:6" x14ac:dyDescent="0.2">
      <c r="A833" s="30">
        <v>45798</v>
      </c>
      <c r="B833" s="28" t="s">
        <v>1986</v>
      </c>
      <c r="C833" s="28">
        <v>18.7</v>
      </c>
      <c r="D833" s="28" t="str">
        <f>_xlfn.XLOOKUP(B833,'Payee Ref'!A:A,'Payee Ref'!B:B,"unassigned",0,1)</f>
        <v>Dining</v>
      </c>
      <c r="E833" s="29" t="str">
        <f>_xlfn.XLOOKUP(B833,'Payee Ref'!A:A,'Payee Ref'!C:C,"unassigned",0,1)</f>
        <v>Luxury</v>
      </c>
      <c r="F833" s="28" t="s">
        <v>2207</v>
      </c>
    </row>
    <row r="834" spans="1:6" x14ac:dyDescent="0.2">
      <c r="A834" s="30">
        <v>45885</v>
      </c>
      <c r="B834" s="28" t="s">
        <v>1605</v>
      </c>
      <c r="C834" s="28">
        <v>18.72</v>
      </c>
      <c r="D834" s="28" t="str">
        <f>_xlfn.XLOOKUP(B834,'Payee Ref'!A:A,'Payee Ref'!B:B,"unassigned",0,1)</f>
        <v>Dining</v>
      </c>
      <c r="E834" s="29" t="str">
        <f>_xlfn.XLOOKUP(B834,'Payee Ref'!A:A,'Payee Ref'!C:C,"unassigned",0,1)</f>
        <v>Luxury</v>
      </c>
      <c r="F834" s="28" t="s">
        <v>2207</v>
      </c>
    </row>
    <row r="835" spans="1:6" x14ac:dyDescent="0.2">
      <c r="A835" s="30">
        <v>45798</v>
      </c>
      <c r="B835" s="28" t="s">
        <v>1796</v>
      </c>
      <c r="C835" s="28">
        <v>18.72</v>
      </c>
      <c r="D835" s="28" t="str">
        <f>_xlfn.XLOOKUP(B835,'Payee Ref'!A:A,'Payee Ref'!B:B,"unassigned",0,1)</f>
        <v>Dining</v>
      </c>
      <c r="E835" s="29" t="str">
        <f>_xlfn.XLOOKUP(B835,'Payee Ref'!A:A,'Payee Ref'!C:C,"unassigned",0,1)</f>
        <v>Luxury</v>
      </c>
      <c r="F835" s="28" t="s">
        <v>2207</v>
      </c>
    </row>
    <row r="836" spans="1:6" x14ac:dyDescent="0.2">
      <c r="A836" s="30">
        <v>45772</v>
      </c>
      <c r="B836" s="28" t="s">
        <v>1796</v>
      </c>
      <c r="C836" s="28">
        <v>18.72</v>
      </c>
      <c r="D836" s="28" t="str">
        <f>_xlfn.XLOOKUP(B836,'Payee Ref'!A:A,'Payee Ref'!B:B,"unassigned",0,1)</f>
        <v>Dining</v>
      </c>
      <c r="E836" s="29" t="str">
        <f>_xlfn.XLOOKUP(B836,'Payee Ref'!A:A,'Payee Ref'!C:C,"unassigned",0,1)</f>
        <v>Luxury</v>
      </c>
      <c r="F836" s="28" t="s">
        <v>2207</v>
      </c>
    </row>
    <row r="837" spans="1:6" x14ac:dyDescent="0.2">
      <c r="A837" s="30">
        <v>45769</v>
      </c>
      <c r="B837" s="28" t="s">
        <v>1796</v>
      </c>
      <c r="C837" s="28">
        <v>18.72</v>
      </c>
      <c r="D837" s="28" t="str">
        <f>_xlfn.XLOOKUP(B837,'Payee Ref'!A:A,'Payee Ref'!B:B,"unassigned",0,1)</f>
        <v>Dining</v>
      </c>
      <c r="E837" s="29" t="str">
        <f>_xlfn.XLOOKUP(B837,'Payee Ref'!A:A,'Payee Ref'!C:C,"unassigned",0,1)</f>
        <v>Luxury</v>
      </c>
      <c r="F837" s="28" t="s">
        <v>2207</v>
      </c>
    </row>
    <row r="838" spans="1:6" x14ac:dyDescent="0.2">
      <c r="A838" s="30">
        <v>45768</v>
      </c>
      <c r="B838" s="28" t="s">
        <v>1796</v>
      </c>
      <c r="C838" s="28">
        <v>18.72</v>
      </c>
      <c r="D838" s="28" t="str">
        <f>_xlfn.XLOOKUP(B838,'Payee Ref'!A:A,'Payee Ref'!B:B,"unassigned",0,1)</f>
        <v>Dining</v>
      </c>
      <c r="E838" s="29" t="str">
        <f>_xlfn.XLOOKUP(B838,'Payee Ref'!A:A,'Payee Ref'!C:C,"unassigned",0,1)</f>
        <v>Luxury</v>
      </c>
      <c r="F838" s="28" t="s">
        <v>2207</v>
      </c>
    </row>
    <row r="839" spans="1:6" x14ac:dyDescent="0.2">
      <c r="A839" s="30">
        <v>45869</v>
      </c>
      <c r="B839" s="28" t="s">
        <v>1767</v>
      </c>
      <c r="C839" s="28">
        <v>18.73</v>
      </c>
      <c r="D839" s="28" t="str">
        <f>_xlfn.XLOOKUP(B839,'Payee Ref'!A:A,'Payee Ref'!B:B,"unassigned",0,1)</f>
        <v>unassigned</v>
      </c>
      <c r="E839" s="29" t="str">
        <f>_xlfn.XLOOKUP(B839,'Payee Ref'!A:A,'Payee Ref'!C:C,"unassigned",0,1)</f>
        <v>unassigned</v>
      </c>
      <c r="F839" s="28" t="s">
        <v>2207</v>
      </c>
    </row>
    <row r="840" spans="1:6" x14ac:dyDescent="0.2">
      <c r="A840" s="30">
        <v>45908</v>
      </c>
      <c r="B840" s="28" t="s">
        <v>1656</v>
      </c>
      <c r="C840" s="28">
        <v>18.75</v>
      </c>
      <c r="D840" s="28" t="str">
        <f>_xlfn.XLOOKUP(B840,'Payee Ref'!A:A,'Payee Ref'!B:B,"unassigned",0,1)</f>
        <v>Home &amp; Garden</v>
      </c>
      <c r="E840" s="29" t="str">
        <f>_xlfn.XLOOKUP(B840,'Payee Ref'!A:A,'Payee Ref'!C:C,"unassigned",0,1)</f>
        <v>Basic</v>
      </c>
      <c r="F840" s="28" t="s">
        <v>2207</v>
      </c>
    </row>
    <row r="841" spans="1:6" x14ac:dyDescent="0.2">
      <c r="A841" s="30">
        <v>45926</v>
      </c>
      <c r="B841" s="28" t="s">
        <v>1621</v>
      </c>
      <c r="C841" s="28">
        <v>18.760000000000002</v>
      </c>
      <c r="D841" s="28" t="str">
        <f>_xlfn.XLOOKUP(B841,'Payee Ref'!A:A,'Payee Ref'!B:B,"unassigned",0,1)</f>
        <v>unassigned</v>
      </c>
      <c r="E841" s="29" t="str">
        <f>_xlfn.XLOOKUP(B841,'Payee Ref'!A:A,'Payee Ref'!C:C,"unassigned",0,1)</f>
        <v>unassigned</v>
      </c>
      <c r="F841" s="28" t="s">
        <v>2207</v>
      </c>
    </row>
    <row r="842" spans="1:6" x14ac:dyDescent="0.2">
      <c r="A842" s="30">
        <v>45663</v>
      </c>
      <c r="B842" s="28" t="s">
        <v>1965</v>
      </c>
      <c r="C842" s="28">
        <v>18.77</v>
      </c>
      <c r="D842" s="28" t="str">
        <f>_xlfn.XLOOKUP(B842,'Payee Ref'!A:A,'Payee Ref'!B:B,"unassigned",0,1)</f>
        <v>Dining</v>
      </c>
      <c r="E842" s="29" t="str">
        <f>_xlfn.XLOOKUP(B842,'Payee Ref'!A:A,'Payee Ref'!C:C,"unassigned",0,1)</f>
        <v>Luxury</v>
      </c>
      <c r="F842" s="28" t="s">
        <v>2207</v>
      </c>
    </row>
    <row r="843" spans="1:6" x14ac:dyDescent="0.2">
      <c r="A843" s="30">
        <v>45755</v>
      </c>
      <c r="B843" s="28" t="s">
        <v>1554</v>
      </c>
      <c r="C843" s="28">
        <v>18.809999999999999</v>
      </c>
      <c r="D843" s="28" t="str">
        <f>_xlfn.XLOOKUP(B843,'Payee Ref'!A:A,'Payee Ref'!B:B,"unassigned",0,1)</f>
        <v>Dining</v>
      </c>
      <c r="E843" s="29" t="str">
        <f>_xlfn.XLOOKUP(B843,'Payee Ref'!A:A,'Payee Ref'!C:C,"unassigned",0,1)</f>
        <v>Luxury</v>
      </c>
      <c r="F843" s="28" t="s">
        <v>2207</v>
      </c>
    </row>
    <row r="844" spans="1:6" x14ac:dyDescent="0.2">
      <c r="A844" s="30">
        <v>45737</v>
      </c>
      <c r="B844" s="28" t="s">
        <v>1554</v>
      </c>
      <c r="C844" s="28">
        <v>18.809999999999999</v>
      </c>
      <c r="D844" s="28" t="str">
        <f>_xlfn.XLOOKUP(B844,'Payee Ref'!A:A,'Payee Ref'!B:B,"unassigned",0,1)</f>
        <v>Dining</v>
      </c>
      <c r="E844" s="29" t="str">
        <f>_xlfn.XLOOKUP(B844,'Payee Ref'!A:A,'Payee Ref'!C:C,"unassigned",0,1)</f>
        <v>Luxury</v>
      </c>
      <c r="F844" s="28" t="s">
        <v>2207</v>
      </c>
    </row>
    <row r="845" spans="1:6" x14ac:dyDescent="0.2">
      <c r="A845" s="30">
        <v>45689</v>
      </c>
      <c r="B845" s="28" t="s">
        <v>2140</v>
      </c>
      <c r="C845" s="28">
        <v>18.809999999999999</v>
      </c>
      <c r="D845" s="28" t="str">
        <f>_xlfn.XLOOKUP(B845,'Payee Ref'!A:A,'Payee Ref'!B:B,"unassigned",0,1)</f>
        <v>Dining</v>
      </c>
      <c r="E845" s="29" t="str">
        <f>_xlfn.XLOOKUP(B845,'Payee Ref'!A:A,'Payee Ref'!C:C,"unassigned",0,1)</f>
        <v>Luxury</v>
      </c>
      <c r="F845" s="28" t="s">
        <v>2207</v>
      </c>
    </row>
    <row r="846" spans="1:6" x14ac:dyDescent="0.2">
      <c r="A846" s="30">
        <v>45752</v>
      </c>
      <c r="B846" s="28" t="s">
        <v>2047</v>
      </c>
      <c r="C846" s="28">
        <v>18.84</v>
      </c>
      <c r="D846" s="28" t="str">
        <f>_xlfn.XLOOKUP(B846,'Payee Ref'!A:A,'Payee Ref'!B:B,"unassigned",0,1)</f>
        <v>Travel</v>
      </c>
      <c r="E846" s="29" t="str">
        <f>_xlfn.XLOOKUP(B846,'Payee Ref'!A:A,'Payee Ref'!C:C,"unassigned",0,1)</f>
        <v>Luxury</v>
      </c>
      <c r="F846" s="28" t="s">
        <v>2207</v>
      </c>
    </row>
    <row r="847" spans="1:6" x14ac:dyDescent="0.2">
      <c r="A847" s="30">
        <v>45880</v>
      </c>
      <c r="B847" s="28" t="s">
        <v>1619</v>
      </c>
      <c r="C847" s="28">
        <v>18.87</v>
      </c>
      <c r="D847" s="28" t="str">
        <f>_xlfn.XLOOKUP(B847,'Payee Ref'!A:A,'Payee Ref'!B:B,"unassigned",0,1)</f>
        <v>Travel</v>
      </c>
      <c r="E847" s="29" t="str">
        <f>_xlfn.XLOOKUP(B847,'Payee Ref'!A:A,'Payee Ref'!C:C,"unassigned",0,1)</f>
        <v>Luxury</v>
      </c>
      <c r="F847" s="28" t="s">
        <v>2207</v>
      </c>
    </row>
    <row r="848" spans="1:6" x14ac:dyDescent="0.2">
      <c r="A848" s="30">
        <v>45922</v>
      </c>
      <c r="B848" s="28" t="s">
        <v>1534</v>
      </c>
      <c r="C848" s="28">
        <v>18.88</v>
      </c>
      <c r="D848" s="28" t="str">
        <f>_xlfn.XLOOKUP(B848,'Payee Ref'!A:A,'Payee Ref'!B:B,"unassigned",0,1)</f>
        <v>Dining</v>
      </c>
      <c r="E848" s="29" t="str">
        <f>_xlfn.XLOOKUP(B848,'Payee Ref'!A:A,'Payee Ref'!C:C,"unassigned",0,1)</f>
        <v>Luxury</v>
      </c>
      <c r="F848" s="28" t="s">
        <v>2207</v>
      </c>
    </row>
    <row r="849" spans="1:6" x14ac:dyDescent="0.2">
      <c r="A849" s="30">
        <v>45918</v>
      </c>
      <c r="B849" s="28" t="s">
        <v>1534</v>
      </c>
      <c r="C849" s="28">
        <v>18.88</v>
      </c>
      <c r="D849" s="28" t="str">
        <f>_xlfn.XLOOKUP(B849,'Payee Ref'!A:A,'Payee Ref'!B:B,"unassigned",0,1)</f>
        <v>Dining</v>
      </c>
      <c r="E849" s="29" t="str">
        <f>_xlfn.XLOOKUP(B849,'Payee Ref'!A:A,'Payee Ref'!C:C,"unassigned",0,1)</f>
        <v>Luxury</v>
      </c>
      <c r="F849" s="28" t="s">
        <v>2207</v>
      </c>
    </row>
    <row r="850" spans="1:6" x14ac:dyDescent="0.2">
      <c r="A850" s="30">
        <v>45905</v>
      </c>
      <c r="B850" s="28" t="s">
        <v>1534</v>
      </c>
      <c r="C850" s="28">
        <v>18.88</v>
      </c>
      <c r="D850" s="28" t="str">
        <f>_xlfn.XLOOKUP(B850,'Payee Ref'!A:A,'Payee Ref'!B:B,"unassigned",0,1)</f>
        <v>Dining</v>
      </c>
      <c r="E850" s="29" t="str">
        <f>_xlfn.XLOOKUP(B850,'Payee Ref'!A:A,'Payee Ref'!C:C,"unassigned",0,1)</f>
        <v>Luxury</v>
      </c>
      <c r="F850" s="28" t="s">
        <v>2207</v>
      </c>
    </row>
    <row r="851" spans="1:6" x14ac:dyDescent="0.2">
      <c r="A851" s="30">
        <v>45847</v>
      </c>
      <c r="B851" s="28" t="s">
        <v>1850</v>
      </c>
      <c r="C851" s="28">
        <v>18.88</v>
      </c>
      <c r="D851" s="28" t="str">
        <f>_xlfn.XLOOKUP(B851,'Payee Ref'!A:A,'Payee Ref'!B:B,"unassigned",0,1)</f>
        <v>Dining</v>
      </c>
      <c r="E851" s="29" t="str">
        <f>_xlfn.XLOOKUP(B851,'Payee Ref'!A:A,'Payee Ref'!C:C,"unassigned",0,1)</f>
        <v>Luxury</v>
      </c>
      <c r="F851" s="28" t="s">
        <v>2207</v>
      </c>
    </row>
    <row r="852" spans="1:6" x14ac:dyDescent="0.2">
      <c r="A852" s="30">
        <v>45966</v>
      </c>
      <c r="B852" s="28" t="s">
        <v>455</v>
      </c>
      <c r="C852" s="28">
        <v>19.03</v>
      </c>
      <c r="D852" s="28" t="str">
        <f>_xlfn.XLOOKUP(B852,'Payee Ref'!A:A,'Payee Ref'!B:B,"unassigned",0,1)</f>
        <v>Dining</v>
      </c>
      <c r="E852" s="29" t="str">
        <f>_xlfn.XLOOKUP(B852,'Payee Ref'!A:A,'Payee Ref'!C:C,"unassigned",0,1)</f>
        <v>Luxury</v>
      </c>
      <c r="F852" s="28" t="s">
        <v>2207</v>
      </c>
    </row>
    <row r="853" spans="1:6" x14ac:dyDescent="0.2">
      <c r="A853" s="30">
        <v>45851</v>
      </c>
      <c r="B853" s="28" t="s">
        <v>1836</v>
      </c>
      <c r="C853" s="28">
        <v>19.079999999999998</v>
      </c>
      <c r="D853" s="28" t="str">
        <f>_xlfn.XLOOKUP(B853,'Payee Ref'!A:A,'Payee Ref'!B:B,"unassigned",0,1)</f>
        <v>unassigned</v>
      </c>
      <c r="E853" s="29" t="str">
        <f>_xlfn.XLOOKUP(B853,'Payee Ref'!A:A,'Payee Ref'!C:C,"unassigned",0,1)</f>
        <v>unassigned</v>
      </c>
      <c r="F853" s="28" t="s">
        <v>2207</v>
      </c>
    </row>
    <row r="854" spans="1:6" x14ac:dyDescent="0.2">
      <c r="A854" s="30">
        <v>45832</v>
      </c>
      <c r="B854" s="28" t="s">
        <v>1894</v>
      </c>
      <c r="C854" s="28">
        <v>19.11</v>
      </c>
      <c r="D854" s="28" t="str">
        <f>_xlfn.XLOOKUP(B854,'Payee Ref'!A:A,'Payee Ref'!B:B,"unassigned",0,1)</f>
        <v>Travel</v>
      </c>
      <c r="E854" s="29" t="str">
        <f>_xlfn.XLOOKUP(B854,'Payee Ref'!A:A,'Payee Ref'!C:C,"unassigned",0,1)</f>
        <v>Luxury</v>
      </c>
      <c r="F854" s="28" t="s">
        <v>2207</v>
      </c>
    </row>
    <row r="855" spans="1:6" x14ac:dyDescent="0.2">
      <c r="A855" s="30">
        <v>45837</v>
      </c>
      <c r="B855" s="28" t="s">
        <v>1874</v>
      </c>
      <c r="C855" s="28">
        <v>19.22</v>
      </c>
      <c r="D855" s="28" t="str">
        <f>_xlfn.XLOOKUP(B855,'Payee Ref'!A:A,'Payee Ref'!B:B,"unassigned",0,1)</f>
        <v>Travel</v>
      </c>
      <c r="E855" s="29" t="str">
        <f>_xlfn.XLOOKUP(B855,'Payee Ref'!A:A,'Payee Ref'!C:C,"unassigned",0,1)</f>
        <v>Luxury</v>
      </c>
      <c r="F855" s="28" t="s">
        <v>2207</v>
      </c>
    </row>
    <row r="856" spans="1:6" x14ac:dyDescent="0.2">
      <c r="A856" s="30">
        <v>45786</v>
      </c>
      <c r="B856" s="28" t="s">
        <v>1554</v>
      </c>
      <c r="C856" s="28">
        <v>19.260000000000002</v>
      </c>
      <c r="D856" s="28" t="str">
        <f>_xlfn.XLOOKUP(B856,'Payee Ref'!A:A,'Payee Ref'!B:B,"unassigned",0,1)</f>
        <v>Dining</v>
      </c>
      <c r="E856" s="29" t="str">
        <f>_xlfn.XLOOKUP(B856,'Payee Ref'!A:A,'Payee Ref'!C:C,"unassigned",0,1)</f>
        <v>Luxury</v>
      </c>
      <c r="F856" s="28" t="s">
        <v>2207</v>
      </c>
    </row>
    <row r="857" spans="1:6" x14ac:dyDescent="0.2">
      <c r="A857" s="30">
        <v>45831</v>
      </c>
      <c r="B857" s="28" t="s">
        <v>1908</v>
      </c>
      <c r="C857" s="28">
        <v>19.27</v>
      </c>
      <c r="D857" s="28" t="str">
        <f>_xlfn.XLOOKUP(B857,'Payee Ref'!A:A,'Payee Ref'!B:B,"unassigned",0,1)</f>
        <v>Dining</v>
      </c>
      <c r="E857" s="29" t="str">
        <f>_xlfn.XLOOKUP(B857,'Payee Ref'!A:A,'Payee Ref'!C:C,"unassigned",0,1)</f>
        <v>Luxury</v>
      </c>
      <c r="F857" s="28" t="s">
        <v>2207</v>
      </c>
    </row>
    <row r="858" spans="1:6" x14ac:dyDescent="0.2">
      <c r="A858" s="30">
        <v>45924</v>
      </c>
      <c r="B858" s="28" t="s">
        <v>1603</v>
      </c>
      <c r="C858" s="28">
        <v>19.350000000000001</v>
      </c>
      <c r="D858" s="28" t="str">
        <f>_xlfn.XLOOKUP(B858,'Payee Ref'!A:A,'Payee Ref'!B:B,"unassigned",0,1)</f>
        <v>Auto</v>
      </c>
      <c r="E858" s="29" t="str">
        <f>_xlfn.XLOOKUP(B858,'Payee Ref'!A:A,'Payee Ref'!C:C,"unassigned",0,1)</f>
        <v>Basic</v>
      </c>
      <c r="F858" s="28" t="s">
        <v>2207</v>
      </c>
    </row>
    <row r="859" spans="1:6" x14ac:dyDescent="0.2">
      <c r="A859" s="30">
        <v>45675</v>
      </c>
      <c r="B859" s="28" t="s">
        <v>1587</v>
      </c>
      <c r="C859" s="28">
        <v>19.37</v>
      </c>
      <c r="D859" s="28" t="str">
        <f>_xlfn.XLOOKUP(B859,'Payee Ref'!A:A,'Payee Ref'!B:B,"unassigned",0,1)</f>
        <v>Travel</v>
      </c>
      <c r="E859" s="29" t="str">
        <f>_xlfn.XLOOKUP(B859,'Payee Ref'!A:A,'Payee Ref'!C:C,"unassigned",0,1)</f>
        <v>Luxury</v>
      </c>
      <c r="F859" s="28" t="s">
        <v>2207</v>
      </c>
    </row>
    <row r="860" spans="1:6" x14ac:dyDescent="0.2">
      <c r="A860" s="30">
        <v>45739</v>
      </c>
      <c r="B860" s="28" t="s">
        <v>1587</v>
      </c>
      <c r="C860" s="28">
        <v>19.399999999999999</v>
      </c>
      <c r="D860" s="28" t="str">
        <f>_xlfn.XLOOKUP(B860,'Payee Ref'!A:A,'Payee Ref'!B:B,"unassigned",0,1)</f>
        <v>Travel</v>
      </c>
      <c r="E860" s="29" t="str">
        <f>_xlfn.XLOOKUP(B860,'Payee Ref'!A:A,'Payee Ref'!C:C,"unassigned",0,1)</f>
        <v>Luxury</v>
      </c>
      <c r="F860" s="28" t="s">
        <v>2207</v>
      </c>
    </row>
    <row r="861" spans="1:6" x14ac:dyDescent="0.2">
      <c r="A861" s="30">
        <v>45706</v>
      </c>
      <c r="B861" s="28" t="s">
        <v>1587</v>
      </c>
      <c r="C861" s="28">
        <v>19.399999999999999</v>
      </c>
      <c r="D861" s="28" t="str">
        <f>_xlfn.XLOOKUP(B861,'Payee Ref'!A:A,'Payee Ref'!B:B,"unassigned",0,1)</f>
        <v>Travel</v>
      </c>
      <c r="E861" s="29" t="str">
        <f>_xlfn.XLOOKUP(B861,'Payee Ref'!A:A,'Payee Ref'!C:C,"unassigned",0,1)</f>
        <v>Luxury</v>
      </c>
      <c r="F861" s="28" t="s">
        <v>2207</v>
      </c>
    </row>
    <row r="862" spans="1:6" x14ac:dyDescent="0.2">
      <c r="A862" s="30">
        <v>45866</v>
      </c>
      <c r="B862" s="28" t="s">
        <v>1787</v>
      </c>
      <c r="C862" s="28">
        <v>19.41</v>
      </c>
      <c r="D862" s="28" t="str">
        <f>_xlfn.XLOOKUP(B862,'Payee Ref'!A:A,'Payee Ref'!B:B,"unassigned",0,1)</f>
        <v>unassigned</v>
      </c>
      <c r="E862" s="29" t="str">
        <f>_xlfn.XLOOKUP(B862,'Payee Ref'!A:A,'Payee Ref'!C:C,"unassigned",0,1)</f>
        <v>unassigned</v>
      </c>
      <c r="F862" s="28" t="s">
        <v>2207</v>
      </c>
    </row>
    <row r="863" spans="1:6" x14ac:dyDescent="0.2">
      <c r="A863" s="30">
        <v>45863</v>
      </c>
      <c r="B863" s="28" t="s">
        <v>1536</v>
      </c>
      <c r="C863" s="28">
        <v>19.46</v>
      </c>
      <c r="D863" s="28" t="str">
        <f>_xlfn.XLOOKUP(B863,'Payee Ref'!A:A,'Payee Ref'!B:B,"unassigned",0,1)</f>
        <v>Groceries</v>
      </c>
      <c r="E863" s="29" t="str">
        <f>_xlfn.XLOOKUP(B863,'Payee Ref'!A:A,'Payee Ref'!C:C,"unassigned",0,1)</f>
        <v>Basic</v>
      </c>
      <c r="F863" s="28" t="s">
        <v>2207</v>
      </c>
    </row>
    <row r="864" spans="1:6" x14ac:dyDescent="0.2">
      <c r="A864" s="30">
        <v>45853</v>
      </c>
      <c r="B864" s="28" t="s">
        <v>1833</v>
      </c>
      <c r="C864" s="28">
        <v>19.489999999999998</v>
      </c>
      <c r="D864" s="28" t="str">
        <f>_xlfn.XLOOKUP(B864,'Payee Ref'!A:A,'Payee Ref'!B:B,"unassigned",0,1)</f>
        <v>unassigned</v>
      </c>
      <c r="E864" s="29" t="str">
        <f>_xlfn.XLOOKUP(B864,'Payee Ref'!A:A,'Payee Ref'!C:C,"unassigned",0,1)</f>
        <v>unassigned</v>
      </c>
      <c r="F864" s="28" t="s">
        <v>2207</v>
      </c>
    </row>
    <row r="865" spans="1:6" x14ac:dyDescent="0.2">
      <c r="A865" s="30">
        <v>45981</v>
      </c>
      <c r="B865" s="28" t="s">
        <v>1218</v>
      </c>
      <c r="C865" s="28">
        <v>19.5</v>
      </c>
      <c r="D865" s="28" t="str">
        <f>_xlfn.XLOOKUP(B865,'Payee Ref'!A:A,'Payee Ref'!B:B,"unassigned",0,1)</f>
        <v>Auto</v>
      </c>
      <c r="E865" s="29" t="str">
        <f>_xlfn.XLOOKUP(B865,'Payee Ref'!A:A,'Payee Ref'!C:C,"unassigned",0,1)</f>
        <v>Basic</v>
      </c>
      <c r="F865" s="28" t="s">
        <v>2207</v>
      </c>
    </row>
    <row r="866" spans="1:6" x14ac:dyDescent="0.2">
      <c r="A866" s="30">
        <v>45673</v>
      </c>
      <c r="B866" s="28" t="s">
        <v>2140</v>
      </c>
      <c r="C866" s="28">
        <v>19.559999999999999</v>
      </c>
      <c r="D866" s="28" t="str">
        <f>_xlfn.XLOOKUP(B866,'Payee Ref'!A:A,'Payee Ref'!B:B,"unassigned",0,1)</f>
        <v>Dining</v>
      </c>
      <c r="E866" s="29" t="str">
        <f>_xlfn.XLOOKUP(B866,'Payee Ref'!A:A,'Payee Ref'!C:C,"unassigned",0,1)</f>
        <v>Luxury</v>
      </c>
      <c r="F866" s="28" t="s">
        <v>2207</v>
      </c>
    </row>
    <row r="867" spans="1:6" x14ac:dyDescent="0.2">
      <c r="A867" s="30">
        <v>45700</v>
      </c>
      <c r="B867" s="28" t="s">
        <v>1952</v>
      </c>
      <c r="C867" s="28">
        <v>19.59</v>
      </c>
      <c r="D867" s="28" t="str">
        <f>_xlfn.XLOOKUP(B867,'Payee Ref'!A:A,'Payee Ref'!B:B,"unassigned",0,1)</f>
        <v>Groceries</v>
      </c>
      <c r="E867" s="29" t="str">
        <f>_xlfn.XLOOKUP(B867,'Payee Ref'!A:A,'Payee Ref'!C:C,"unassigned",0,1)</f>
        <v>Basic</v>
      </c>
      <c r="F867" s="28" t="s">
        <v>2207</v>
      </c>
    </row>
    <row r="868" spans="1:6" x14ac:dyDescent="0.2">
      <c r="A868" s="30">
        <v>45715</v>
      </c>
      <c r="B868" s="32" t="s">
        <v>2110</v>
      </c>
      <c r="C868" s="28">
        <v>19.66</v>
      </c>
      <c r="D868" s="28" t="str">
        <f>_xlfn.XLOOKUP(B868,'Payee Ref'!A:A,'Payee Ref'!B:B,"unassigned",0,1)</f>
        <v>Home &amp; Garden</v>
      </c>
      <c r="E868" s="29" t="str">
        <f>_xlfn.XLOOKUP(B868,'Payee Ref'!A:A,'Payee Ref'!C:C,"unassigned",0,1)</f>
        <v>Basic</v>
      </c>
      <c r="F868" s="28" t="s">
        <v>2207</v>
      </c>
    </row>
    <row r="869" spans="1:6" x14ac:dyDescent="0.2">
      <c r="A869" s="30">
        <v>45988</v>
      </c>
      <c r="B869" s="28" t="s">
        <v>1522</v>
      </c>
      <c r="C869" s="28">
        <v>19.7</v>
      </c>
      <c r="D869" s="28" t="str">
        <f>_xlfn.XLOOKUP(B869,'Payee Ref'!A:A,'Payee Ref'!B:B,"unassigned",0,1)</f>
        <v>unassigned</v>
      </c>
      <c r="E869" s="29" t="str">
        <f>_xlfn.XLOOKUP(B869,'Payee Ref'!A:A,'Payee Ref'!C:C,"unassigned",0,1)</f>
        <v>unassigned</v>
      </c>
      <c r="F869" s="28" t="s">
        <v>2207</v>
      </c>
    </row>
    <row r="870" spans="1:6" x14ac:dyDescent="0.2">
      <c r="A870" s="30">
        <v>45990</v>
      </c>
      <c r="B870" s="28" t="s">
        <v>1516</v>
      </c>
      <c r="C870" s="28">
        <v>19.7</v>
      </c>
      <c r="D870" s="28" t="str">
        <f>_xlfn.XLOOKUP(B870,'Payee Ref'!A:A,'Payee Ref'!B:B,"unassigned",0,1)</f>
        <v>unassigned</v>
      </c>
      <c r="E870" s="29" t="str">
        <f>_xlfn.XLOOKUP(B870,'Payee Ref'!A:A,'Payee Ref'!C:C,"unassigned",0,1)</f>
        <v>unassigned</v>
      </c>
      <c r="F870" s="28" t="s">
        <v>2207</v>
      </c>
    </row>
    <row r="871" spans="1:6" x14ac:dyDescent="0.2">
      <c r="A871" s="30">
        <v>45771</v>
      </c>
      <c r="B871" s="28" t="s">
        <v>1950</v>
      </c>
      <c r="C871" s="28">
        <v>19.73</v>
      </c>
      <c r="D871" s="28" t="str">
        <f>_xlfn.XLOOKUP(B871,'Payee Ref'!A:A,'Payee Ref'!B:B,"unassigned",0,1)</f>
        <v>Parking</v>
      </c>
      <c r="E871" s="29" t="str">
        <f>_xlfn.XLOOKUP(B871,'Payee Ref'!A:A,'Payee Ref'!C:C,"unassigned",0,1)</f>
        <v>Basic</v>
      </c>
      <c r="F871" s="28" t="s">
        <v>2207</v>
      </c>
    </row>
    <row r="872" spans="1:6" x14ac:dyDescent="0.2">
      <c r="A872" s="30">
        <v>45743</v>
      </c>
      <c r="B872" s="28" t="s">
        <v>1952</v>
      </c>
      <c r="C872" s="28">
        <v>19.760000000000002</v>
      </c>
      <c r="D872" s="28" t="str">
        <f>_xlfn.XLOOKUP(B872,'Payee Ref'!A:A,'Payee Ref'!B:B,"unassigned",0,1)</f>
        <v>Groceries</v>
      </c>
      <c r="E872" s="29" t="str">
        <f>_xlfn.XLOOKUP(B872,'Payee Ref'!A:A,'Payee Ref'!C:C,"unassigned",0,1)</f>
        <v>Basic</v>
      </c>
      <c r="F872" s="28" t="s">
        <v>2207</v>
      </c>
    </row>
    <row r="873" spans="1:6" x14ac:dyDescent="0.2">
      <c r="A873" s="30">
        <v>45770</v>
      </c>
      <c r="B873" s="32" t="s">
        <v>2025</v>
      </c>
      <c r="C873" s="28">
        <v>19.77</v>
      </c>
      <c r="D873" s="28" t="str">
        <f>_xlfn.XLOOKUP(B873,'Payee Ref'!A:A,'Payee Ref'!B:B,"unassigned",0,1)</f>
        <v>Home &amp; Garden</v>
      </c>
      <c r="E873" s="29" t="str">
        <f>_xlfn.XLOOKUP(B873,'Payee Ref'!A:A,'Payee Ref'!C:C,"unassigned",0,1)</f>
        <v>Basic</v>
      </c>
      <c r="F873" s="28" t="s">
        <v>2207</v>
      </c>
    </row>
    <row r="874" spans="1:6" x14ac:dyDescent="0.2">
      <c r="A874" s="30">
        <v>45746</v>
      </c>
      <c r="B874" s="28" t="s">
        <v>1585</v>
      </c>
      <c r="C874" s="28">
        <v>19.84</v>
      </c>
      <c r="D874" s="28" t="str">
        <f>_xlfn.XLOOKUP(B874,'Payee Ref'!A:A,'Payee Ref'!B:B,"unassigned",0,1)</f>
        <v>Travel</v>
      </c>
      <c r="E874" s="29" t="str">
        <f>_xlfn.XLOOKUP(B874,'Payee Ref'!A:A,'Payee Ref'!C:C,"unassigned",0,1)</f>
        <v>Luxury</v>
      </c>
      <c r="F874" s="28" t="s">
        <v>2207</v>
      </c>
    </row>
    <row r="875" spans="1:6" x14ac:dyDescent="0.2">
      <c r="A875" s="30">
        <v>45844</v>
      </c>
      <c r="B875" s="28" t="s">
        <v>1856</v>
      </c>
      <c r="C875" s="28">
        <v>19.850000000000001</v>
      </c>
      <c r="D875" s="28" t="str">
        <f>_xlfn.XLOOKUP(B875,'Payee Ref'!A:A,'Payee Ref'!B:B,"unassigned",0,1)</f>
        <v>Home &amp; Garden</v>
      </c>
      <c r="E875" s="29" t="str">
        <f>_xlfn.XLOOKUP(B875,'Payee Ref'!A:A,'Payee Ref'!C:C,"unassigned",0,1)</f>
        <v>Basic</v>
      </c>
      <c r="F875" s="28" t="s">
        <v>2207</v>
      </c>
    </row>
    <row r="876" spans="1:6" x14ac:dyDescent="0.2">
      <c r="A876" s="30">
        <v>45711</v>
      </c>
      <c r="B876" s="28" t="s">
        <v>1728</v>
      </c>
      <c r="C876" s="28">
        <v>19.86</v>
      </c>
      <c r="D876" s="28" t="str">
        <f>_xlfn.XLOOKUP(B876,'Payee Ref'!A:A,'Payee Ref'!B:B,"unassigned",0,1)</f>
        <v>Travel</v>
      </c>
      <c r="E876" s="29" t="str">
        <f>_xlfn.XLOOKUP(B876,'Payee Ref'!A:A,'Payee Ref'!C:C,"unassigned",0,1)</f>
        <v>Luxury</v>
      </c>
      <c r="F876" s="28" t="s">
        <v>2207</v>
      </c>
    </row>
    <row r="877" spans="1:6" x14ac:dyDescent="0.2">
      <c r="A877" s="30">
        <v>45762</v>
      </c>
      <c r="B877" s="28" t="s">
        <v>2036</v>
      </c>
      <c r="C877" s="28">
        <v>19.86</v>
      </c>
      <c r="D877" s="28" t="str">
        <f>_xlfn.XLOOKUP(B877,'Payee Ref'!A:A,'Payee Ref'!B:B,"unassigned",0,1)</f>
        <v>Extracirricular</v>
      </c>
      <c r="E877" s="29" t="str">
        <f>_xlfn.XLOOKUP(B877,'Payee Ref'!A:A,'Payee Ref'!C:C,"unassigned",0,1)</f>
        <v>Basic</v>
      </c>
      <c r="F877" s="28" t="s">
        <v>2207</v>
      </c>
    </row>
    <row r="878" spans="1:6" x14ac:dyDescent="0.2">
      <c r="A878" s="30">
        <v>45830</v>
      </c>
      <c r="B878" s="28" t="s">
        <v>1915</v>
      </c>
      <c r="C878" s="28">
        <v>19.87</v>
      </c>
      <c r="D878" s="28" t="str">
        <f>_xlfn.XLOOKUP(B878,'Payee Ref'!A:A,'Payee Ref'!B:B,"unassigned",0,1)</f>
        <v>Travel</v>
      </c>
      <c r="E878" s="29" t="str">
        <f>_xlfn.XLOOKUP(B878,'Payee Ref'!A:A,'Payee Ref'!C:C,"unassigned",0,1)</f>
        <v>Luxury</v>
      </c>
      <c r="F878" s="28" t="s">
        <v>2207</v>
      </c>
    </row>
    <row r="879" spans="1:6" x14ac:dyDescent="0.2">
      <c r="A879" s="30">
        <v>45836</v>
      </c>
      <c r="B879" s="28" t="s">
        <v>1011</v>
      </c>
      <c r="C879" s="28">
        <v>19.89</v>
      </c>
      <c r="D879" s="28" t="str">
        <f>_xlfn.XLOOKUP(B879,'Payee Ref'!A:A,'Payee Ref'!B:B,"unassigned",0,1)</f>
        <v>Travel</v>
      </c>
      <c r="E879" s="29" t="str">
        <f>_xlfn.XLOOKUP(B879,'Payee Ref'!A:A,'Payee Ref'!C:C,"unassigned",0,1)</f>
        <v>Luxury</v>
      </c>
      <c r="F879" s="28" t="s">
        <v>2207</v>
      </c>
    </row>
    <row r="880" spans="1:6" x14ac:dyDescent="0.2">
      <c r="A880" s="30">
        <v>45879</v>
      </c>
      <c r="B880" s="28" t="s">
        <v>1565</v>
      </c>
      <c r="C880" s="28">
        <v>19.899999999999999</v>
      </c>
      <c r="D880" s="28" t="str">
        <f>_xlfn.XLOOKUP(B880,'Payee Ref'!A:A,'Payee Ref'!B:B,"unassigned",0,1)</f>
        <v>Home &amp; Garden</v>
      </c>
      <c r="E880" s="29" t="str">
        <f>_xlfn.XLOOKUP(B880,'Payee Ref'!A:A,'Payee Ref'!C:C,"unassigned",0,1)</f>
        <v>Basic</v>
      </c>
      <c r="F880" s="28" t="s">
        <v>2207</v>
      </c>
    </row>
    <row r="881" spans="1:6" x14ac:dyDescent="0.2">
      <c r="A881" s="30">
        <v>45743</v>
      </c>
      <c r="B881" s="32" t="s">
        <v>2060</v>
      </c>
      <c r="C881" s="28">
        <v>19.91</v>
      </c>
      <c r="D881" s="28" t="str">
        <f>_xlfn.XLOOKUP(B881,'Payee Ref'!A:A,'Payee Ref'!B:B,"unassigned",0,1)</f>
        <v>Home &amp; Garden</v>
      </c>
      <c r="E881" s="29" t="str">
        <f>_xlfn.XLOOKUP(B881,'Payee Ref'!A:A,'Payee Ref'!C:C,"unassigned",0,1)</f>
        <v>Basic</v>
      </c>
      <c r="F881" s="28" t="s">
        <v>2207</v>
      </c>
    </row>
    <row r="882" spans="1:6" x14ac:dyDescent="0.2">
      <c r="A882" s="30">
        <v>45869</v>
      </c>
      <c r="B882" s="28" t="s">
        <v>1769</v>
      </c>
      <c r="C882" s="28">
        <v>19.91</v>
      </c>
      <c r="D882" s="28" t="str">
        <f>_xlfn.XLOOKUP(B882,'Payee Ref'!A:A,'Payee Ref'!B:B,"unassigned",0,1)</f>
        <v>unassigned</v>
      </c>
      <c r="E882" s="29" t="str">
        <f>_xlfn.XLOOKUP(B882,'Payee Ref'!A:A,'Payee Ref'!C:C,"unassigned",0,1)</f>
        <v>unassigned</v>
      </c>
      <c r="F882" s="28" t="s">
        <v>2207</v>
      </c>
    </row>
    <row r="883" spans="1:6" x14ac:dyDescent="0.2">
      <c r="A883" s="30">
        <v>45727</v>
      </c>
      <c r="B883" s="28" t="s">
        <v>1950</v>
      </c>
      <c r="C883" s="28">
        <v>19.93</v>
      </c>
      <c r="D883" s="28" t="str">
        <f>_xlfn.XLOOKUP(B883,'Payee Ref'!A:A,'Payee Ref'!B:B,"unassigned",0,1)</f>
        <v>Parking</v>
      </c>
      <c r="E883" s="29" t="str">
        <f>_xlfn.XLOOKUP(B883,'Payee Ref'!A:A,'Payee Ref'!C:C,"unassigned",0,1)</f>
        <v>Basic</v>
      </c>
      <c r="F883" s="28" t="s">
        <v>2207</v>
      </c>
    </row>
    <row r="884" spans="1:6" x14ac:dyDescent="0.2">
      <c r="A884" s="30">
        <v>45836</v>
      </c>
      <c r="B884" s="28" t="s">
        <v>1881</v>
      </c>
      <c r="C884" s="28">
        <v>19.989999999999998</v>
      </c>
      <c r="D884" s="28" t="str">
        <f>_xlfn.XLOOKUP(B884,'Payee Ref'!A:A,'Payee Ref'!B:B,"unassigned",0,1)</f>
        <v>Travel</v>
      </c>
      <c r="E884" s="29" t="str">
        <f>_xlfn.XLOOKUP(B884,'Payee Ref'!A:A,'Payee Ref'!C:C,"unassigned",0,1)</f>
        <v>Luxury</v>
      </c>
      <c r="F884" s="28" t="s">
        <v>2207</v>
      </c>
    </row>
    <row r="885" spans="1:6" x14ac:dyDescent="0.2">
      <c r="A885" s="30">
        <v>45662</v>
      </c>
      <c r="B885" s="28" t="s">
        <v>2182</v>
      </c>
      <c r="C885" s="28">
        <v>20</v>
      </c>
      <c r="D885" s="28" t="str">
        <f>_xlfn.XLOOKUP(B885,'Payee Ref'!A:A,'Payee Ref'!B:B,"unassigned",0,1)</f>
        <v>Travel</v>
      </c>
      <c r="E885" s="29" t="str">
        <f>_xlfn.XLOOKUP(B885,'Payee Ref'!A:A,'Payee Ref'!C:C,"unassigned",0,1)</f>
        <v>Luxury</v>
      </c>
      <c r="F885" s="28" t="s">
        <v>2207</v>
      </c>
    </row>
    <row r="886" spans="1:6" x14ac:dyDescent="0.2">
      <c r="A886" s="30">
        <v>45800</v>
      </c>
      <c r="B886" s="31" t="s">
        <v>1543</v>
      </c>
      <c r="C886" s="28">
        <v>20</v>
      </c>
      <c r="D886" s="28" t="str">
        <f>_xlfn.XLOOKUP(B886,'Payee Ref'!A:A,'Payee Ref'!B:B,"unassigned",0,1)</f>
        <v>Subscriptions / Digital</v>
      </c>
      <c r="E886" s="29" t="str">
        <f>_xlfn.XLOOKUP(B886,'Payee Ref'!A:A,'Payee Ref'!C:C,"unassigned",0,1)</f>
        <v>Luxury</v>
      </c>
      <c r="F886" s="28" t="s">
        <v>2207</v>
      </c>
    </row>
    <row r="887" spans="1:6" x14ac:dyDescent="0.2">
      <c r="A887" s="30">
        <v>45862</v>
      </c>
      <c r="B887" s="28" t="s">
        <v>1802</v>
      </c>
      <c r="C887" s="28">
        <v>20</v>
      </c>
      <c r="D887" s="28" t="str">
        <f>_xlfn.XLOOKUP(B887,'Payee Ref'!A:A,'Payee Ref'!B:B,"unassigned",0,1)</f>
        <v>unassigned</v>
      </c>
      <c r="E887" s="29" t="str">
        <f>_xlfn.XLOOKUP(B887,'Payee Ref'!A:A,'Payee Ref'!C:C,"unassigned",0,1)</f>
        <v>unassigned</v>
      </c>
      <c r="F887" s="28" t="s">
        <v>2207</v>
      </c>
    </row>
    <row r="888" spans="1:6" x14ac:dyDescent="0.2">
      <c r="A888" s="30">
        <v>45923</v>
      </c>
      <c r="B888" s="28" t="s">
        <v>1630</v>
      </c>
      <c r="C888" s="28">
        <v>20</v>
      </c>
      <c r="D888" s="28" t="str">
        <f>_xlfn.XLOOKUP(B888,'Payee Ref'!A:A,'Payee Ref'!B:B,"unassigned",0,1)</f>
        <v>unassigned</v>
      </c>
      <c r="E888" s="29" t="str">
        <f>_xlfn.XLOOKUP(B888,'Payee Ref'!A:A,'Payee Ref'!C:C,"unassigned",0,1)</f>
        <v>unassigned</v>
      </c>
      <c r="F888" s="28" t="s">
        <v>2207</v>
      </c>
    </row>
    <row r="889" spans="1:6" x14ac:dyDescent="0.2">
      <c r="A889" s="30">
        <v>45871</v>
      </c>
      <c r="B889" s="28" t="s">
        <v>1754</v>
      </c>
      <c r="C889" s="28">
        <v>20.04</v>
      </c>
      <c r="D889" s="28" t="str">
        <f>_xlfn.XLOOKUP(B889,'Payee Ref'!A:A,'Payee Ref'!B:B,"unassigned",0,1)</f>
        <v>Utilities</v>
      </c>
      <c r="E889" s="29" t="str">
        <f>_xlfn.XLOOKUP(B889,'Payee Ref'!A:A,'Payee Ref'!C:C,"unassigned",0,1)</f>
        <v>Basic</v>
      </c>
      <c r="F889" s="28" t="s">
        <v>2207</v>
      </c>
    </row>
    <row r="890" spans="1:6" x14ac:dyDescent="0.2">
      <c r="A890" s="30">
        <v>45870</v>
      </c>
      <c r="B890" s="28" t="s">
        <v>1759</v>
      </c>
      <c r="C890" s="28">
        <v>20.059999999999999</v>
      </c>
      <c r="D890" s="28" t="str">
        <f>_xlfn.XLOOKUP(B890,'Payee Ref'!A:A,'Payee Ref'!B:B,"unassigned",0,1)</f>
        <v>unassigned</v>
      </c>
      <c r="E890" s="29" t="str">
        <f>_xlfn.XLOOKUP(B890,'Payee Ref'!A:A,'Payee Ref'!C:C,"unassigned",0,1)</f>
        <v>unassigned</v>
      </c>
      <c r="F890" s="28" t="s">
        <v>2207</v>
      </c>
    </row>
    <row r="891" spans="1:6" x14ac:dyDescent="0.2">
      <c r="A891" s="30">
        <v>45916</v>
      </c>
      <c r="B891" s="28" t="s">
        <v>1534</v>
      </c>
      <c r="C891" s="28">
        <v>20.18</v>
      </c>
      <c r="D891" s="28" t="str">
        <f>_xlfn.XLOOKUP(B891,'Payee Ref'!A:A,'Payee Ref'!B:B,"unassigned",0,1)</f>
        <v>Dining</v>
      </c>
      <c r="E891" s="29" t="str">
        <f>_xlfn.XLOOKUP(B891,'Payee Ref'!A:A,'Payee Ref'!C:C,"unassigned",0,1)</f>
        <v>Luxury</v>
      </c>
      <c r="F891" s="28" t="s">
        <v>2207</v>
      </c>
    </row>
    <row r="892" spans="1:6" x14ac:dyDescent="0.2">
      <c r="A892" s="30">
        <v>45933</v>
      </c>
      <c r="B892" s="28" t="s">
        <v>168</v>
      </c>
      <c r="C892" s="28">
        <v>20.18</v>
      </c>
      <c r="D892" s="28" t="str">
        <f>_xlfn.XLOOKUP(B892,'Payee Ref'!A:A,'Payee Ref'!B:B,"unassigned",0,1)</f>
        <v>Dining</v>
      </c>
      <c r="E892" s="29" t="str">
        <f>_xlfn.XLOOKUP(B892,'Payee Ref'!A:A,'Payee Ref'!C:C,"unassigned",0,1)</f>
        <v>Luxury</v>
      </c>
      <c r="F892" s="28" t="s">
        <v>2207</v>
      </c>
    </row>
    <row r="893" spans="1:6" x14ac:dyDescent="0.2">
      <c r="A893" s="30">
        <v>45732</v>
      </c>
      <c r="B893" s="28" t="s">
        <v>1715</v>
      </c>
      <c r="C893" s="28">
        <v>20.190000000000001</v>
      </c>
      <c r="D893" s="28" t="str">
        <f>_xlfn.XLOOKUP(B893,'Payee Ref'!A:A,'Payee Ref'!B:B,"unassigned",0,1)</f>
        <v>Dining</v>
      </c>
      <c r="E893" s="29" t="str">
        <f>_xlfn.XLOOKUP(B893,'Payee Ref'!A:A,'Payee Ref'!C:C,"unassigned",0,1)</f>
        <v>Luxury</v>
      </c>
      <c r="F893" s="28" t="s">
        <v>2207</v>
      </c>
    </row>
    <row r="894" spans="1:6" x14ac:dyDescent="0.2">
      <c r="A894" s="30">
        <v>45823</v>
      </c>
      <c r="B894" s="28" t="s">
        <v>1933</v>
      </c>
      <c r="C894" s="28">
        <v>20.27</v>
      </c>
      <c r="D894" s="28" t="str">
        <f>_xlfn.XLOOKUP(B894,'Payee Ref'!A:A,'Payee Ref'!B:B,"unassigned",0,1)</f>
        <v>Dining</v>
      </c>
      <c r="E894" s="29" t="str">
        <f>_xlfn.XLOOKUP(B894,'Payee Ref'!A:A,'Payee Ref'!C:C,"unassigned",0,1)</f>
        <v>Luxury</v>
      </c>
      <c r="F894" s="28" t="s">
        <v>2207</v>
      </c>
    </row>
    <row r="895" spans="1:6" x14ac:dyDescent="0.2">
      <c r="A895" s="30">
        <v>45858</v>
      </c>
      <c r="B895" s="28" t="s">
        <v>1775</v>
      </c>
      <c r="C895" s="28">
        <v>20.28</v>
      </c>
      <c r="D895" s="28" t="str">
        <f>_xlfn.XLOOKUP(B895,'Payee Ref'!A:A,'Payee Ref'!B:B,"unassigned",0,1)</f>
        <v>unassigned</v>
      </c>
      <c r="E895" s="29" t="str">
        <f>_xlfn.XLOOKUP(B895,'Payee Ref'!A:A,'Payee Ref'!C:C,"unassigned",0,1)</f>
        <v>unassigned</v>
      </c>
      <c r="F895" s="28" t="s">
        <v>2207</v>
      </c>
    </row>
    <row r="896" spans="1:6" x14ac:dyDescent="0.2">
      <c r="A896" s="30">
        <v>45823</v>
      </c>
      <c r="B896" s="28" t="s">
        <v>1932</v>
      </c>
      <c r="C896" s="28">
        <v>20.309999999999999</v>
      </c>
      <c r="D896" s="28" t="str">
        <f>_xlfn.XLOOKUP(B896,'Payee Ref'!A:A,'Payee Ref'!B:B,"unassigned",0,1)</f>
        <v>Dining</v>
      </c>
      <c r="E896" s="29" t="str">
        <f>_xlfn.XLOOKUP(B896,'Payee Ref'!A:A,'Payee Ref'!C:C,"unassigned",0,1)</f>
        <v>Luxury</v>
      </c>
      <c r="F896" s="28" t="s">
        <v>2207</v>
      </c>
    </row>
    <row r="897" spans="1:6" x14ac:dyDescent="0.2">
      <c r="A897" s="30">
        <v>45894</v>
      </c>
      <c r="B897" s="28" t="s">
        <v>1683</v>
      </c>
      <c r="C897" s="28">
        <v>20.37</v>
      </c>
      <c r="D897" s="28" t="str">
        <f>_xlfn.XLOOKUP(B897,'Payee Ref'!A:A,'Payee Ref'!B:B,"unassigned",0,1)</f>
        <v>unassigned</v>
      </c>
      <c r="E897" s="29" t="str">
        <f>_xlfn.XLOOKUP(B897,'Payee Ref'!A:A,'Payee Ref'!C:C,"unassigned",0,1)</f>
        <v>unassigned</v>
      </c>
      <c r="F897" s="28" t="s">
        <v>2207</v>
      </c>
    </row>
    <row r="898" spans="1:6" x14ac:dyDescent="0.2">
      <c r="A898" s="30">
        <v>45861</v>
      </c>
      <c r="B898" s="28" t="s">
        <v>1656</v>
      </c>
      <c r="C898" s="28">
        <v>20.38</v>
      </c>
      <c r="D898" s="28" t="str">
        <f>_xlfn.XLOOKUP(B898,'Payee Ref'!A:A,'Payee Ref'!B:B,"unassigned",0,1)</f>
        <v>Home &amp; Garden</v>
      </c>
      <c r="E898" s="29" t="str">
        <f>_xlfn.XLOOKUP(B898,'Payee Ref'!A:A,'Payee Ref'!C:C,"unassigned",0,1)</f>
        <v>Basic</v>
      </c>
      <c r="F898" s="28" t="s">
        <v>2207</v>
      </c>
    </row>
    <row r="899" spans="1:6" x14ac:dyDescent="0.2">
      <c r="A899" s="30">
        <v>45947</v>
      </c>
      <c r="B899" s="28" t="s">
        <v>168</v>
      </c>
      <c r="C899" s="28">
        <v>20.51</v>
      </c>
      <c r="D899" s="28" t="str">
        <f>_xlfn.XLOOKUP(B899,'Payee Ref'!A:A,'Payee Ref'!B:B,"unassigned",0,1)</f>
        <v>Dining</v>
      </c>
      <c r="E899" s="29" t="str">
        <f>_xlfn.XLOOKUP(B899,'Payee Ref'!A:A,'Payee Ref'!C:C,"unassigned",0,1)</f>
        <v>Luxury</v>
      </c>
      <c r="F899" s="28" t="s">
        <v>2207</v>
      </c>
    </row>
    <row r="900" spans="1:6" x14ac:dyDescent="0.2">
      <c r="A900" s="30">
        <v>45831</v>
      </c>
      <c r="B900" s="28" t="s">
        <v>1904</v>
      </c>
      <c r="C900" s="28">
        <v>20.55</v>
      </c>
      <c r="D900" s="28" t="str">
        <f>_xlfn.XLOOKUP(B900,'Payee Ref'!A:A,'Payee Ref'!B:B,"unassigned",0,1)</f>
        <v>Travel</v>
      </c>
      <c r="E900" s="29" t="str">
        <f>_xlfn.XLOOKUP(B900,'Payee Ref'!A:A,'Payee Ref'!C:C,"unassigned",0,1)</f>
        <v>Luxury</v>
      </c>
      <c r="F900" s="28" t="s">
        <v>2207</v>
      </c>
    </row>
    <row r="901" spans="1:6" x14ac:dyDescent="0.2">
      <c r="A901" s="30">
        <v>45831</v>
      </c>
      <c r="B901" s="28" t="s">
        <v>1904</v>
      </c>
      <c r="C901" s="28">
        <v>20.55</v>
      </c>
      <c r="D901" s="28" t="str">
        <f>_xlfn.XLOOKUP(B901,'Payee Ref'!A:A,'Payee Ref'!B:B,"unassigned",0,1)</f>
        <v>Travel</v>
      </c>
      <c r="E901" s="29" t="str">
        <f>_xlfn.XLOOKUP(B901,'Payee Ref'!A:A,'Payee Ref'!C:C,"unassigned",0,1)</f>
        <v>Luxury</v>
      </c>
      <c r="F901" s="28" t="s">
        <v>2207</v>
      </c>
    </row>
    <row r="902" spans="1:6" x14ac:dyDescent="0.2">
      <c r="A902" s="30">
        <v>45725</v>
      </c>
      <c r="B902" s="28" t="s">
        <v>1536</v>
      </c>
      <c r="C902" s="28">
        <v>20.57</v>
      </c>
      <c r="D902" s="28" t="str">
        <f>_xlfn.XLOOKUP(B902,'Payee Ref'!A:A,'Payee Ref'!B:B,"unassigned",0,1)</f>
        <v>Groceries</v>
      </c>
      <c r="E902" s="29" t="str">
        <f>_xlfn.XLOOKUP(B902,'Payee Ref'!A:A,'Payee Ref'!C:C,"unassigned",0,1)</f>
        <v>Basic</v>
      </c>
      <c r="F902" s="28" t="s">
        <v>2207</v>
      </c>
    </row>
    <row r="903" spans="1:6" x14ac:dyDescent="0.2">
      <c r="A903" s="30">
        <v>45855</v>
      </c>
      <c r="B903" s="31" t="s">
        <v>1830</v>
      </c>
      <c r="C903" s="28">
        <v>20.6</v>
      </c>
      <c r="D903" s="28" t="str">
        <f>_xlfn.XLOOKUP(B903,'Payee Ref'!A:A,'Payee Ref'!B:B,"unassigned",0,1)</f>
        <v>unassigned</v>
      </c>
      <c r="E903" s="29" t="str">
        <f>_xlfn.XLOOKUP(B903,'Payee Ref'!A:A,'Payee Ref'!C:C,"unassigned",0,1)</f>
        <v>unassigned</v>
      </c>
      <c r="F903" s="28" t="s">
        <v>2207</v>
      </c>
    </row>
    <row r="904" spans="1:6" x14ac:dyDescent="0.2">
      <c r="A904" s="30">
        <v>45945</v>
      </c>
      <c r="B904" s="28" t="s">
        <v>400</v>
      </c>
      <c r="C904" s="28">
        <v>20.61</v>
      </c>
      <c r="D904" s="28" t="str">
        <f>_xlfn.XLOOKUP(B904,'Payee Ref'!A:A,'Payee Ref'!B:B,"unassigned",0,1)</f>
        <v>Dining</v>
      </c>
      <c r="E904" s="29" t="str">
        <f>_xlfn.XLOOKUP(B904,'Payee Ref'!A:A,'Payee Ref'!C:C,"unassigned",0,1)</f>
        <v>Luxury</v>
      </c>
      <c r="F904" s="28" t="s">
        <v>2207</v>
      </c>
    </row>
    <row r="905" spans="1:6" x14ac:dyDescent="0.2">
      <c r="A905" s="30">
        <v>45934</v>
      </c>
      <c r="B905" s="28" t="s">
        <v>472</v>
      </c>
      <c r="C905" s="28">
        <v>20.63</v>
      </c>
      <c r="D905" s="28" t="str">
        <f>_xlfn.XLOOKUP(B905,'Payee Ref'!A:A,'Payee Ref'!B:B,"unassigned",0,1)</f>
        <v>Enrichment</v>
      </c>
      <c r="E905" s="29" t="str">
        <f>_xlfn.XLOOKUP(B905,'Payee Ref'!A:A,'Payee Ref'!C:C,"unassigned",0,1)</f>
        <v>Luxury</v>
      </c>
      <c r="F905" s="28" t="s">
        <v>2207</v>
      </c>
    </row>
    <row r="906" spans="1:6" x14ac:dyDescent="0.2">
      <c r="A906" s="30">
        <v>45844</v>
      </c>
      <c r="B906" s="28" t="s">
        <v>1854</v>
      </c>
      <c r="C906" s="28">
        <v>20.65</v>
      </c>
      <c r="D906" s="28" t="str">
        <f>_xlfn.XLOOKUP(B906,'Payee Ref'!A:A,'Payee Ref'!B:B,"unassigned",0,1)</f>
        <v>Auto</v>
      </c>
      <c r="E906" s="29" t="str">
        <f>_xlfn.XLOOKUP(B906,'Payee Ref'!A:A,'Payee Ref'!C:C,"unassigned",0,1)</f>
        <v>Basic</v>
      </c>
      <c r="F906" s="28" t="s">
        <v>2207</v>
      </c>
    </row>
    <row r="907" spans="1:6" x14ac:dyDescent="0.2">
      <c r="A907" s="30">
        <v>45698</v>
      </c>
      <c r="B907" s="28" t="s">
        <v>2102</v>
      </c>
      <c r="C907" s="28">
        <v>20.66</v>
      </c>
      <c r="D907" s="28" t="str">
        <f>_xlfn.XLOOKUP(B907,'Payee Ref'!A:A,'Payee Ref'!B:B,"unassigned",0,1)</f>
        <v>Dining</v>
      </c>
      <c r="E907" s="29" t="str">
        <f>_xlfn.XLOOKUP(B907,'Payee Ref'!A:A,'Payee Ref'!C:C,"unassigned",0,1)</f>
        <v>Luxury</v>
      </c>
      <c r="F907" s="28" t="s">
        <v>2207</v>
      </c>
    </row>
    <row r="908" spans="1:6" x14ac:dyDescent="0.2">
      <c r="A908" s="30">
        <v>45829</v>
      </c>
      <c r="B908" s="28" t="s">
        <v>1046</v>
      </c>
      <c r="C908" s="28">
        <v>20.78</v>
      </c>
      <c r="D908" s="28" t="str">
        <f>_xlfn.XLOOKUP(B908,'Payee Ref'!A:A,'Payee Ref'!B:B,"unassigned",0,1)</f>
        <v>Travel</v>
      </c>
      <c r="E908" s="29" t="str">
        <f>_xlfn.XLOOKUP(B908,'Payee Ref'!A:A,'Payee Ref'!C:C,"unassigned",0,1)</f>
        <v>Luxury</v>
      </c>
      <c r="F908" s="28" t="s">
        <v>2207</v>
      </c>
    </row>
    <row r="909" spans="1:6" x14ac:dyDescent="0.2">
      <c r="A909" s="30">
        <v>45806</v>
      </c>
      <c r="B909" s="28" t="s">
        <v>1620</v>
      </c>
      <c r="C909" s="28">
        <v>20.86</v>
      </c>
      <c r="D909" s="28" t="str">
        <f>_xlfn.XLOOKUP(B909,'Payee Ref'!A:A,'Payee Ref'!B:B,"unassigned",0,1)</f>
        <v>Dining</v>
      </c>
      <c r="E909" s="29" t="str">
        <f>_xlfn.XLOOKUP(B909,'Payee Ref'!A:A,'Payee Ref'!C:C,"unassigned",0,1)</f>
        <v>Luxury</v>
      </c>
      <c r="F909" s="28" t="s">
        <v>2207</v>
      </c>
    </row>
    <row r="910" spans="1:6" x14ac:dyDescent="0.2">
      <c r="A910" s="30">
        <v>45751</v>
      </c>
      <c r="B910" s="28" t="s">
        <v>1796</v>
      </c>
      <c r="C910" s="28">
        <v>20.94</v>
      </c>
      <c r="D910" s="28" t="str">
        <f>_xlfn.XLOOKUP(B910,'Payee Ref'!A:A,'Payee Ref'!B:B,"unassigned",0,1)</f>
        <v>Dining</v>
      </c>
      <c r="E910" s="29" t="str">
        <f>_xlfn.XLOOKUP(B910,'Payee Ref'!A:A,'Payee Ref'!C:C,"unassigned",0,1)</f>
        <v>Luxury</v>
      </c>
      <c r="F910" s="28" t="s">
        <v>2207</v>
      </c>
    </row>
    <row r="911" spans="1:6" x14ac:dyDescent="0.2">
      <c r="A911" s="30">
        <v>45736</v>
      </c>
      <c r="B911" s="28" t="s">
        <v>1796</v>
      </c>
      <c r="C911" s="28">
        <v>20.94</v>
      </c>
      <c r="D911" s="28" t="str">
        <f>_xlfn.XLOOKUP(B911,'Payee Ref'!A:A,'Payee Ref'!B:B,"unassigned",0,1)</f>
        <v>Dining</v>
      </c>
      <c r="E911" s="29" t="str">
        <f>_xlfn.XLOOKUP(B911,'Payee Ref'!A:A,'Payee Ref'!C:C,"unassigned",0,1)</f>
        <v>Luxury</v>
      </c>
      <c r="F911" s="28" t="s">
        <v>2207</v>
      </c>
    </row>
    <row r="912" spans="1:6" x14ac:dyDescent="0.2">
      <c r="A912" s="30">
        <v>45735</v>
      </c>
      <c r="B912" s="28" t="s">
        <v>1796</v>
      </c>
      <c r="C912" s="28">
        <v>20.94</v>
      </c>
      <c r="D912" s="28" t="str">
        <f>_xlfn.XLOOKUP(B912,'Payee Ref'!A:A,'Payee Ref'!B:B,"unassigned",0,1)</f>
        <v>Dining</v>
      </c>
      <c r="E912" s="29" t="str">
        <f>_xlfn.XLOOKUP(B912,'Payee Ref'!A:A,'Payee Ref'!C:C,"unassigned",0,1)</f>
        <v>Luxury</v>
      </c>
      <c r="F912" s="28" t="s">
        <v>2207</v>
      </c>
    </row>
    <row r="913" spans="1:6" x14ac:dyDescent="0.2">
      <c r="A913" s="30">
        <v>45730</v>
      </c>
      <c r="B913" s="28" t="s">
        <v>2083</v>
      </c>
      <c r="C913" s="28">
        <v>20.94</v>
      </c>
      <c r="D913" s="28" t="str">
        <f>_xlfn.XLOOKUP(B913,'Payee Ref'!A:A,'Payee Ref'!B:B,"unassigned",0,1)</f>
        <v>Dining</v>
      </c>
      <c r="E913" s="29" t="str">
        <f>_xlfn.XLOOKUP(B913,'Payee Ref'!A:A,'Payee Ref'!C:C,"unassigned",0,1)</f>
        <v>Luxury</v>
      </c>
      <c r="F913" s="28" t="s">
        <v>2207</v>
      </c>
    </row>
    <row r="914" spans="1:6" x14ac:dyDescent="0.2">
      <c r="A914" s="30">
        <v>45729</v>
      </c>
      <c r="B914" s="28" t="s">
        <v>2083</v>
      </c>
      <c r="C914" s="28">
        <v>20.94</v>
      </c>
      <c r="D914" s="28" t="str">
        <f>_xlfn.XLOOKUP(B914,'Payee Ref'!A:A,'Payee Ref'!B:B,"unassigned",0,1)</f>
        <v>Dining</v>
      </c>
      <c r="E914" s="29" t="str">
        <f>_xlfn.XLOOKUP(B914,'Payee Ref'!A:A,'Payee Ref'!C:C,"unassigned",0,1)</f>
        <v>Luxury</v>
      </c>
      <c r="F914" s="28" t="s">
        <v>2207</v>
      </c>
    </row>
    <row r="915" spans="1:6" x14ac:dyDescent="0.2">
      <c r="A915" s="30">
        <v>45714</v>
      </c>
      <c r="B915" s="28" t="s">
        <v>2092</v>
      </c>
      <c r="C915" s="28">
        <v>20.94</v>
      </c>
      <c r="D915" s="28" t="str">
        <f>_xlfn.XLOOKUP(B915,'Payee Ref'!A:A,'Payee Ref'!B:B,"unassigned",0,1)</f>
        <v>Dining</v>
      </c>
      <c r="E915" s="29" t="str">
        <f>_xlfn.XLOOKUP(B915,'Payee Ref'!A:A,'Payee Ref'!C:C,"unassigned",0,1)</f>
        <v>Luxury</v>
      </c>
      <c r="F915" s="28" t="s">
        <v>2207</v>
      </c>
    </row>
    <row r="916" spans="1:6" x14ac:dyDescent="0.2">
      <c r="A916" s="30">
        <v>45688</v>
      </c>
      <c r="B916" s="28" t="s">
        <v>2092</v>
      </c>
      <c r="C916" s="28">
        <v>20.94</v>
      </c>
      <c r="D916" s="28" t="str">
        <f>_xlfn.XLOOKUP(B916,'Payee Ref'!A:A,'Payee Ref'!B:B,"unassigned",0,1)</f>
        <v>Dining</v>
      </c>
      <c r="E916" s="29" t="str">
        <f>_xlfn.XLOOKUP(B916,'Payee Ref'!A:A,'Payee Ref'!C:C,"unassigned",0,1)</f>
        <v>Luxury</v>
      </c>
      <c r="F916" s="28" t="s">
        <v>2207</v>
      </c>
    </row>
    <row r="917" spans="1:6" x14ac:dyDescent="0.2">
      <c r="A917" s="30">
        <v>45863</v>
      </c>
      <c r="B917" s="28" t="s">
        <v>1799</v>
      </c>
      <c r="C917" s="28">
        <v>20.94</v>
      </c>
      <c r="D917" s="28" t="str">
        <f>_xlfn.XLOOKUP(B917,'Payee Ref'!A:A,'Payee Ref'!B:B,"unassigned",0,1)</f>
        <v>unassigned</v>
      </c>
      <c r="E917" s="29" t="str">
        <f>_xlfn.XLOOKUP(B917,'Payee Ref'!A:A,'Payee Ref'!C:C,"unassigned",0,1)</f>
        <v>unassigned</v>
      </c>
      <c r="F917" s="28" t="s">
        <v>2207</v>
      </c>
    </row>
    <row r="918" spans="1:6" x14ac:dyDescent="0.2">
      <c r="A918" s="30">
        <v>45695</v>
      </c>
      <c r="B918" s="31" t="s">
        <v>2129</v>
      </c>
      <c r="C918" s="28">
        <v>20.96</v>
      </c>
      <c r="D918" s="28" t="str">
        <f>_xlfn.XLOOKUP(B918,'Payee Ref'!A:A,'Payee Ref'!B:B,"unassigned",0,1)</f>
        <v>Home &amp; Garden</v>
      </c>
      <c r="E918" s="29" t="str">
        <f>_xlfn.XLOOKUP(B918,'Payee Ref'!A:A,'Payee Ref'!C:C,"unassigned",0,1)</f>
        <v>Basic</v>
      </c>
      <c r="F918" s="28" t="s">
        <v>2207</v>
      </c>
    </row>
    <row r="919" spans="1:6" x14ac:dyDescent="0.2">
      <c r="A919" s="30">
        <v>45883</v>
      </c>
      <c r="B919" s="28" t="s">
        <v>1725</v>
      </c>
      <c r="C919" s="28">
        <v>20.97</v>
      </c>
      <c r="D919" s="28" t="str">
        <f>_xlfn.XLOOKUP(B919,'Payee Ref'!A:A,'Payee Ref'!B:B,"unassigned",0,1)</f>
        <v>Hardware Technology</v>
      </c>
      <c r="E919" s="29" t="str">
        <f>_xlfn.XLOOKUP(B919,'Payee Ref'!A:A,'Payee Ref'!C:C,"unassigned",0,1)</f>
        <v>Basic</v>
      </c>
      <c r="F919" s="28" t="s">
        <v>2207</v>
      </c>
    </row>
    <row r="920" spans="1:6" x14ac:dyDescent="0.2">
      <c r="A920" s="30">
        <v>45662</v>
      </c>
      <c r="B920" s="28" t="s">
        <v>1725</v>
      </c>
      <c r="C920" s="28">
        <v>20.97</v>
      </c>
      <c r="D920" s="28" t="str">
        <f>_xlfn.XLOOKUP(B920,'Payee Ref'!A:A,'Payee Ref'!B:B,"unassigned",0,1)</f>
        <v>Hardware Technology</v>
      </c>
      <c r="E920" s="29" t="str">
        <f>_xlfn.XLOOKUP(B920,'Payee Ref'!A:A,'Payee Ref'!C:C,"unassigned",0,1)</f>
        <v>Basic</v>
      </c>
      <c r="F920" s="28" t="s">
        <v>2207</v>
      </c>
    </row>
    <row r="921" spans="1:6" x14ac:dyDescent="0.2">
      <c r="A921" s="30">
        <v>45688</v>
      </c>
      <c r="B921" s="32" t="s">
        <v>2146</v>
      </c>
      <c r="C921" s="28">
        <v>20.97</v>
      </c>
      <c r="D921" s="28" t="str">
        <f>_xlfn.XLOOKUP(B921,'Payee Ref'!A:A,'Payee Ref'!B:B,"unassigned",0,1)</f>
        <v>Home &amp; Garden</v>
      </c>
      <c r="E921" s="29" t="str">
        <f>_xlfn.XLOOKUP(B921,'Payee Ref'!A:A,'Payee Ref'!C:C,"unassigned",0,1)</f>
        <v>Basic</v>
      </c>
      <c r="F921" s="28" t="s">
        <v>2207</v>
      </c>
    </row>
    <row r="922" spans="1:6" x14ac:dyDescent="0.2">
      <c r="A922" s="30">
        <v>45786</v>
      </c>
      <c r="B922" s="28" t="s">
        <v>1851</v>
      </c>
      <c r="C922" s="28">
        <v>20.98</v>
      </c>
      <c r="D922" s="28" t="str">
        <f>_xlfn.XLOOKUP(B922,'Payee Ref'!A:A,'Payee Ref'!B:B,"unassigned",0,1)</f>
        <v>Groceries</v>
      </c>
      <c r="E922" s="29" t="str">
        <f>_xlfn.XLOOKUP(B922,'Payee Ref'!A:A,'Payee Ref'!C:C,"unassigned",0,1)</f>
        <v>Basic</v>
      </c>
      <c r="F922" s="28" t="s">
        <v>2207</v>
      </c>
    </row>
    <row r="923" spans="1:6" x14ac:dyDescent="0.2">
      <c r="A923" s="30">
        <v>45805</v>
      </c>
      <c r="B923" s="28" t="s">
        <v>1974</v>
      </c>
      <c r="C923" s="28">
        <v>20.98</v>
      </c>
      <c r="D923" s="28" t="str">
        <f>_xlfn.XLOOKUP(B923,'Payee Ref'!A:A,'Payee Ref'!B:B,"unassigned",0,1)</f>
        <v>Parking</v>
      </c>
      <c r="E923" s="29" t="str">
        <f>_xlfn.XLOOKUP(B923,'Payee Ref'!A:A,'Payee Ref'!C:C,"unassigned",0,1)</f>
        <v>Basic</v>
      </c>
      <c r="F923" s="28" t="s">
        <v>2207</v>
      </c>
    </row>
    <row r="924" spans="1:6" x14ac:dyDescent="0.2">
      <c r="A924" s="30">
        <v>45798</v>
      </c>
      <c r="B924" s="28" t="s">
        <v>1974</v>
      </c>
      <c r="C924" s="28">
        <v>20.98</v>
      </c>
      <c r="D924" s="28" t="str">
        <f>_xlfn.XLOOKUP(B924,'Payee Ref'!A:A,'Payee Ref'!B:B,"unassigned",0,1)</f>
        <v>Parking</v>
      </c>
      <c r="E924" s="29" t="str">
        <f>_xlfn.XLOOKUP(B924,'Payee Ref'!A:A,'Payee Ref'!C:C,"unassigned",0,1)</f>
        <v>Basic</v>
      </c>
      <c r="F924" s="28" t="s">
        <v>2207</v>
      </c>
    </row>
    <row r="925" spans="1:6" x14ac:dyDescent="0.2">
      <c r="A925" s="30">
        <v>45699</v>
      </c>
      <c r="B925" s="28" t="s">
        <v>1562</v>
      </c>
      <c r="C925" s="28">
        <v>21.12</v>
      </c>
      <c r="D925" s="28" t="str">
        <f>_xlfn.XLOOKUP(B925,'Payee Ref'!A:A,'Payee Ref'!B:B,"unassigned",0,1)</f>
        <v>Dining</v>
      </c>
      <c r="E925" s="29" t="str">
        <f>_xlfn.XLOOKUP(B925,'Payee Ref'!A:A,'Payee Ref'!C:C,"unassigned",0,1)</f>
        <v>Luxury</v>
      </c>
      <c r="F925" s="28" t="s">
        <v>2207</v>
      </c>
    </row>
    <row r="926" spans="1:6" x14ac:dyDescent="0.2">
      <c r="A926" s="30">
        <v>45814</v>
      </c>
      <c r="B926" s="28" t="s">
        <v>72</v>
      </c>
      <c r="C926" s="28">
        <v>21.35</v>
      </c>
      <c r="D926" s="28" t="str">
        <f>_xlfn.XLOOKUP(B926,'Payee Ref'!A:A,'Payee Ref'!B:B,"unassigned",0,1)</f>
        <v>Bank Fees</v>
      </c>
      <c r="E926" s="29" t="str">
        <f>_xlfn.XLOOKUP(B926,'Payee Ref'!A:A,'Payee Ref'!C:C,"unassigned",0,1)</f>
        <v>Luxury</v>
      </c>
      <c r="F926" s="28" t="s">
        <v>2207</v>
      </c>
    </row>
    <row r="927" spans="1:6" x14ac:dyDescent="0.2">
      <c r="A927" s="30">
        <v>45886</v>
      </c>
      <c r="B927" s="28" t="s">
        <v>1565</v>
      </c>
      <c r="C927" s="28">
        <v>21.41</v>
      </c>
      <c r="D927" s="28" t="str">
        <f>_xlfn.XLOOKUP(B927,'Payee Ref'!A:A,'Payee Ref'!B:B,"unassigned",0,1)</f>
        <v>Home &amp; Garden</v>
      </c>
      <c r="E927" s="29" t="str">
        <f>_xlfn.XLOOKUP(B927,'Payee Ref'!A:A,'Payee Ref'!C:C,"unassigned",0,1)</f>
        <v>Basic</v>
      </c>
      <c r="F927" s="28" t="s">
        <v>2207</v>
      </c>
    </row>
    <row r="928" spans="1:6" x14ac:dyDescent="0.2">
      <c r="A928" s="30">
        <v>45694</v>
      </c>
      <c r="B928" s="28" t="s">
        <v>2133</v>
      </c>
      <c r="C928" s="28">
        <v>21.56</v>
      </c>
      <c r="D928" s="28" t="str">
        <f>_xlfn.XLOOKUP(B928,'Payee Ref'!A:A,'Payee Ref'!B:B,"unassigned",0,1)</f>
        <v>Dining</v>
      </c>
      <c r="E928" s="29" t="str">
        <f>_xlfn.XLOOKUP(B928,'Payee Ref'!A:A,'Payee Ref'!C:C,"unassigned",0,1)</f>
        <v>Luxury</v>
      </c>
      <c r="F928" s="28" t="s">
        <v>2207</v>
      </c>
    </row>
    <row r="929" spans="1:6" x14ac:dyDescent="0.2">
      <c r="A929" s="30">
        <v>45987</v>
      </c>
      <c r="B929" s="28" t="s">
        <v>1532</v>
      </c>
      <c r="C929" s="28">
        <v>21.73</v>
      </c>
      <c r="D929" s="28" t="str">
        <f>_xlfn.XLOOKUP(B929,'Payee Ref'!A:A,'Payee Ref'!B:B,"unassigned",0,1)</f>
        <v>unassigned</v>
      </c>
      <c r="E929" s="29" t="str">
        <f>_xlfn.XLOOKUP(B929,'Payee Ref'!A:A,'Payee Ref'!C:C,"unassigned",0,1)</f>
        <v>unassigned</v>
      </c>
      <c r="F929" s="28" t="s">
        <v>2207</v>
      </c>
    </row>
    <row r="930" spans="1:6" x14ac:dyDescent="0.2">
      <c r="A930" s="30">
        <v>45847</v>
      </c>
      <c r="B930" s="28" t="s">
        <v>1851</v>
      </c>
      <c r="C930" s="28">
        <v>21.76</v>
      </c>
      <c r="D930" s="28" t="str">
        <f>_xlfn.XLOOKUP(B930,'Payee Ref'!A:A,'Payee Ref'!B:B,"unassigned",0,1)</f>
        <v>Groceries</v>
      </c>
      <c r="E930" s="29" t="str">
        <f>_xlfn.XLOOKUP(B930,'Payee Ref'!A:A,'Payee Ref'!C:C,"unassigned",0,1)</f>
        <v>Basic</v>
      </c>
      <c r="F930" s="28" t="s">
        <v>2207</v>
      </c>
    </row>
    <row r="931" spans="1:6" x14ac:dyDescent="0.2">
      <c r="A931" s="30">
        <v>45910</v>
      </c>
      <c r="B931" s="28" t="s">
        <v>1534</v>
      </c>
      <c r="C931" s="28">
        <v>21.81</v>
      </c>
      <c r="D931" s="28" t="str">
        <f>_xlfn.XLOOKUP(B931,'Payee Ref'!A:A,'Payee Ref'!B:B,"unassigned",0,1)</f>
        <v>Dining</v>
      </c>
      <c r="E931" s="29" t="str">
        <f>_xlfn.XLOOKUP(B931,'Payee Ref'!A:A,'Payee Ref'!C:C,"unassigned",0,1)</f>
        <v>Luxury</v>
      </c>
      <c r="F931" s="28" t="s">
        <v>2207</v>
      </c>
    </row>
    <row r="932" spans="1:6" x14ac:dyDescent="0.2">
      <c r="A932" s="30">
        <v>45910</v>
      </c>
      <c r="B932" s="28" t="s">
        <v>1534</v>
      </c>
      <c r="C932" s="28">
        <v>21.81</v>
      </c>
      <c r="D932" s="28" t="str">
        <f>_xlfn.XLOOKUP(B932,'Payee Ref'!A:A,'Payee Ref'!B:B,"unassigned",0,1)</f>
        <v>Dining</v>
      </c>
      <c r="E932" s="29" t="str">
        <f>_xlfn.XLOOKUP(B932,'Payee Ref'!A:A,'Payee Ref'!C:C,"unassigned",0,1)</f>
        <v>Luxury</v>
      </c>
      <c r="F932" s="28" t="s">
        <v>2207</v>
      </c>
    </row>
    <row r="933" spans="1:6" x14ac:dyDescent="0.2">
      <c r="A933" s="30">
        <v>45817</v>
      </c>
      <c r="B933" s="28" t="s">
        <v>1534</v>
      </c>
      <c r="C933" s="28">
        <v>21.81</v>
      </c>
      <c r="D933" s="28" t="str">
        <f>_xlfn.XLOOKUP(B933,'Payee Ref'!A:A,'Payee Ref'!B:B,"unassigned",0,1)</f>
        <v>Dining</v>
      </c>
      <c r="E933" s="29" t="str">
        <f>_xlfn.XLOOKUP(B933,'Payee Ref'!A:A,'Payee Ref'!C:C,"unassigned",0,1)</f>
        <v>Luxury</v>
      </c>
      <c r="F933" s="28" t="s">
        <v>2207</v>
      </c>
    </row>
    <row r="934" spans="1:6" x14ac:dyDescent="0.2">
      <c r="A934" s="30">
        <v>45667</v>
      </c>
      <c r="B934" s="28" t="s">
        <v>2173</v>
      </c>
      <c r="C934" s="28">
        <v>21.84</v>
      </c>
      <c r="D934" s="28" t="str">
        <f>_xlfn.XLOOKUP(B934,'Payee Ref'!A:A,'Payee Ref'!B:B,"unassigned",0,1)</f>
        <v>Dining</v>
      </c>
      <c r="E934" s="29" t="str">
        <f>_xlfn.XLOOKUP(B934,'Payee Ref'!A:A,'Payee Ref'!C:C,"unassigned",0,1)</f>
        <v>Luxury</v>
      </c>
      <c r="F934" s="28" t="s">
        <v>2207</v>
      </c>
    </row>
    <row r="935" spans="1:6" x14ac:dyDescent="0.2">
      <c r="A935" s="30">
        <v>45701</v>
      </c>
      <c r="B935" s="28" t="s">
        <v>2092</v>
      </c>
      <c r="C935" s="28">
        <v>21.85</v>
      </c>
      <c r="D935" s="28" t="str">
        <f>_xlfn.XLOOKUP(B935,'Payee Ref'!A:A,'Payee Ref'!B:B,"unassigned",0,1)</f>
        <v>Dining</v>
      </c>
      <c r="E935" s="29" t="str">
        <f>_xlfn.XLOOKUP(B935,'Payee Ref'!A:A,'Payee Ref'!C:C,"unassigned",0,1)</f>
        <v>Luxury</v>
      </c>
      <c r="F935" s="28" t="s">
        <v>2207</v>
      </c>
    </row>
    <row r="936" spans="1:6" x14ac:dyDescent="0.2">
      <c r="A936" s="30">
        <v>45890</v>
      </c>
      <c r="B936" s="28" t="s">
        <v>1588</v>
      </c>
      <c r="C936" s="28">
        <v>21.87</v>
      </c>
      <c r="D936" s="28" t="str">
        <f>_xlfn.XLOOKUP(B936,'Payee Ref'!A:A,'Payee Ref'!B:B,"unassigned",0,1)</f>
        <v>Groceries</v>
      </c>
      <c r="E936" s="29" t="str">
        <f>_xlfn.XLOOKUP(B936,'Payee Ref'!A:A,'Payee Ref'!C:C,"unassigned",0,1)</f>
        <v>Basic</v>
      </c>
      <c r="F936" s="28" t="s">
        <v>2207</v>
      </c>
    </row>
    <row r="937" spans="1:6" x14ac:dyDescent="0.2">
      <c r="A937" s="30">
        <v>45857</v>
      </c>
      <c r="B937" s="28" t="s">
        <v>1778</v>
      </c>
      <c r="C937" s="28">
        <v>21.88</v>
      </c>
      <c r="D937" s="28" t="str">
        <f>_xlfn.XLOOKUP(B937,'Payee Ref'!A:A,'Payee Ref'!B:B,"unassigned",0,1)</f>
        <v>Travel</v>
      </c>
      <c r="E937" s="29" t="str">
        <f>_xlfn.XLOOKUP(B937,'Payee Ref'!A:A,'Payee Ref'!C:C,"unassigned",0,1)</f>
        <v>Luxury</v>
      </c>
      <c r="F937" s="28" t="s">
        <v>2207</v>
      </c>
    </row>
    <row r="938" spans="1:6" x14ac:dyDescent="0.2">
      <c r="A938" s="30">
        <v>45717</v>
      </c>
      <c r="B938" s="28" t="s">
        <v>1587</v>
      </c>
      <c r="C938" s="28">
        <v>21.92</v>
      </c>
      <c r="D938" s="28" t="str">
        <f>_xlfn.XLOOKUP(B938,'Payee Ref'!A:A,'Payee Ref'!B:B,"unassigned",0,1)</f>
        <v>Travel</v>
      </c>
      <c r="E938" s="29" t="str">
        <f>_xlfn.XLOOKUP(B938,'Payee Ref'!A:A,'Payee Ref'!C:C,"unassigned",0,1)</f>
        <v>Luxury</v>
      </c>
      <c r="F938" s="28" t="s">
        <v>2207</v>
      </c>
    </row>
    <row r="939" spans="1:6" x14ac:dyDescent="0.2">
      <c r="A939" s="30">
        <v>45868</v>
      </c>
      <c r="B939" s="28" t="s">
        <v>1773</v>
      </c>
      <c r="C939" s="28">
        <v>21.94</v>
      </c>
      <c r="D939" s="28" t="str">
        <f>_xlfn.XLOOKUP(B939,'Payee Ref'!A:A,'Payee Ref'!B:B,"unassigned",0,1)</f>
        <v>unassigned</v>
      </c>
      <c r="E939" s="29" t="str">
        <f>_xlfn.XLOOKUP(B939,'Payee Ref'!A:A,'Payee Ref'!C:C,"unassigned",0,1)</f>
        <v>unassigned</v>
      </c>
      <c r="F939" s="28" t="s">
        <v>2207</v>
      </c>
    </row>
    <row r="940" spans="1:6" x14ac:dyDescent="0.2">
      <c r="A940" s="30">
        <v>45895</v>
      </c>
      <c r="B940" s="28" t="s">
        <v>1693</v>
      </c>
      <c r="C940" s="28">
        <v>21.96</v>
      </c>
      <c r="D940" s="28" t="str">
        <f>_xlfn.XLOOKUP(B940,'Payee Ref'!A:A,'Payee Ref'!B:B,"unassigned",0,1)</f>
        <v>Dining</v>
      </c>
      <c r="E940" s="29" t="str">
        <f>_xlfn.XLOOKUP(B940,'Payee Ref'!A:A,'Payee Ref'!C:C,"unassigned",0,1)</f>
        <v>Luxury</v>
      </c>
      <c r="F940" s="28" t="s">
        <v>2207</v>
      </c>
    </row>
    <row r="941" spans="1:6" x14ac:dyDescent="0.2">
      <c r="A941" s="30">
        <v>45804</v>
      </c>
      <c r="B941" s="31" t="s">
        <v>1975</v>
      </c>
      <c r="C941" s="28">
        <v>21.96</v>
      </c>
      <c r="D941" s="28" t="str">
        <f>_xlfn.XLOOKUP(B941,'Payee Ref'!A:A,'Payee Ref'!B:B,"unassigned",0,1)</f>
        <v>Dining</v>
      </c>
      <c r="E941" s="29" t="str">
        <f>_xlfn.XLOOKUP(B941,'Payee Ref'!A:A,'Payee Ref'!C:C,"unassigned",0,1)</f>
        <v>Luxury</v>
      </c>
      <c r="F941" s="28" t="s">
        <v>2207</v>
      </c>
    </row>
    <row r="942" spans="1:6" x14ac:dyDescent="0.2">
      <c r="A942" s="30">
        <v>45920</v>
      </c>
      <c r="B942" s="28" t="s">
        <v>1636</v>
      </c>
      <c r="C942" s="28">
        <v>21.99</v>
      </c>
      <c r="D942" s="28" t="str">
        <f>_xlfn.XLOOKUP(B942,'Payee Ref'!A:A,'Payee Ref'!B:B,"unassigned",0,1)</f>
        <v>Home &amp; Garden</v>
      </c>
      <c r="E942" s="29" t="str">
        <f>_xlfn.XLOOKUP(B942,'Payee Ref'!A:A,'Payee Ref'!C:C,"unassigned",0,1)</f>
        <v>Basic</v>
      </c>
      <c r="F942" s="28" t="s">
        <v>2207</v>
      </c>
    </row>
    <row r="943" spans="1:6" x14ac:dyDescent="0.2">
      <c r="A943" s="30">
        <v>45850</v>
      </c>
      <c r="B943" s="31" t="s">
        <v>1838</v>
      </c>
      <c r="C943" s="28">
        <v>22.04</v>
      </c>
      <c r="D943" s="28" t="str">
        <f>_xlfn.XLOOKUP(B943,'Payee Ref'!A:A,'Payee Ref'!B:B,"unassigned",0,1)</f>
        <v>unassigned</v>
      </c>
      <c r="E943" s="29" t="str">
        <f>_xlfn.XLOOKUP(B943,'Payee Ref'!A:A,'Payee Ref'!C:C,"unassigned",0,1)</f>
        <v>unassigned</v>
      </c>
      <c r="F943" s="28" t="s">
        <v>2207</v>
      </c>
    </row>
    <row r="944" spans="1:6" x14ac:dyDescent="0.2">
      <c r="A944" s="30">
        <v>45830</v>
      </c>
      <c r="B944" s="28" t="s">
        <v>1914</v>
      </c>
      <c r="C944" s="28">
        <v>22.05</v>
      </c>
      <c r="D944" s="28" t="str">
        <f>_xlfn.XLOOKUP(B944,'Payee Ref'!A:A,'Payee Ref'!B:B,"unassigned",0,1)</f>
        <v>Travel</v>
      </c>
      <c r="E944" s="29" t="str">
        <f>_xlfn.XLOOKUP(B944,'Payee Ref'!A:A,'Payee Ref'!C:C,"unassigned",0,1)</f>
        <v>Luxury</v>
      </c>
      <c r="F944" s="28" t="s">
        <v>2207</v>
      </c>
    </row>
    <row r="945" spans="1:6" x14ac:dyDescent="0.2">
      <c r="A945" s="30">
        <v>45836</v>
      </c>
      <c r="B945" s="28" t="s">
        <v>1878</v>
      </c>
      <c r="C945" s="28">
        <v>22.06</v>
      </c>
      <c r="D945" s="28" t="str">
        <f>_xlfn.XLOOKUP(B945,'Payee Ref'!A:A,'Payee Ref'!B:B,"unassigned",0,1)</f>
        <v>Subscriptions / Digital</v>
      </c>
      <c r="E945" s="29" t="str">
        <f>_xlfn.XLOOKUP(B945,'Payee Ref'!A:A,'Payee Ref'!C:C,"unassigned",0,1)</f>
        <v>Luxury</v>
      </c>
      <c r="F945" s="28" t="s">
        <v>2207</v>
      </c>
    </row>
    <row r="946" spans="1:6" x14ac:dyDescent="0.2">
      <c r="A946" s="30">
        <v>45805</v>
      </c>
      <c r="B946" s="28" t="s">
        <v>1878</v>
      </c>
      <c r="C946" s="28">
        <v>22.06</v>
      </c>
      <c r="D946" s="28" t="str">
        <f>_xlfn.XLOOKUP(B946,'Payee Ref'!A:A,'Payee Ref'!B:B,"unassigned",0,1)</f>
        <v>Subscriptions / Digital</v>
      </c>
      <c r="E946" s="29" t="str">
        <f>_xlfn.XLOOKUP(B946,'Payee Ref'!A:A,'Payee Ref'!C:C,"unassigned",0,1)</f>
        <v>Luxury</v>
      </c>
      <c r="F946" s="28" t="s">
        <v>2207</v>
      </c>
    </row>
    <row r="947" spans="1:6" x14ac:dyDescent="0.2">
      <c r="A947" s="30">
        <v>45775</v>
      </c>
      <c r="B947" s="28" t="s">
        <v>1878</v>
      </c>
      <c r="C947" s="28">
        <v>22.06</v>
      </c>
      <c r="D947" s="28" t="str">
        <f>_xlfn.XLOOKUP(B947,'Payee Ref'!A:A,'Payee Ref'!B:B,"unassigned",0,1)</f>
        <v>Subscriptions / Digital</v>
      </c>
      <c r="E947" s="29" t="str">
        <f>_xlfn.XLOOKUP(B947,'Payee Ref'!A:A,'Payee Ref'!C:C,"unassigned",0,1)</f>
        <v>Luxury</v>
      </c>
      <c r="F947" s="28" t="s">
        <v>2207</v>
      </c>
    </row>
    <row r="948" spans="1:6" x14ac:dyDescent="0.2">
      <c r="A948" s="30">
        <v>45746</v>
      </c>
      <c r="B948" s="28" t="s">
        <v>2056</v>
      </c>
      <c r="C948" s="28">
        <v>22.06</v>
      </c>
      <c r="D948" s="28" t="str">
        <f>_xlfn.XLOOKUP(B948,'Payee Ref'!A:A,'Payee Ref'!B:B,"unassigned",0,1)</f>
        <v>Subscriptions / Digital</v>
      </c>
      <c r="E948" s="29" t="str">
        <f>_xlfn.XLOOKUP(B948,'Payee Ref'!A:A,'Payee Ref'!C:C,"unassigned",0,1)</f>
        <v>Luxury</v>
      </c>
      <c r="F948" s="28" t="s">
        <v>2207</v>
      </c>
    </row>
    <row r="949" spans="1:6" x14ac:dyDescent="0.2">
      <c r="A949" s="30">
        <v>45744</v>
      </c>
      <c r="B949" s="28" t="s">
        <v>1878</v>
      </c>
      <c r="C949" s="28">
        <v>22.06</v>
      </c>
      <c r="D949" s="28" t="str">
        <f>_xlfn.XLOOKUP(B949,'Payee Ref'!A:A,'Payee Ref'!B:B,"unassigned",0,1)</f>
        <v>Subscriptions / Digital</v>
      </c>
      <c r="E949" s="29" t="str">
        <f>_xlfn.XLOOKUP(B949,'Payee Ref'!A:A,'Payee Ref'!C:C,"unassigned",0,1)</f>
        <v>Luxury</v>
      </c>
      <c r="F949" s="28" t="s">
        <v>2207</v>
      </c>
    </row>
    <row r="950" spans="1:6" x14ac:dyDescent="0.2">
      <c r="A950" s="30">
        <v>45716</v>
      </c>
      <c r="B950" s="28" t="s">
        <v>1878</v>
      </c>
      <c r="C950" s="28">
        <v>22.06</v>
      </c>
      <c r="D950" s="28" t="str">
        <f>_xlfn.XLOOKUP(B950,'Payee Ref'!A:A,'Payee Ref'!B:B,"unassigned",0,1)</f>
        <v>Subscriptions / Digital</v>
      </c>
      <c r="E950" s="29" t="str">
        <f>_xlfn.XLOOKUP(B950,'Payee Ref'!A:A,'Payee Ref'!C:C,"unassigned",0,1)</f>
        <v>Luxury</v>
      </c>
      <c r="F950" s="28" t="s">
        <v>2207</v>
      </c>
    </row>
    <row r="951" spans="1:6" x14ac:dyDescent="0.2">
      <c r="A951" s="30">
        <v>45685</v>
      </c>
      <c r="B951" s="28" t="s">
        <v>1878</v>
      </c>
      <c r="C951" s="28">
        <v>22.06</v>
      </c>
      <c r="D951" s="28" t="str">
        <f>_xlfn.XLOOKUP(B951,'Payee Ref'!A:A,'Payee Ref'!B:B,"unassigned",0,1)</f>
        <v>Subscriptions / Digital</v>
      </c>
      <c r="E951" s="29" t="str">
        <f>_xlfn.XLOOKUP(B951,'Payee Ref'!A:A,'Payee Ref'!C:C,"unassigned",0,1)</f>
        <v>Luxury</v>
      </c>
      <c r="F951" s="28" t="s">
        <v>2207</v>
      </c>
    </row>
    <row r="952" spans="1:6" x14ac:dyDescent="0.2">
      <c r="A952" s="30">
        <v>45958</v>
      </c>
      <c r="B952" s="28" t="s">
        <v>933</v>
      </c>
      <c r="C952" s="28">
        <v>22.06</v>
      </c>
      <c r="D952" s="28" t="str">
        <f>_xlfn.XLOOKUP(B952,'Payee Ref'!A:A,'Payee Ref'!B:B,"unassigned",0,1)</f>
        <v>Subscriptions / Digital</v>
      </c>
      <c r="E952" s="29" t="str">
        <f>_xlfn.XLOOKUP(B952,'Payee Ref'!A:A,'Payee Ref'!C:C,"unassigned",0,1)</f>
        <v>Luxury</v>
      </c>
      <c r="F952" s="28" t="s">
        <v>2207</v>
      </c>
    </row>
    <row r="953" spans="1:6" x14ac:dyDescent="0.2">
      <c r="A953" s="30">
        <v>45866</v>
      </c>
      <c r="B953" s="28" t="s">
        <v>1793</v>
      </c>
      <c r="C953" s="28">
        <v>22.06</v>
      </c>
      <c r="D953" s="28" t="str">
        <f>_xlfn.XLOOKUP(B953,'Payee Ref'!A:A,'Payee Ref'!B:B,"unassigned",0,1)</f>
        <v>unassigned</v>
      </c>
      <c r="E953" s="29" t="str">
        <f>_xlfn.XLOOKUP(B953,'Payee Ref'!A:A,'Payee Ref'!C:C,"unassigned",0,1)</f>
        <v>unassigned</v>
      </c>
      <c r="F953" s="28" t="s">
        <v>2207</v>
      </c>
    </row>
    <row r="954" spans="1:6" x14ac:dyDescent="0.2">
      <c r="A954" s="30">
        <v>45897</v>
      </c>
      <c r="B954" s="28" t="s">
        <v>1686</v>
      </c>
      <c r="C954" s="28">
        <v>22.06</v>
      </c>
      <c r="D954" s="28" t="str">
        <f>_xlfn.XLOOKUP(B954,'Payee Ref'!A:A,'Payee Ref'!B:B,"unassigned",0,1)</f>
        <v>unassigned</v>
      </c>
      <c r="E954" s="29" t="str">
        <f>_xlfn.XLOOKUP(B954,'Payee Ref'!A:A,'Payee Ref'!C:C,"unassigned",0,1)</f>
        <v>unassigned</v>
      </c>
      <c r="F954" s="28" t="s">
        <v>2207</v>
      </c>
    </row>
    <row r="955" spans="1:6" x14ac:dyDescent="0.2">
      <c r="A955" s="30">
        <v>45928</v>
      </c>
      <c r="B955" s="28" t="s">
        <v>1614</v>
      </c>
      <c r="C955" s="28">
        <v>22.06</v>
      </c>
      <c r="D955" s="28" t="str">
        <f>_xlfn.XLOOKUP(B955,'Payee Ref'!A:A,'Payee Ref'!B:B,"unassigned",0,1)</f>
        <v>unassigned</v>
      </c>
      <c r="E955" s="29" t="str">
        <f>_xlfn.XLOOKUP(B955,'Payee Ref'!A:A,'Payee Ref'!C:C,"unassigned",0,1)</f>
        <v>unassigned</v>
      </c>
      <c r="F955" s="28" t="s">
        <v>2207</v>
      </c>
    </row>
    <row r="956" spans="1:6" x14ac:dyDescent="0.2">
      <c r="A956" s="30">
        <v>45989</v>
      </c>
      <c r="B956" s="28" t="s">
        <v>1521</v>
      </c>
      <c r="C956" s="28">
        <v>22.06</v>
      </c>
      <c r="D956" s="28" t="str">
        <f>_xlfn.XLOOKUP(B956,'Payee Ref'!A:A,'Payee Ref'!B:B,"unassigned",0,1)</f>
        <v>unassigned</v>
      </c>
      <c r="E956" s="29" t="str">
        <f>_xlfn.XLOOKUP(B956,'Payee Ref'!A:A,'Payee Ref'!C:C,"unassigned",0,1)</f>
        <v>unassigned</v>
      </c>
      <c r="F956" s="28" t="s">
        <v>2207</v>
      </c>
    </row>
    <row r="957" spans="1:6" x14ac:dyDescent="0.2">
      <c r="A957" s="30">
        <v>45877</v>
      </c>
      <c r="B957" s="28" t="s">
        <v>1567</v>
      </c>
      <c r="C957" s="28">
        <v>22.06</v>
      </c>
      <c r="D957" s="28" t="str">
        <f>_xlfn.XLOOKUP(B957,'Payee Ref'!A:A,'Payee Ref'!B:B,"unassigned",0,1)</f>
        <v>Van</v>
      </c>
      <c r="E957" s="29" t="str">
        <f>_xlfn.XLOOKUP(B957,'Payee Ref'!A:A,'Payee Ref'!C:C,"unassigned",0,1)</f>
        <v>Luxury</v>
      </c>
      <c r="F957" s="28" t="s">
        <v>2207</v>
      </c>
    </row>
    <row r="958" spans="1:6" x14ac:dyDescent="0.2">
      <c r="A958" s="30">
        <v>45754</v>
      </c>
      <c r="B958" s="28" t="s">
        <v>72</v>
      </c>
      <c r="C958" s="28">
        <v>22.11</v>
      </c>
      <c r="D958" s="28" t="str">
        <f>_xlfn.XLOOKUP(B958,'Payee Ref'!A:A,'Payee Ref'!B:B,"unassigned",0,1)</f>
        <v>Bank Fees</v>
      </c>
      <c r="E958" s="29" t="str">
        <f>_xlfn.XLOOKUP(B958,'Payee Ref'!A:A,'Payee Ref'!C:C,"unassigned",0,1)</f>
        <v>Luxury</v>
      </c>
      <c r="F958" s="28" t="s">
        <v>2207</v>
      </c>
    </row>
    <row r="959" spans="1:6" x14ac:dyDescent="0.2">
      <c r="A959" s="30">
        <v>45747</v>
      </c>
      <c r="B959" s="28" t="s">
        <v>1952</v>
      </c>
      <c r="C959" s="28">
        <v>22.14</v>
      </c>
      <c r="D959" s="28" t="str">
        <f>_xlfn.XLOOKUP(B959,'Payee Ref'!A:A,'Payee Ref'!B:B,"unassigned",0,1)</f>
        <v>Groceries</v>
      </c>
      <c r="E959" s="29" t="str">
        <f>_xlfn.XLOOKUP(B959,'Payee Ref'!A:A,'Payee Ref'!C:C,"unassigned",0,1)</f>
        <v>Basic</v>
      </c>
      <c r="F959" s="28" t="s">
        <v>2207</v>
      </c>
    </row>
    <row r="960" spans="1:6" x14ac:dyDescent="0.2">
      <c r="A960" s="30">
        <v>45870</v>
      </c>
      <c r="B960" s="28" t="s">
        <v>1761</v>
      </c>
      <c r="C960" s="28">
        <v>22.2</v>
      </c>
      <c r="D960" s="28" t="str">
        <f>_xlfn.XLOOKUP(B960,'Payee Ref'!A:A,'Payee Ref'!B:B,"unassigned",0,1)</f>
        <v>unassigned</v>
      </c>
      <c r="E960" s="29" t="str">
        <f>_xlfn.XLOOKUP(B960,'Payee Ref'!A:A,'Payee Ref'!C:C,"unassigned",0,1)</f>
        <v>unassigned</v>
      </c>
      <c r="F960" s="28" t="s">
        <v>2207</v>
      </c>
    </row>
    <row r="961" spans="1:6" x14ac:dyDescent="0.2">
      <c r="A961" s="30">
        <v>45741</v>
      </c>
      <c r="B961" s="28" t="s">
        <v>2065</v>
      </c>
      <c r="C961" s="28">
        <v>22.21</v>
      </c>
      <c r="D961" s="28" t="str">
        <f>_xlfn.XLOOKUP(B961,'Payee Ref'!A:A,'Payee Ref'!B:B,"unassigned",0,1)</f>
        <v>Travel</v>
      </c>
      <c r="E961" s="29" t="str">
        <f>_xlfn.XLOOKUP(B961,'Payee Ref'!A:A,'Payee Ref'!C:C,"unassigned",0,1)</f>
        <v>Luxury</v>
      </c>
      <c r="F961" s="28" t="s">
        <v>2207</v>
      </c>
    </row>
    <row r="962" spans="1:6" x14ac:dyDescent="0.2">
      <c r="A962" s="30">
        <v>45715</v>
      </c>
      <c r="B962" s="31" t="s">
        <v>2108</v>
      </c>
      <c r="C962" s="28">
        <v>22.21</v>
      </c>
      <c r="D962" s="28" t="str">
        <f>_xlfn.XLOOKUP(B962,'Payee Ref'!A:A,'Payee Ref'!B:B,"unassigned",0,1)</f>
        <v>Travel</v>
      </c>
      <c r="E962" s="29" t="str">
        <f>_xlfn.XLOOKUP(B962,'Payee Ref'!A:A,'Payee Ref'!C:C,"unassigned",0,1)</f>
        <v>Luxury</v>
      </c>
      <c r="F962" s="28" t="s">
        <v>2207</v>
      </c>
    </row>
    <row r="963" spans="1:6" x14ac:dyDescent="0.2">
      <c r="A963" s="30">
        <v>45797</v>
      </c>
      <c r="B963" s="28" t="s">
        <v>1539</v>
      </c>
      <c r="C963" s="28">
        <v>22.44</v>
      </c>
      <c r="D963" s="28" t="str">
        <f>_xlfn.XLOOKUP(B963,'Payee Ref'!A:A,'Payee Ref'!B:B,"unassigned",0,1)</f>
        <v>Groceries</v>
      </c>
      <c r="E963" s="29" t="str">
        <f>_xlfn.XLOOKUP(B963,'Payee Ref'!A:A,'Payee Ref'!C:C,"unassigned",0,1)</f>
        <v>Basic</v>
      </c>
      <c r="F963" s="28" t="s">
        <v>2207</v>
      </c>
    </row>
    <row r="964" spans="1:6" x14ac:dyDescent="0.2">
      <c r="A964" s="30">
        <v>45903</v>
      </c>
      <c r="B964" s="28" t="s">
        <v>1664</v>
      </c>
      <c r="C964" s="28">
        <v>22.47</v>
      </c>
      <c r="D964" s="28" t="str">
        <f>_xlfn.XLOOKUP(B964,'Payee Ref'!A:A,'Payee Ref'!B:B,"unassigned",0,1)</f>
        <v>unassigned</v>
      </c>
      <c r="E964" s="29" t="str">
        <f>_xlfn.XLOOKUP(B964,'Payee Ref'!A:A,'Payee Ref'!C:C,"unassigned",0,1)</f>
        <v>unassigned</v>
      </c>
      <c r="F964" s="28" t="s">
        <v>2207</v>
      </c>
    </row>
    <row r="965" spans="1:6" x14ac:dyDescent="0.2">
      <c r="A965" s="30">
        <v>45697</v>
      </c>
      <c r="B965" s="28" t="s">
        <v>1588</v>
      </c>
      <c r="C965" s="28">
        <v>22.49</v>
      </c>
      <c r="D965" s="28" t="str">
        <f>_xlfn.XLOOKUP(B965,'Payee Ref'!A:A,'Payee Ref'!B:B,"unassigned",0,1)</f>
        <v>Groceries</v>
      </c>
      <c r="E965" s="29" t="str">
        <f>_xlfn.XLOOKUP(B965,'Payee Ref'!A:A,'Payee Ref'!C:C,"unassigned",0,1)</f>
        <v>Basic</v>
      </c>
      <c r="F965" s="28" t="s">
        <v>2207</v>
      </c>
    </row>
    <row r="966" spans="1:6" x14ac:dyDescent="0.2">
      <c r="A966" s="30">
        <v>45817</v>
      </c>
      <c r="B966" s="28" t="s">
        <v>1953</v>
      </c>
      <c r="C966" s="28">
        <v>22.52</v>
      </c>
      <c r="D966" s="28" t="str">
        <f>_xlfn.XLOOKUP(B966,'Payee Ref'!A:A,'Payee Ref'!B:B,"unassigned",0,1)</f>
        <v>Dining</v>
      </c>
      <c r="E966" s="29" t="str">
        <f>_xlfn.XLOOKUP(B966,'Payee Ref'!A:A,'Payee Ref'!C:C,"unassigned",0,1)</f>
        <v>Luxury</v>
      </c>
      <c r="F966" s="28" t="s">
        <v>2207</v>
      </c>
    </row>
    <row r="967" spans="1:6" x14ac:dyDescent="0.2">
      <c r="A967" s="30">
        <v>45741</v>
      </c>
      <c r="B967" s="28" t="s">
        <v>1952</v>
      </c>
      <c r="C967" s="28">
        <v>22.59</v>
      </c>
      <c r="D967" s="28" t="str">
        <f>_xlfn.XLOOKUP(B967,'Payee Ref'!A:A,'Payee Ref'!B:B,"unassigned",0,1)</f>
        <v>Groceries</v>
      </c>
      <c r="E967" s="29" t="str">
        <f>_xlfn.XLOOKUP(B967,'Payee Ref'!A:A,'Payee Ref'!C:C,"unassigned",0,1)</f>
        <v>Basic</v>
      </c>
      <c r="F967" s="28" t="s">
        <v>2207</v>
      </c>
    </row>
    <row r="968" spans="1:6" x14ac:dyDescent="0.2">
      <c r="A968" s="30">
        <v>45719</v>
      </c>
      <c r="B968" s="28" t="s">
        <v>2104</v>
      </c>
      <c r="C968" s="28">
        <v>22.62</v>
      </c>
      <c r="D968" s="28" t="str">
        <f>_xlfn.XLOOKUP(B968,'Payee Ref'!A:A,'Payee Ref'!B:B,"unassigned",0,1)</f>
        <v>Groceries</v>
      </c>
      <c r="E968" s="29" t="str">
        <f>_xlfn.XLOOKUP(B968,'Payee Ref'!A:A,'Payee Ref'!C:C,"unassigned",0,1)</f>
        <v>Basic</v>
      </c>
      <c r="F968" s="28" t="s">
        <v>2207</v>
      </c>
    </row>
    <row r="969" spans="1:6" x14ac:dyDescent="0.2">
      <c r="A969" s="30">
        <v>45921</v>
      </c>
      <c r="B969" s="28" t="s">
        <v>1633</v>
      </c>
      <c r="C969" s="28">
        <v>22.63</v>
      </c>
      <c r="D969" s="28" t="str">
        <f>_xlfn.XLOOKUP(B969,'Payee Ref'!A:A,'Payee Ref'!B:B,"unassigned",0,1)</f>
        <v>unassigned</v>
      </c>
      <c r="E969" s="29" t="str">
        <f>_xlfn.XLOOKUP(B969,'Payee Ref'!A:A,'Payee Ref'!C:C,"unassigned",0,1)</f>
        <v>unassigned</v>
      </c>
      <c r="F969" s="28" t="s">
        <v>2207</v>
      </c>
    </row>
    <row r="970" spans="1:6" x14ac:dyDescent="0.2">
      <c r="A970" s="30">
        <v>45777</v>
      </c>
      <c r="B970" s="28" t="s">
        <v>1965</v>
      </c>
      <c r="C970" s="28">
        <v>22.75</v>
      </c>
      <c r="D970" s="28" t="str">
        <f>_xlfn.XLOOKUP(B970,'Payee Ref'!A:A,'Payee Ref'!B:B,"unassigned",0,1)</f>
        <v>Dining</v>
      </c>
      <c r="E970" s="29" t="str">
        <f>_xlfn.XLOOKUP(B970,'Payee Ref'!A:A,'Payee Ref'!C:C,"unassigned",0,1)</f>
        <v>Luxury</v>
      </c>
      <c r="F970" s="28" t="s">
        <v>2207</v>
      </c>
    </row>
    <row r="971" spans="1:6" x14ac:dyDescent="0.2">
      <c r="A971" s="30">
        <v>45768</v>
      </c>
      <c r="B971" s="28" t="s">
        <v>1965</v>
      </c>
      <c r="C971" s="28">
        <v>22.75</v>
      </c>
      <c r="D971" s="28" t="str">
        <f>_xlfn.XLOOKUP(B971,'Payee Ref'!A:A,'Payee Ref'!B:B,"unassigned",0,1)</f>
        <v>Dining</v>
      </c>
      <c r="E971" s="29" t="str">
        <f>_xlfn.XLOOKUP(B971,'Payee Ref'!A:A,'Payee Ref'!C:C,"unassigned",0,1)</f>
        <v>Luxury</v>
      </c>
      <c r="F971" s="28" t="s">
        <v>2207</v>
      </c>
    </row>
    <row r="972" spans="1:6" x14ac:dyDescent="0.2">
      <c r="A972" s="30">
        <v>45804</v>
      </c>
      <c r="B972" s="32" t="s">
        <v>1976</v>
      </c>
      <c r="C972" s="28">
        <v>22.8</v>
      </c>
      <c r="D972" s="28" t="str">
        <f>_xlfn.XLOOKUP(B972,'Payee Ref'!A:A,'Payee Ref'!B:B,"unassigned",0,1)</f>
        <v>Home &amp; Garden</v>
      </c>
      <c r="E972" s="29" t="str">
        <f>_xlfn.XLOOKUP(B972,'Payee Ref'!A:A,'Payee Ref'!C:C,"unassigned",0,1)</f>
        <v>Basic</v>
      </c>
      <c r="F972" s="28" t="s">
        <v>2207</v>
      </c>
    </row>
    <row r="973" spans="1:6" x14ac:dyDescent="0.2">
      <c r="A973" s="30">
        <v>45908</v>
      </c>
      <c r="B973" s="28" t="s">
        <v>1529</v>
      </c>
      <c r="C973" s="28">
        <v>22.81</v>
      </c>
      <c r="D973" s="28" t="str">
        <f>_xlfn.XLOOKUP(B973,'Payee Ref'!A:A,'Payee Ref'!B:B,"unassigned",0,1)</f>
        <v>Dining</v>
      </c>
      <c r="E973" s="29" t="str">
        <f>_xlfn.XLOOKUP(B973,'Payee Ref'!A:A,'Payee Ref'!C:C,"unassigned",0,1)</f>
        <v>Luxury</v>
      </c>
      <c r="F973" s="28" t="s">
        <v>2207</v>
      </c>
    </row>
    <row r="974" spans="1:6" x14ac:dyDescent="0.2">
      <c r="A974" s="30">
        <v>45820</v>
      </c>
      <c r="B974" s="28" t="s">
        <v>1529</v>
      </c>
      <c r="C974" s="28">
        <v>22.81</v>
      </c>
      <c r="D974" s="28" t="str">
        <f>_xlfn.XLOOKUP(B974,'Payee Ref'!A:A,'Payee Ref'!B:B,"unassigned",0,1)</f>
        <v>Dining</v>
      </c>
      <c r="E974" s="29" t="str">
        <f>_xlfn.XLOOKUP(B974,'Payee Ref'!A:A,'Payee Ref'!C:C,"unassigned",0,1)</f>
        <v>Luxury</v>
      </c>
      <c r="F974" s="28" t="s">
        <v>2207</v>
      </c>
    </row>
    <row r="975" spans="1:6" x14ac:dyDescent="0.2">
      <c r="A975" s="30">
        <v>45691</v>
      </c>
      <c r="B975" s="28" t="s">
        <v>2132</v>
      </c>
      <c r="C975" s="28">
        <v>22.81</v>
      </c>
      <c r="D975" s="28" t="str">
        <f>_xlfn.XLOOKUP(B975,'Payee Ref'!A:A,'Payee Ref'!B:B,"unassigned",0,1)</f>
        <v>Dining</v>
      </c>
      <c r="E975" s="29" t="str">
        <f>_xlfn.XLOOKUP(B975,'Payee Ref'!A:A,'Payee Ref'!C:C,"unassigned",0,1)</f>
        <v>Luxury</v>
      </c>
      <c r="F975" s="28" t="s">
        <v>2207</v>
      </c>
    </row>
    <row r="976" spans="1:6" x14ac:dyDescent="0.2">
      <c r="A976" s="30">
        <v>45972</v>
      </c>
      <c r="B976" s="28" t="s">
        <v>227</v>
      </c>
      <c r="C976" s="28">
        <v>22.81</v>
      </c>
      <c r="D976" s="28" t="str">
        <f>_xlfn.XLOOKUP(B976,'Payee Ref'!A:A,'Payee Ref'!B:B,"unassigned",0,1)</f>
        <v>Travel</v>
      </c>
      <c r="E976" s="29" t="str">
        <f>_xlfn.XLOOKUP(B976,'Payee Ref'!A:A,'Payee Ref'!C:C,"unassigned",0,1)</f>
        <v>Luxury</v>
      </c>
      <c r="F976" s="28" t="s">
        <v>2207</v>
      </c>
    </row>
    <row r="977" spans="1:6" x14ac:dyDescent="0.2">
      <c r="A977" s="30">
        <v>45960</v>
      </c>
      <c r="B977" s="28" t="s">
        <v>227</v>
      </c>
      <c r="C977" s="28">
        <v>22.81</v>
      </c>
      <c r="D977" s="28" t="str">
        <f>_xlfn.XLOOKUP(B977,'Payee Ref'!A:A,'Payee Ref'!B:B,"unassigned",0,1)</f>
        <v>Travel</v>
      </c>
      <c r="E977" s="29" t="str">
        <f>_xlfn.XLOOKUP(B977,'Payee Ref'!A:A,'Payee Ref'!C:C,"unassigned",0,1)</f>
        <v>Luxury</v>
      </c>
      <c r="F977" s="28" t="s">
        <v>2207</v>
      </c>
    </row>
    <row r="978" spans="1:6" x14ac:dyDescent="0.2">
      <c r="A978" s="30">
        <v>45839</v>
      </c>
      <c r="B978" s="28" t="s">
        <v>1717</v>
      </c>
      <c r="C978" s="28">
        <v>22.9</v>
      </c>
      <c r="D978" s="28" t="str">
        <f>_xlfn.XLOOKUP(B978,'Payee Ref'!A:A,'Payee Ref'!B:B,"unassigned",0,1)</f>
        <v>Travel</v>
      </c>
      <c r="E978" s="29" t="str">
        <f>_xlfn.XLOOKUP(B978,'Payee Ref'!A:A,'Payee Ref'!C:C,"unassigned",0,1)</f>
        <v>Luxury</v>
      </c>
      <c r="F978" s="28" t="s">
        <v>2207</v>
      </c>
    </row>
    <row r="979" spans="1:6" x14ac:dyDescent="0.2">
      <c r="A979" s="30">
        <v>45699</v>
      </c>
      <c r="B979" s="28" t="s">
        <v>1547</v>
      </c>
      <c r="C979" s="28">
        <v>22.91</v>
      </c>
      <c r="D979" s="28" t="str">
        <f>_xlfn.XLOOKUP(B979,'Payee Ref'!A:A,'Payee Ref'!B:B,"unassigned",0,1)</f>
        <v>Pharmacy</v>
      </c>
      <c r="E979" s="29" t="str">
        <f>_xlfn.XLOOKUP(B979,'Payee Ref'!A:A,'Payee Ref'!C:C,"unassigned",0,1)</f>
        <v>Basic</v>
      </c>
      <c r="F979" s="28" t="s">
        <v>2207</v>
      </c>
    </row>
    <row r="980" spans="1:6" x14ac:dyDescent="0.2">
      <c r="A980" s="30">
        <v>45804</v>
      </c>
      <c r="B980" s="28" t="s">
        <v>1943</v>
      </c>
      <c r="C980" s="28">
        <v>22.95</v>
      </c>
      <c r="D980" s="28" t="str">
        <f>_xlfn.XLOOKUP(B980,'Payee Ref'!A:A,'Payee Ref'!B:B,"unassigned",0,1)</f>
        <v>Dining</v>
      </c>
      <c r="E980" s="29" t="str">
        <f>_xlfn.XLOOKUP(B980,'Payee Ref'!A:A,'Payee Ref'!C:C,"unassigned",0,1)</f>
        <v>Luxury</v>
      </c>
      <c r="F980" s="28" t="s">
        <v>2207</v>
      </c>
    </row>
    <row r="981" spans="1:6" x14ac:dyDescent="0.2">
      <c r="A981" s="30">
        <v>45902</v>
      </c>
      <c r="B981" s="28" t="s">
        <v>1583</v>
      </c>
      <c r="C981" s="28">
        <v>23.15</v>
      </c>
      <c r="D981" s="28" t="str">
        <f>_xlfn.XLOOKUP(B981,'Payee Ref'!A:A,'Payee Ref'!B:B,"unassigned",0,1)</f>
        <v>Subscriptions / Digital</v>
      </c>
      <c r="E981" s="29" t="str">
        <f>_xlfn.XLOOKUP(B981,'Payee Ref'!A:A,'Payee Ref'!C:C,"unassigned",0,1)</f>
        <v>Luxury</v>
      </c>
      <c r="F981" s="28" t="s">
        <v>2207</v>
      </c>
    </row>
    <row r="982" spans="1:6" x14ac:dyDescent="0.2">
      <c r="A982" s="30">
        <v>45871</v>
      </c>
      <c r="B982" s="31" t="s">
        <v>1755</v>
      </c>
      <c r="C982" s="28">
        <v>23.15</v>
      </c>
      <c r="D982" s="28" t="str">
        <f>_xlfn.XLOOKUP(B982,'Payee Ref'!A:A,'Payee Ref'!B:B,"unassigned",0,1)</f>
        <v>Subscriptions / Digital</v>
      </c>
      <c r="E982" s="29" t="str">
        <f>_xlfn.XLOOKUP(B982,'Payee Ref'!A:A,'Payee Ref'!C:C,"unassigned",0,1)</f>
        <v>Luxury</v>
      </c>
      <c r="F982" s="28" t="s">
        <v>2207</v>
      </c>
    </row>
    <row r="983" spans="1:6" x14ac:dyDescent="0.2">
      <c r="A983" s="30">
        <v>45840</v>
      </c>
      <c r="B983" s="28" t="s">
        <v>1583</v>
      </c>
      <c r="C983" s="28">
        <v>23.15</v>
      </c>
      <c r="D983" s="28" t="str">
        <f>_xlfn.XLOOKUP(B983,'Payee Ref'!A:A,'Payee Ref'!B:B,"unassigned",0,1)</f>
        <v>Subscriptions / Digital</v>
      </c>
      <c r="E983" s="29" t="str">
        <f>_xlfn.XLOOKUP(B983,'Payee Ref'!A:A,'Payee Ref'!C:C,"unassigned",0,1)</f>
        <v>Luxury</v>
      </c>
      <c r="F983" s="28" t="s">
        <v>2207</v>
      </c>
    </row>
    <row r="984" spans="1:6" x14ac:dyDescent="0.2">
      <c r="A984" s="30">
        <v>45810</v>
      </c>
      <c r="B984" s="28" t="s">
        <v>1583</v>
      </c>
      <c r="C984" s="28">
        <v>23.15</v>
      </c>
      <c r="D984" s="28" t="str">
        <f>_xlfn.XLOOKUP(B984,'Payee Ref'!A:A,'Payee Ref'!B:B,"unassigned",0,1)</f>
        <v>Subscriptions / Digital</v>
      </c>
      <c r="E984" s="29" t="str">
        <f>_xlfn.XLOOKUP(B984,'Payee Ref'!A:A,'Payee Ref'!C:C,"unassigned",0,1)</f>
        <v>Luxury</v>
      </c>
      <c r="F984" s="28" t="s">
        <v>2207</v>
      </c>
    </row>
    <row r="985" spans="1:6" x14ac:dyDescent="0.2">
      <c r="A985" s="30">
        <v>45779</v>
      </c>
      <c r="B985" s="31" t="s">
        <v>1755</v>
      </c>
      <c r="C985" s="28">
        <v>23.15</v>
      </c>
      <c r="D985" s="28" t="str">
        <f>_xlfn.XLOOKUP(B985,'Payee Ref'!A:A,'Payee Ref'!B:B,"unassigned",0,1)</f>
        <v>Subscriptions / Digital</v>
      </c>
      <c r="E985" s="29" t="str">
        <f>_xlfn.XLOOKUP(B985,'Payee Ref'!A:A,'Payee Ref'!C:C,"unassigned",0,1)</f>
        <v>Luxury</v>
      </c>
      <c r="F985" s="28" t="s">
        <v>2207</v>
      </c>
    </row>
    <row r="986" spans="1:6" x14ac:dyDescent="0.2">
      <c r="A986" s="30">
        <v>45749</v>
      </c>
      <c r="B986" s="31" t="s">
        <v>1755</v>
      </c>
      <c r="C986" s="28">
        <v>23.15</v>
      </c>
      <c r="D986" s="28" t="str">
        <f>_xlfn.XLOOKUP(B986,'Payee Ref'!A:A,'Payee Ref'!B:B,"unassigned",0,1)</f>
        <v>Subscriptions / Digital</v>
      </c>
      <c r="E986" s="29" t="str">
        <f>_xlfn.XLOOKUP(B986,'Payee Ref'!A:A,'Payee Ref'!C:C,"unassigned",0,1)</f>
        <v>Luxury</v>
      </c>
      <c r="F986" s="28" t="s">
        <v>2207</v>
      </c>
    </row>
    <row r="987" spans="1:6" x14ac:dyDescent="0.2">
      <c r="A987" s="30">
        <v>45718</v>
      </c>
      <c r="B987" s="31" t="s">
        <v>1755</v>
      </c>
      <c r="C987" s="28">
        <v>23.15</v>
      </c>
      <c r="D987" s="28" t="str">
        <f>_xlfn.XLOOKUP(B987,'Payee Ref'!A:A,'Payee Ref'!B:B,"unassigned",0,1)</f>
        <v>Subscriptions / Digital</v>
      </c>
      <c r="E987" s="29" t="str">
        <f>_xlfn.XLOOKUP(B987,'Payee Ref'!A:A,'Payee Ref'!C:C,"unassigned",0,1)</f>
        <v>Luxury</v>
      </c>
      <c r="F987" s="28" t="s">
        <v>2207</v>
      </c>
    </row>
    <row r="988" spans="1:6" x14ac:dyDescent="0.2">
      <c r="A988" s="30">
        <v>45690</v>
      </c>
      <c r="B988" s="31" t="s">
        <v>1755</v>
      </c>
      <c r="C988" s="28">
        <v>23.15</v>
      </c>
      <c r="D988" s="28" t="str">
        <f>_xlfn.XLOOKUP(B988,'Payee Ref'!A:A,'Payee Ref'!B:B,"unassigned",0,1)</f>
        <v>Subscriptions / Digital</v>
      </c>
      <c r="E988" s="29" t="str">
        <f>_xlfn.XLOOKUP(B988,'Payee Ref'!A:A,'Payee Ref'!C:C,"unassigned",0,1)</f>
        <v>Luxury</v>
      </c>
      <c r="F988" s="28" t="s">
        <v>2207</v>
      </c>
    </row>
    <row r="989" spans="1:6" x14ac:dyDescent="0.2">
      <c r="A989" s="30">
        <v>45659</v>
      </c>
      <c r="B989" s="31" t="s">
        <v>1755</v>
      </c>
      <c r="C989" s="28">
        <v>23.15</v>
      </c>
      <c r="D989" s="28" t="str">
        <f>_xlfn.XLOOKUP(B989,'Payee Ref'!A:A,'Payee Ref'!B:B,"unassigned",0,1)</f>
        <v>Subscriptions / Digital</v>
      </c>
      <c r="E989" s="29" t="str">
        <f>_xlfn.XLOOKUP(B989,'Payee Ref'!A:A,'Payee Ref'!C:C,"unassigned",0,1)</f>
        <v>Luxury</v>
      </c>
      <c r="F989" s="28" t="s">
        <v>2207</v>
      </c>
    </row>
    <row r="990" spans="1:6" x14ac:dyDescent="0.2">
      <c r="A990" s="30">
        <v>45932</v>
      </c>
      <c r="B990" s="28" t="s">
        <v>913</v>
      </c>
      <c r="C990" s="28">
        <v>23.15</v>
      </c>
      <c r="D990" s="28" t="str">
        <f>_xlfn.XLOOKUP(B990,'Payee Ref'!A:A,'Payee Ref'!B:B,"unassigned",0,1)</f>
        <v>Subscriptions / Digital</v>
      </c>
      <c r="E990" s="29" t="str">
        <f>_xlfn.XLOOKUP(B990,'Payee Ref'!A:A,'Payee Ref'!C:C,"unassigned",0,1)</f>
        <v>Luxury</v>
      </c>
      <c r="F990" s="28" t="s">
        <v>2207</v>
      </c>
    </row>
    <row r="991" spans="1:6" x14ac:dyDescent="0.2">
      <c r="A991" s="30">
        <v>45847</v>
      </c>
      <c r="B991" s="28" t="s">
        <v>1850</v>
      </c>
      <c r="C991" s="28">
        <v>23.18</v>
      </c>
      <c r="D991" s="28" t="str">
        <f>_xlfn.XLOOKUP(B991,'Payee Ref'!A:A,'Payee Ref'!B:B,"unassigned",0,1)</f>
        <v>Dining</v>
      </c>
      <c r="E991" s="29" t="str">
        <f>_xlfn.XLOOKUP(B991,'Payee Ref'!A:A,'Payee Ref'!C:C,"unassigned",0,1)</f>
        <v>Luxury</v>
      </c>
      <c r="F991" s="28" t="s">
        <v>2207</v>
      </c>
    </row>
    <row r="992" spans="1:6" x14ac:dyDescent="0.2">
      <c r="A992" s="30">
        <v>45735</v>
      </c>
      <c r="B992" s="28" t="s">
        <v>1952</v>
      </c>
      <c r="C992" s="28">
        <v>23.28</v>
      </c>
      <c r="D992" s="28" t="str">
        <f>_xlfn.XLOOKUP(B992,'Payee Ref'!A:A,'Payee Ref'!B:B,"unassigned",0,1)</f>
        <v>Groceries</v>
      </c>
      <c r="E992" s="29" t="str">
        <f>_xlfn.XLOOKUP(B992,'Payee Ref'!A:A,'Payee Ref'!C:C,"unassigned",0,1)</f>
        <v>Basic</v>
      </c>
      <c r="F992" s="28" t="s">
        <v>2207</v>
      </c>
    </row>
    <row r="993" spans="1:6" x14ac:dyDescent="0.2">
      <c r="A993" s="30">
        <v>45831</v>
      </c>
      <c r="B993" s="28" t="s">
        <v>1907</v>
      </c>
      <c r="C993" s="28">
        <v>23.29</v>
      </c>
      <c r="D993" s="28" t="str">
        <f>_xlfn.XLOOKUP(B993,'Payee Ref'!A:A,'Payee Ref'!B:B,"unassigned",0,1)</f>
        <v>Dining</v>
      </c>
      <c r="E993" s="29" t="str">
        <f>_xlfn.XLOOKUP(B993,'Payee Ref'!A:A,'Payee Ref'!C:C,"unassigned",0,1)</f>
        <v>Luxury</v>
      </c>
      <c r="F993" s="28" t="s">
        <v>2207</v>
      </c>
    </row>
    <row r="994" spans="1:6" x14ac:dyDescent="0.2">
      <c r="A994" s="30">
        <v>45985</v>
      </c>
      <c r="B994" s="28" t="s">
        <v>221</v>
      </c>
      <c r="C994" s="28">
        <v>23.29</v>
      </c>
      <c r="D994" s="28" t="str">
        <f>_xlfn.XLOOKUP(B994,'Payee Ref'!A:A,'Payee Ref'!B:B,"unassigned",0,1)</f>
        <v>Travel</v>
      </c>
      <c r="E994" s="29" t="str">
        <f>_xlfn.XLOOKUP(B994,'Payee Ref'!A:A,'Payee Ref'!C:C,"unassigned",0,1)</f>
        <v>Luxury</v>
      </c>
      <c r="F994" s="28" t="s">
        <v>2207</v>
      </c>
    </row>
    <row r="995" spans="1:6" x14ac:dyDescent="0.2">
      <c r="A995" s="30">
        <v>45724</v>
      </c>
      <c r="B995" s="28" t="s">
        <v>1588</v>
      </c>
      <c r="C995" s="28">
        <v>23.37</v>
      </c>
      <c r="D995" s="28" t="str">
        <f>_xlfn.XLOOKUP(B995,'Payee Ref'!A:A,'Payee Ref'!B:B,"unassigned",0,1)</f>
        <v>Groceries</v>
      </c>
      <c r="E995" s="29" t="str">
        <f>_xlfn.XLOOKUP(B995,'Payee Ref'!A:A,'Payee Ref'!C:C,"unassigned",0,1)</f>
        <v>Basic</v>
      </c>
      <c r="F995" s="28" t="s">
        <v>2207</v>
      </c>
    </row>
    <row r="996" spans="1:6" x14ac:dyDescent="0.2">
      <c r="A996" s="30">
        <v>45713</v>
      </c>
      <c r="B996" s="28" t="s">
        <v>1529</v>
      </c>
      <c r="C996" s="28">
        <v>23.75</v>
      </c>
      <c r="D996" s="28" t="str">
        <f>_xlfn.XLOOKUP(B996,'Payee Ref'!A:A,'Payee Ref'!B:B,"unassigned",0,1)</f>
        <v>Dining</v>
      </c>
      <c r="E996" s="29" t="str">
        <f>_xlfn.XLOOKUP(B996,'Payee Ref'!A:A,'Payee Ref'!C:C,"unassigned",0,1)</f>
        <v>Luxury</v>
      </c>
      <c r="F996" s="28" t="s">
        <v>2207</v>
      </c>
    </row>
    <row r="997" spans="1:6" x14ac:dyDescent="0.2">
      <c r="A997" s="30">
        <v>45913</v>
      </c>
      <c r="B997" s="28" t="s">
        <v>1588</v>
      </c>
      <c r="C997" s="28">
        <v>23.75</v>
      </c>
      <c r="D997" s="28" t="str">
        <f>_xlfn.XLOOKUP(B997,'Payee Ref'!A:A,'Payee Ref'!B:B,"unassigned",0,1)</f>
        <v>Groceries</v>
      </c>
      <c r="E997" s="29" t="str">
        <f>_xlfn.XLOOKUP(B997,'Payee Ref'!A:A,'Payee Ref'!C:C,"unassigned",0,1)</f>
        <v>Basic</v>
      </c>
      <c r="F997" s="28" t="s">
        <v>2207</v>
      </c>
    </row>
    <row r="998" spans="1:6" x14ac:dyDescent="0.2">
      <c r="A998" s="30">
        <v>45945</v>
      </c>
      <c r="B998" s="28" t="s">
        <v>168</v>
      </c>
      <c r="C998" s="28">
        <v>23.77</v>
      </c>
      <c r="D998" s="28" t="str">
        <f>_xlfn.XLOOKUP(B998,'Payee Ref'!A:A,'Payee Ref'!B:B,"unassigned",0,1)</f>
        <v>Dining</v>
      </c>
      <c r="E998" s="29" t="str">
        <f>_xlfn.XLOOKUP(B998,'Payee Ref'!A:A,'Payee Ref'!C:C,"unassigned",0,1)</f>
        <v>Luxury</v>
      </c>
      <c r="F998" s="28" t="s">
        <v>2207</v>
      </c>
    </row>
    <row r="999" spans="1:6" x14ac:dyDescent="0.2">
      <c r="A999" s="30">
        <v>45898</v>
      </c>
      <c r="B999" s="28" t="s">
        <v>1680</v>
      </c>
      <c r="C999" s="28">
        <v>23.79</v>
      </c>
      <c r="D999" s="28" t="str">
        <f>_xlfn.XLOOKUP(B999,'Payee Ref'!A:A,'Payee Ref'!B:B,"unassigned",0,1)</f>
        <v>unassigned</v>
      </c>
      <c r="E999" s="29" t="str">
        <f>_xlfn.XLOOKUP(B999,'Payee Ref'!A:A,'Payee Ref'!C:C,"unassigned",0,1)</f>
        <v>unassigned</v>
      </c>
      <c r="F999" s="28" t="s">
        <v>2207</v>
      </c>
    </row>
    <row r="1000" spans="1:6" x14ac:dyDescent="0.2">
      <c r="A1000" s="30">
        <v>45780</v>
      </c>
      <c r="B1000" s="28" t="s">
        <v>2013</v>
      </c>
      <c r="C1000" s="28">
        <v>23.81</v>
      </c>
      <c r="D1000" s="28" t="str">
        <f>_xlfn.XLOOKUP(B1000,'Payee Ref'!A:A,'Payee Ref'!B:B,"unassigned",0,1)</f>
        <v>Dining</v>
      </c>
      <c r="E1000" s="29" t="str">
        <f>_xlfn.XLOOKUP(B1000,'Payee Ref'!A:A,'Payee Ref'!C:C,"unassigned",0,1)</f>
        <v>Luxury</v>
      </c>
      <c r="F1000" s="28" t="s">
        <v>2207</v>
      </c>
    </row>
    <row r="1001" spans="1:6" x14ac:dyDescent="0.2">
      <c r="A1001" s="30">
        <v>45824</v>
      </c>
      <c r="B1001" s="28" t="s">
        <v>1848</v>
      </c>
      <c r="C1001" s="28">
        <v>24</v>
      </c>
      <c r="D1001" s="28" t="str">
        <f>_xlfn.XLOOKUP(B1001,'Payee Ref'!A:A,'Payee Ref'!B:B,"unassigned",0,1)</f>
        <v>Dining</v>
      </c>
      <c r="E1001" s="29" t="str">
        <f>_xlfn.XLOOKUP(B1001,'Payee Ref'!A:A,'Payee Ref'!C:C,"unassigned",0,1)</f>
        <v>Luxury</v>
      </c>
      <c r="F1001" s="28" t="s">
        <v>2207</v>
      </c>
    </row>
    <row r="1002" spans="1:6" x14ac:dyDescent="0.2">
      <c r="A1002" s="30">
        <v>45791</v>
      </c>
      <c r="B1002" s="28" t="s">
        <v>1554</v>
      </c>
      <c r="C1002" s="28">
        <v>24</v>
      </c>
      <c r="D1002" s="28" t="str">
        <f>_xlfn.XLOOKUP(B1002,'Payee Ref'!A:A,'Payee Ref'!B:B,"unassigned",0,1)</f>
        <v>Dining</v>
      </c>
      <c r="E1002" s="29" t="str">
        <f>_xlfn.XLOOKUP(B1002,'Payee Ref'!A:A,'Payee Ref'!C:C,"unassigned",0,1)</f>
        <v>Luxury</v>
      </c>
      <c r="F1002" s="28" t="s">
        <v>2207</v>
      </c>
    </row>
    <row r="1003" spans="1:6" x14ac:dyDescent="0.2">
      <c r="A1003" s="30">
        <v>45964</v>
      </c>
      <c r="B1003" s="28" t="s">
        <v>481</v>
      </c>
      <c r="C1003" s="28">
        <v>24</v>
      </c>
      <c r="D1003" s="28" t="str">
        <f>_xlfn.XLOOKUP(B1003,'Payee Ref'!A:A,'Payee Ref'!B:B,"unassigned",0,1)</f>
        <v>Enrichment</v>
      </c>
      <c r="E1003" s="29" t="str">
        <f>_xlfn.XLOOKUP(B1003,'Payee Ref'!A:A,'Payee Ref'!C:C,"unassigned",0,1)</f>
        <v>Basic</v>
      </c>
      <c r="F1003" s="28" t="s">
        <v>2207</v>
      </c>
    </row>
    <row r="1004" spans="1:6" x14ac:dyDescent="0.2">
      <c r="A1004" s="30">
        <v>45979</v>
      </c>
      <c r="B1004" s="28" t="s">
        <v>168</v>
      </c>
      <c r="C1004" s="28">
        <v>24.08</v>
      </c>
      <c r="D1004" s="28" t="str">
        <f>_xlfn.XLOOKUP(B1004,'Payee Ref'!A:A,'Payee Ref'!B:B,"unassigned",0,1)</f>
        <v>Dining</v>
      </c>
      <c r="E1004" s="29" t="str">
        <f>_xlfn.XLOOKUP(B1004,'Payee Ref'!A:A,'Payee Ref'!C:C,"unassigned",0,1)</f>
        <v>Luxury</v>
      </c>
      <c r="F1004" s="28" t="s">
        <v>2207</v>
      </c>
    </row>
    <row r="1005" spans="1:6" x14ac:dyDescent="0.2">
      <c r="A1005" s="30">
        <v>45957</v>
      </c>
      <c r="B1005" s="28" t="s">
        <v>168</v>
      </c>
      <c r="C1005" s="28">
        <v>24.08</v>
      </c>
      <c r="D1005" s="28" t="str">
        <f>_xlfn.XLOOKUP(B1005,'Payee Ref'!A:A,'Payee Ref'!B:B,"unassigned",0,1)</f>
        <v>Dining</v>
      </c>
      <c r="E1005" s="29" t="str">
        <f>_xlfn.XLOOKUP(B1005,'Payee Ref'!A:A,'Payee Ref'!C:C,"unassigned",0,1)</f>
        <v>Luxury</v>
      </c>
      <c r="F1005" s="28" t="s">
        <v>2207</v>
      </c>
    </row>
    <row r="1006" spans="1:6" x14ac:dyDescent="0.2">
      <c r="A1006" s="30">
        <v>45954</v>
      </c>
      <c r="B1006" s="28" t="s">
        <v>168</v>
      </c>
      <c r="C1006" s="28">
        <v>24.08</v>
      </c>
      <c r="D1006" s="28" t="str">
        <f>_xlfn.XLOOKUP(B1006,'Payee Ref'!A:A,'Payee Ref'!B:B,"unassigned",0,1)</f>
        <v>Dining</v>
      </c>
      <c r="E1006" s="29" t="str">
        <f>_xlfn.XLOOKUP(B1006,'Payee Ref'!A:A,'Payee Ref'!C:C,"unassigned",0,1)</f>
        <v>Luxury</v>
      </c>
      <c r="F1006" s="28" t="s">
        <v>2207</v>
      </c>
    </row>
    <row r="1007" spans="1:6" x14ac:dyDescent="0.2">
      <c r="A1007" s="30">
        <v>45946</v>
      </c>
      <c r="B1007" s="28" t="s">
        <v>168</v>
      </c>
      <c r="C1007" s="28">
        <v>24.08</v>
      </c>
      <c r="D1007" s="28" t="str">
        <f>_xlfn.XLOOKUP(B1007,'Payee Ref'!A:A,'Payee Ref'!B:B,"unassigned",0,1)</f>
        <v>Dining</v>
      </c>
      <c r="E1007" s="29" t="str">
        <f>_xlfn.XLOOKUP(B1007,'Payee Ref'!A:A,'Payee Ref'!C:C,"unassigned",0,1)</f>
        <v>Luxury</v>
      </c>
      <c r="F1007" s="28" t="s">
        <v>2207</v>
      </c>
    </row>
    <row r="1008" spans="1:6" x14ac:dyDescent="0.2">
      <c r="A1008" s="30">
        <v>45939</v>
      </c>
      <c r="B1008" s="28" t="s">
        <v>168</v>
      </c>
      <c r="C1008" s="28">
        <v>24.08</v>
      </c>
      <c r="D1008" s="28" t="str">
        <f>_xlfn.XLOOKUP(B1008,'Payee Ref'!A:A,'Payee Ref'!B:B,"unassigned",0,1)</f>
        <v>Dining</v>
      </c>
      <c r="E1008" s="29" t="str">
        <f>_xlfn.XLOOKUP(B1008,'Payee Ref'!A:A,'Payee Ref'!C:C,"unassigned",0,1)</f>
        <v>Luxury</v>
      </c>
      <c r="F1008" s="28" t="s">
        <v>2207</v>
      </c>
    </row>
    <row r="1009" spans="1:6" x14ac:dyDescent="0.2">
      <c r="A1009" s="30">
        <v>45936</v>
      </c>
      <c r="B1009" s="28" t="s">
        <v>168</v>
      </c>
      <c r="C1009" s="28">
        <v>24.08</v>
      </c>
      <c r="D1009" s="28" t="str">
        <f>_xlfn.XLOOKUP(B1009,'Payee Ref'!A:A,'Payee Ref'!B:B,"unassigned",0,1)</f>
        <v>Dining</v>
      </c>
      <c r="E1009" s="29" t="str">
        <f>_xlfn.XLOOKUP(B1009,'Payee Ref'!A:A,'Payee Ref'!C:C,"unassigned",0,1)</f>
        <v>Luxury</v>
      </c>
      <c r="F1009" s="28" t="s">
        <v>2207</v>
      </c>
    </row>
    <row r="1010" spans="1:6" x14ac:dyDescent="0.2">
      <c r="A1010" s="30">
        <v>45681</v>
      </c>
      <c r="B1010" s="28" t="s">
        <v>2083</v>
      </c>
      <c r="C1010" s="28">
        <v>24.12</v>
      </c>
      <c r="D1010" s="28" t="str">
        <f>_xlfn.XLOOKUP(B1010,'Payee Ref'!A:A,'Payee Ref'!B:B,"unassigned",0,1)</f>
        <v>Dining</v>
      </c>
      <c r="E1010" s="29" t="str">
        <f>_xlfn.XLOOKUP(B1010,'Payee Ref'!A:A,'Payee Ref'!C:C,"unassigned",0,1)</f>
        <v>Luxury</v>
      </c>
      <c r="F1010" s="28" t="s">
        <v>2207</v>
      </c>
    </row>
    <row r="1011" spans="1:6" x14ac:dyDescent="0.2">
      <c r="A1011" s="30">
        <v>45883</v>
      </c>
      <c r="B1011" s="28" t="s">
        <v>1565</v>
      </c>
      <c r="C1011" s="28">
        <v>24.19</v>
      </c>
      <c r="D1011" s="28" t="str">
        <f>_xlfn.XLOOKUP(B1011,'Payee Ref'!A:A,'Payee Ref'!B:B,"unassigned",0,1)</f>
        <v>Home &amp; Garden</v>
      </c>
      <c r="E1011" s="29" t="str">
        <f>_xlfn.XLOOKUP(B1011,'Payee Ref'!A:A,'Payee Ref'!C:C,"unassigned",0,1)</f>
        <v>Basic</v>
      </c>
      <c r="F1011" s="28" t="s">
        <v>2207</v>
      </c>
    </row>
    <row r="1012" spans="1:6" x14ac:dyDescent="0.2">
      <c r="A1012" s="30">
        <v>45821</v>
      </c>
      <c r="B1012" s="28" t="s">
        <v>1754</v>
      </c>
      <c r="C1012" s="28">
        <v>24.22</v>
      </c>
      <c r="D1012" s="28" t="str">
        <f>_xlfn.XLOOKUP(B1012,'Payee Ref'!A:A,'Payee Ref'!B:B,"unassigned",0,1)</f>
        <v>Utilities</v>
      </c>
      <c r="E1012" s="29" t="str">
        <f>_xlfn.XLOOKUP(B1012,'Payee Ref'!A:A,'Payee Ref'!C:C,"unassigned",0,1)</f>
        <v>Basic</v>
      </c>
      <c r="F1012" s="28" t="s">
        <v>2207</v>
      </c>
    </row>
    <row r="1013" spans="1:6" x14ac:dyDescent="0.2">
      <c r="A1013" s="30">
        <v>45869</v>
      </c>
      <c r="B1013" s="28" t="s">
        <v>1771</v>
      </c>
      <c r="C1013" s="28">
        <v>24.24</v>
      </c>
      <c r="D1013" s="28" t="str">
        <f>_xlfn.XLOOKUP(B1013,'Payee Ref'!A:A,'Payee Ref'!B:B,"unassigned",0,1)</f>
        <v>unassigned</v>
      </c>
      <c r="E1013" s="29" t="str">
        <f>_xlfn.XLOOKUP(B1013,'Payee Ref'!A:A,'Payee Ref'!C:C,"unassigned",0,1)</f>
        <v>unassigned</v>
      </c>
      <c r="F1013" s="28" t="s">
        <v>2207</v>
      </c>
    </row>
    <row r="1014" spans="1:6" x14ac:dyDescent="0.2">
      <c r="A1014" s="30">
        <v>45786</v>
      </c>
      <c r="B1014" s="28" t="s">
        <v>2007</v>
      </c>
      <c r="C1014" s="28">
        <v>24.25</v>
      </c>
      <c r="D1014" s="28" t="str">
        <f>_xlfn.XLOOKUP(B1014,'Payee Ref'!A:A,'Payee Ref'!B:B,"unassigned",0,1)</f>
        <v>Pets</v>
      </c>
      <c r="E1014" s="29" t="str">
        <f>_xlfn.XLOOKUP(B1014,'Payee Ref'!A:A,'Payee Ref'!C:C,"unassigned",0,1)</f>
        <v>Luxury</v>
      </c>
      <c r="F1014" s="28" t="s">
        <v>2207</v>
      </c>
    </row>
    <row r="1015" spans="1:6" x14ac:dyDescent="0.2">
      <c r="A1015" s="30">
        <v>45793</v>
      </c>
      <c r="B1015" s="28" t="s">
        <v>1600</v>
      </c>
      <c r="C1015" s="28">
        <v>24.26</v>
      </c>
      <c r="D1015" s="28" t="str">
        <f>_xlfn.XLOOKUP(B1015,'Payee Ref'!A:A,'Payee Ref'!B:B,"unassigned",0,1)</f>
        <v>Pets</v>
      </c>
      <c r="E1015" s="29" t="str">
        <f>_xlfn.XLOOKUP(B1015,'Payee Ref'!A:A,'Payee Ref'!C:C,"unassigned",0,1)</f>
        <v>Luxury</v>
      </c>
      <c r="F1015" s="28" t="s">
        <v>2207</v>
      </c>
    </row>
    <row r="1016" spans="1:6" x14ac:dyDescent="0.2">
      <c r="A1016" s="30">
        <v>45950</v>
      </c>
      <c r="B1016" s="28" t="s">
        <v>168</v>
      </c>
      <c r="C1016" s="28">
        <v>24.74</v>
      </c>
      <c r="D1016" s="28" t="str">
        <f>_xlfn.XLOOKUP(B1016,'Payee Ref'!A:A,'Payee Ref'!B:B,"unassigned",0,1)</f>
        <v>Dining</v>
      </c>
      <c r="E1016" s="29" t="str">
        <f>_xlfn.XLOOKUP(B1016,'Payee Ref'!A:A,'Payee Ref'!C:C,"unassigned",0,1)</f>
        <v>Luxury</v>
      </c>
      <c r="F1016" s="28" t="s">
        <v>2207</v>
      </c>
    </row>
    <row r="1017" spans="1:6" x14ac:dyDescent="0.2">
      <c r="A1017" s="30">
        <v>45988</v>
      </c>
      <c r="B1017" s="28" t="s">
        <v>1525</v>
      </c>
      <c r="C1017" s="28">
        <v>24.8</v>
      </c>
      <c r="D1017" s="28" t="str">
        <f>_xlfn.XLOOKUP(B1017,'Payee Ref'!A:A,'Payee Ref'!B:B,"unassigned",0,1)</f>
        <v>unassigned</v>
      </c>
      <c r="E1017" s="29" t="str">
        <f>_xlfn.XLOOKUP(B1017,'Payee Ref'!A:A,'Payee Ref'!C:C,"unassigned",0,1)</f>
        <v>unassigned</v>
      </c>
      <c r="F1017" s="28" t="s">
        <v>2207</v>
      </c>
    </row>
    <row r="1018" spans="1:6" x14ac:dyDescent="0.2">
      <c r="A1018" s="30">
        <v>45774</v>
      </c>
      <c r="B1018" s="28" t="s">
        <v>1603</v>
      </c>
      <c r="C1018" s="28">
        <v>24.82</v>
      </c>
      <c r="D1018" s="28" t="str">
        <f>_xlfn.XLOOKUP(B1018,'Payee Ref'!A:A,'Payee Ref'!B:B,"unassigned",0,1)</f>
        <v>Auto</v>
      </c>
      <c r="E1018" s="29" t="str">
        <f>_xlfn.XLOOKUP(B1018,'Payee Ref'!A:A,'Payee Ref'!C:C,"unassigned",0,1)</f>
        <v>Basic</v>
      </c>
      <c r="F1018" s="28" t="s">
        <v>2207</v>
      </c>
    </row>
    <row r="1019" spans="1:6" x14ac:dyDescent="0.2">
      <c r="A1019" s="30">
        <v>45696</v>
      </c>
      <c r="B1019" s="28" t="s">
        <v>1536</v>
      </c>
      <c r="C1019" s="28">
        <v>24.95</v>
      </c>
      <c r="D1019" s="28" t="str">
        <f>_xlfn.XLOOKUP(B1019,'Payee Ref'!A:A,'Payee Ref'!B:B,"unassigned",0,1)</f>
        <v>Groceries</v>
      </c>
      <c r="E1019" s="29" t="str">
        <f>_xlfn.XLOOKUP(B1019,'Payee Ref'!A:A,'Payee Ref'!C:C,"unassigned",0,1)</f>
        <v>Basic</v>
      </c>
      <c r="F1019" s="28" t="s">
        <v>2207</v>
      </c>
    </row>
    <row r="1020" spans="1:6" x14ac:dyDescent="0.2">
      <c r="A1020" s="30">
        <v>45962</v>
      </c>
      <c r="B1020" s="28" t="s">
        <v>118</v>
      </c>
      <c r="C1020" s="28">
        <v>25</v>
      </c>
      <c r="D1020" s="28" t="str">
        <f>_xlfn.XLOOKUP(B1020,'Payee Ref'!A:A,'Payee Ref'!B:B,"unassigned",0,1)</f>
        <v>Clothing</v>
      </c>
      <c r="E1020" s="29" t="str">
        <f>_xlfn.XLOOKUP(B1020,'Payee Ref'!A:A,'Payee Ref'!C:C,"unassigned",0,1)</f>
        <v>Luxury</v>
      </c>
      <c r="F1020" s="28" t="s">
        <v>2207</v>
      </c>
    </row>
    <row r="1021" spans="1:6" x14ac:dyDescent="0.2">
      <c r="A1021" s="30">
        <v>45739</v>
      </c>
      <c r="B1021" s="28" t="s">
        <v>2070</v>
      </c>
      <c r="C1021" s="28">
        <v>25</v>
      </c>
      <c r="D1021" s="28" t="str">
        <f>_xlfn.XLOOKUP(B1021,'Payee Ref'!A:A,'Payee Ref'!B:B,"unassigned",0,1)</f>
        <v>Dining</v>
      </c>
      <c r="E1021" s="29" t="str">
        <f>_xlfn.XLOOKUP(B1021,'Payee Ref'!A:A,'Payee Ref'!C:C,"unassigned",0,1)</f>
        <v>Luxury</v>
      </c>
      <c r="F1021" s="28" t="s">
        <v>2207</v>
      </c>
    </row>
    <row r="1022" spans="1:6" x14ac:dyDescent="0.2">
      <c r="A1022" s="30">
        <v>45855</v>
      </c>
      <c r="B1022" s="28" t="s">
        <v>1827</v>
      </c>
      <c r="C1022" s="28">
        <v>25</v>
      </c>
      <c r="D1022" s="28" t="str">
        <f>_xlfn.XLOOKUP(B1022,'Payee Ref'!A:A,'Payee Ref'!B:B,"unassigned",0,1)</f>
        <v>unassigned</v>
      </c>
      <c r="E1022" s="29" t="str">
        <f>_xlfn.XLOOKUP(B1022,'Payee Ref'!A:A,'Payee Ref'!C:C,"unassigned",0,1)</f>
        <v>unassigned</v>
      </c>
      <c r="F1022" s="28" t="s">
        <v>2207</v>
      </c>
    </row>
    <row r="1023" spans="1:6" x14ac:dyDescent="0.2">
      <c r="A1023" s="30">
        <v>45961</v>
      </c>
      <c r="B1023" s="28" t="s">
        <v>190</v>
      </c>
      <c r="C1023" s="28">
        <v>25.02</v>
      </c>
      <c r="D1023" s="28" t="str">
        <f>_xlfn.XLOOKUP(B1023,'Payee Ref'!A:A,'Payee Ref'!B:B,"unassigned",0,1)</f>
        <v>Travel</v>
      </c>
      <c r="E1023" s="29" t="str">
        <f>_xlfn.XLOOKUP(B1023,'Payee Ref'!A:A,'Payee Ref'!C:C,"unassigned",0,1)</f>
        <v>Luxury</v>
      </c>
      <c r="F1023" s="28" t="s">
        <v>2207</v>
      </c>
    </row>
    <row r="1024" spans="1:6" x14ac:dyDescent="0.2">
      <c r="A1024" s="30">
        <v>45872</v>
      </c>
      <c r="B1024" s="28" t="s">
        <v>1751</v>
      </c>
      <c r="C1024" s="28">
        <v>25.04</v>
      </c>
      <c r="D1024" s="28" t="str">
        <f>_xlfn.XLOOKUP(B1024,'Payee Ref'!A:A,'Payee Ref'!B:B,"unassigned",0,1)</f>
        <v>unassigned</v>
      </c>
      <c r="E1024" s="29" t="str">
        <f>_xlfn.XLOOKUP(B1024,'Payee Ref'!A:A,'Payee Ref'!C:C,"unassigned",0,1)</f>
        <v>unassigned</v>
      </c>
      <c r="F1024" s="28" t="s">
        <v>2207</v>
      </c>
    </row>
    <row r="1025" spans="1:6" x14ac:dyDescent="0.2">
      <c r="A1025" s="30">
        <v>45931</v>
      </c>
      <c r="B1025" s="28" t="s">
        <v>1534</v>
      </c>
      <c r="C1025" s="28">
        <v>25.06</v>
      </c>
      <c r="D1025" s="28" t="str">
        <f>_xlfn.XLOOKUP(B1025,'Payee Ref'!A:A,'Payee Ref'!B:B,"unassigned",0,1)</f>
        <v>Dining</v>
      </c>
      <c r="E1025" s="29" t="str">
        <f>_xlfn.XLOOKUP(B1025,'Payee Ref'!A:A,'Payee Ref'!C:C,"unassigned",0,1)</f>
        <v>Luxury</v>
      </c>
      <c r="F1025" s="28" t="s">
        <v>2207</v>
      </c>
    </row>
    <row r="1026" spans="1:6" x14ac:dyDescent="0.2">
      <c r="A1026" s="30">
        <v>45929</v>
      </c>
      <c r="B1026" s="28" t="s">
        <v>1534</v>
      </c>
      <c r="C1026" s="28">
        <v>25.06</v>
      </c>
      <c r="D1026" s="28" t="str">
        <f>_xlfn.XLOOKUP(B1026,'Payee Ref'!A:A,'Payee Ref'!B:B,"unassigned",0,1)</f>
        <v>Dining</v>
      </c>
      <c r="E1026" s="29" t="str">
        <f>_xlfn.XLOOKUP(B1026,'Payee Ref'!A:A,'Payee Ref'!C:C,"unassigned",0,1)</f>
        <v>Luxury</v>
      </c>
      <c r="F1026" s="28" t="s">
        <v>2207</v>
      </c>
    </row>
    <row r="1027" spans="1:6" x14ac:dyDescent="0.2">
      <c r="A1027" s="30">
        <v>45964</v>
      </c>
      <c r="B1027" s="28" t="s">
        <v>168</v>
      </c>
      <c r="C1027" s="28">
        <v>25.06</v>
      </c>
      <c r="D1027" s="28" t="str">
        <f>_xlfn.XLOOKUP(B1027,'Payee Ref'!A:A,'Payee Ref'!B:B,"unassigned",0,1)</f>
        <v>Dining</v>
      </c>
      <c r="E1027" s="29" t="str">
        <f>_xlfn.XLOOKUP(B1027,'Payee Ref'!A:A,'Payee Ref'!C:C,"unassigned",0,1)</f>
        <v>Luxury</v>
      </c>
      <c r="F1027" s="28" t="s">
        <v>2207</v>
      </c>
    </row>
    <row r="1028" spans="1:6" x14ac:dyDescent="0.2">
      <c r="A1028" s="30">
        <v>45958</v>
      </c>
      <c r="B1028" s="28" t="s">
        <v>168</v>
      </c>
      <c r="C1028" s="28">
        <v>25.06</v>
      </c>
      <c r="D1028" s="28" t="str">
        <f>_xlfn.XLOOKUP(B1028,'Payee Ref'!A:A,'Payee Ref'!B:B,"unassigned",0,1)</f>
        <v>Dining</v>
      </c>
      <c r="E1028" s="29" t="str">
        <f>_xlfn.XLOOKUP(B1028,'Payee Ref'!A:A,'Payee Ref'!C:C,"unassigned",0,1)</f>
        <v>Luxury</v>
      </c>
      <c r="F1028" s="28" t="s">
        <v>2207</v>
      </c>
    </row>
    <row r="1029" spans="1:6" x14ac:dyDescent="0.2">
      <c r="A1029" s="30">
        <v>45944</v>
      </c>
      <c r="B1029" s="28" t="s">
        <v>168</v>
      </c>
      <c r="C1029" s="28">
        <v>25.06</v>
      </c>
      <c r="D1029" s="28" t="str">
        <f>_xlfn.XLOOKUP(B1029,'Payee Ref'!A:A,'Payee Ref'!B:B,"unassigned",0,1)</f>
        <v>Dining</v>
      </c>
      <c r="E1029" s="29" t="str">
        <f>_xlfn.XLOOKUP(B1029,'Payee Ref'!A:A,'Payee Ref'!C:C,"unassigned",0,1)</f>
        <v>Luxury</v>
      </c>
      <c r="F1029" s="28" t="s">
        <v>2207</v>
      </c>
    </row>
    <row r="1030" spans="1:6" x14ac:dyDescent="0.2">
      <c r="A1030" s="30">
        <v>45939</v>
      </c>
      <c r="B1030" s="28" t="s">
        <v>168</v>
      </c>
      <c r="C1030" s="28">
        <v>25.06</v>
      </c>
      <c r="D1030" s="28" t="str">
        <f>_xlfn.XLOOKUP(B1030,'Payee Ref'!A:A,'Payee Ref'!B:B,"unassigned",0,1)</f>
        <v>Dining</v>
      </c>
      <c r="E1030" s="29" t="str">
        <f>_xlfn.XLOOKUP(B1030,'Payee Ref'!A:A,'Payee Ref'!C:C,"unassigned",0,1)</f>
        <v>Luxury</v>
      </c>
      <c r="F1030" s="28" t="s">
        <v>2207</v>
      </c>
    </row>
    <row r="1031" spans="1:6" x14ac:dyDescent="0.2">
      <c r="A1031" s="30">
        <v>45927</v>
      </c>
      <c r="B1031" s="28" t="s">
        <v>1617</v>
      </c>
      <c r="C1031" s="28">
        <v>25.1</v>
      </c>
      <c r="D1031" s="28" t="str">
        <f>_xlfn.XLOOKUP(B1031,'Payee Ref'!A:A,'Payee Ref'!B:B,"unassigned",0,1)</f>
        <v>Travel</v>
      </c>
      <c r="E1031" s="29" t="str">
        <f>_xlfn.XLOOKUP(B1031,'Payee Ref'!A:A,'Payee Ref'!C:C,"unassigned",0,1)</f>
        <v>Luxury</v>
      </c>
      <c r="F1031" s="28" t="s">
        <v>2207</v>
      </c>
    </row>
    <row r="1032" spans="1:6" x14ac:dyDescent="0.2">
      <c r="A1032" s="30">
        <v>45878</v>
      </c>
      <c r="B1032" s="28" t="s">
        <v>1743</v>
      </c>
      <c r="C1032" s="28">
        <v>25.13</v>
      </c>
      <c r="D1032" s="28" t="str">
        <f>_xlfn.XLOOKUP(B1032,'Payee Ref'!A:A,'Payee Ref'!B:B,"unassigned",0,1)</f>
        <v>unassigned</v>
      </c>
      <c r="E1032" s="29" t="str">
        <f>_xlfn.XLOOKUP(B1032,'Payee Ref'!A:A,'Payee Ref'!C:C,"unassigned",0,1)</f>
        <v>unassigned</v>
      </c>
      <c r="F1032" s="28" t="s">
        <v>2207</v>
      </c>
    </row>
    <row r="1033" spans="1:6" x14ac:dyDescent="0.2">
      <c r="A1033" s="30">
        <v>45767</v>
      </c>
      <c r="B1033" s="31" t="s">
        <v>2031</v>
      </c>
      <c r="C1033" s="28">
        <v>25.34</v>
      </c>
      <c r="D1033" s="28" t="str">
        <f>_xlfn.XLOOKUP(B1033,'Payee Ref'!A:A,'Payee Ref'!B:B,"unassigned",0,1)</f>
        <v>Home &amp; Garden</v>
      </c>
      <c r="E1033" s="29" t="str">
        <f>_xlfn.XLOOKUP(B1033,'Payee Ref'!A:A,'Payee Ref'!C:C,"unassigned",0,1)</f>
        <v>Basic</v>
      </c>
      <c r="F1033" s="28" t="s">
        <v>2207</v>
      </c>
    </row>
    <row r="1034" spans="1:6" x14ac:dyDescent="0.2">
      <c r="A1034" s="30">
        <v>45981</v>
      </c>
      <c r="B1034" s="28" t="s">
        <v>39</v>
      </c>
      <c r="C1034" s="28">
        <v>25.36</v>
      </c>
      <c r="D1034" s="28" t="str">
        <f>_xlfn.XLOOKUP(B1034,'Payee Ref'!A:A,'Payee Ref'!B:B,"unassigned",0,1)</f>
        <v>Auto</v>
      </c>
      <c r="E1034" s="29" t="str">
        <f>_xlfn.XLOOKUP(B1034,'Payee Ref'!A:A,'Payee Ref'!C:C,"unassigned",0,1)</f>
        <v>Basic</v>
      </c>
      <c r="F1034" s="28" t="s">
        <v>2207</v>
      </c>
    </row>
    <row r="1035" spans="1:6" x14ac:dyDescent="0.2">
      <c r="A1035" s="30">
        <v>45771</v>
      </c>
      <c r="B1035" s="28" t="s">
        <v>1534</v>
      </c>
      <c r="C1035" s="28">
        <v>25.36</v>
      </c>
      <c r="D1035" s="28" t="str">
        <f>_xlfn.XLOOKUP(B1035,'Payee Ref'!A:A,'Payee Ref'!B:B,"unassigned",0,1)</f>
        <v>Dining</v>
      </c>
      <c r="E1035" s="29" t="str">
        <f>_xlfn.XLOOKUP(B1035,'Payee Ref'!A:A,'Payee Ref'!C:C,"unassigned",0,1)</f>
        <v>Luxury</v>
      </c>
      <c r="F1035" s="28" t="s">
        <v>2207</v>
      </c>
    </row>
    <row r="1036" spans="1:6" x14ac:dyDescent="0.2">
      <c r="A1036" s="30">
        <v>45963</v>
      </c>
      <c r="B1036" s="28" t="s">
        <v>913</v>
      </c>
      <c r="C1036" s="28">
        <v>25.36</v>
      </c>
      <c r="D1036" s="28" t="str">
        <f>_xlfn.XLOOKUP(B1036,'Payee Ref'!A:A,'Payee Ref'!B:B,"unassigned",0,1)</f>
        <v>Subscriptions / Digital</v>
      </c>
      <c r="E1036" s="29" t="str">
        <f>_xlfn.XLOOKUP(B1036,'Payee Ref'!A:A,'Payee Ref'!C:C,"unassigned",0,1)</f>
        <v>Luxury</v>
      </c>
      <c r="F1036" s="28" t="s">
        <v>2207</v>
      </c>
    </row>
    <row r="1037" spans="1:6" x14ac:dyDescent="0.2">
      <c r="A1037" s="30">
        <v>45702</v>
      </c>
      <c r="B1037" s="32" t="s">
        <v>1598</v>
      </c>
      <c r="C1037" s="28">
        <v>25.37</v>
      </c>
      <c r="D1037" s="28" t="str">
        <f>_xlfn.XLOOKUP(B1037,'Payee Ref'!A:A,'Payee Ref'!B:B,"unassigned",0,1)</f>
        <v>Subscriptions / Digital</v>
      </c>
      <c r="E1037" s="29" t="str">
        <f>_xlfn.XLOOKUP(B1037,'Payee Ref'!A:A,'Payee Ref'!C:C,"unassigned",0,1)</f>
        <v>Luxury</v>
      </c>
      <c r="F1037" s="28" t="s">
        <v>2207</v>
      </c>
    </row>
    <row r="1038" spans="1:6" x14ac:dyDescent="0.2">
      <c r="A1038" s="30">
        <v>45671</v>
      </c>
      <c r="B1038" s="31" t="s">
        <v>1835</v>
      </c>
      <c r="C1038" s="28">
        <v>25.37</v>
      </c>
      <c r="D1038" s="28" t="str">
        <f>_xlfn.XLOOKUP(B1038,'Payee Ref'!A:A,'Payee Ref'!B:B,"unassigned",0,1)</f>
        <v>Subscriptions / Digital</v>
      </c>
      <c r="E1038" s="29" t="str">
        <f>_xlfn.XLOOKUP(B1038,'Payee Ref'!A:A,'Payee Ref'!C:C,"unassigned",0,1)</f>
        <v>Luxury</v>
      </c>
      <c r="F1038" s="28" t="s">
        <v>2207</v>
      </c>
    </row>
    <row r="1039" spans="1:6" x14ac:dyDescent="0.2">
      <c r="A1039" s="30">
        <v>45765</v>
      </c>
      <c r="B1039" s="28" t="s">
        <v>2034</v>
      </c>
      <c r="C1039" s="28">
        <v>25.49</v>
      </c>
      <c r="D1039" s="28" t="str">
        <f>_xlfn.XLOOKUP(B1039,'Payee Ref'!A:A,'Payee Ref'!B:B,"unassigned",0,1)</f>
        <v>Health &amp; Medical</v>
      </c>
      <c r="E1039" s="29" t="str">
        <f>_xlfn.XLOOKUP(B1039,'Payee Ref'!A:A,'Payee Ref'!C:C,"unassigned",0,1)</f>
        <v>Basic</v>
      </c>
      <c r="F1039" s="28" t="s">
        <v>2207</v>
      </c>
    </row>
    <row r="1040" spans="1:6" x14ac:dyDescent="0.2">
      <c r="A1040" s="30">
        <v>45693</v>
      </c>
      <c r="B1040" s="28" t="s">
        <v>72</v>
      </c>
      <c r="C1040" s="28">
        <v>25.6</v>
      </c>
      <c r="D1040" s="28" t="str">
        <f>_xlfn.XLOOKUP(B1040,'Payee Ref'!A:A,'Payee Ref'!B:B,"unassigned",0,1)</f>
        <v>Bank Fees</v>
      </c>
      <c r="E1040" s="29" t="str">
        <f>_xlfn.XLOOKUP(B1040,'Payee Ref'!A:A,'Payee Ref'!C:C,"unassigned",0,1)</f>
        <v>Luxury</v>
      </c>
      <c r="F1040" s="28" t="s">
        <v>2207</v>
      </c>
    </row>
    <row r="1041" spans="1:6" x14ac:dyDescent="0.2">
      <c r="A1041" s="30">
        <v>45713</v>
      </c>
      <c r="B1041" s="28" t="s">
        <v>1534</v>
      </c>
      <c r="C1041" s="28">
        <v>25.7</v>
      </c>
      <c r="D1041" s="28" t="str">
        <f>_xlfn.XLOOKUP(B1041,'Payee Ref'!A:A,'Payee Ref'!B:B,"unassigned",0,1)</f>
        <v>Dining</v>
      </c>
      <c r="E1041" s="29" t="str">
        <f>_xlfn.XLOOKUP(B1041,'Payee Ref'!A:A,'Payee Ref'!C:C,"unassigned",0,1)</f>
        <v>Luxury</v>
      </c>
      <c r="F1041" s="28" t="s">
        <v>2207</v>
      </c>
    </row>
    <row r="1042" spans="1:6" x14ac:dyDescent="0.2">
      <c r="A1042" s="30">
        <v>45861</v>
      </c>
      <c r="B1042" s="28" t="s">
        <v>1808</v>
      </c>
      <c r="C1042" s="28">
        <v>25.84</v>
      </c>
      <c r="D1042" s="28" t="str">
        <f>_xlfn.XLOOKUP(B1042,'Payee Ref'!A:A,'Payee Ref'!B:B,"unassigned",0,1)</f>
        <v>unassigned</v>
      </c>
      <c r="E1042" s="29" t="str">
        <f>_xlfn.XLOOKUP(B1042,'Payee Ref'!A:A,'Payee Ref'!C:C,"unassigned",0,1)</f>
        <v>unassigned</v>
      </c>
      <c r="F1042" s="28" t="s">
        <v>2207</v>
      </c>
    </row>
    <row r="1043" spans="1:6" x14ac:dyDescent="0.2">
      <c r="A1043" s="30">
        <v>45701</v>
      </c>
      <c r="B1043" s="28" t="s">
        <v>1547</v>
      </c>
      <c r="C1043" s="28">
        <v>25.88</v>
      </c>
      <c r="D1043" s="28" t="str">
        <f>_xlfn.XLOOKUP(B1043,'Payee Ref'!A:A,'Payee Ref'!B:B,"unassigned",0,1)</f>
        <v>Pharmacy</v>
      </c>
      <c r="E1043" s="29" t="str">
        <f>_xlfn.XLOOKUP(B1043,'Payee Ref'!A:A,'Payee Ref'!C:C,"unassigned",0,1)</f>
        <v>Basic</v>
      </c>
      <c r="F1043" s="28" t="s">
        <v>2207</v>
      </c>
    </row>
    <row r="1044" spans="1:6" x14ac:dyDescent="0.2">
      <c r="A1044" s="30">
        <v>45755</v>
      </c>
      <c r="B1044" s="28" t="s">
        <v>1588</v>
      </c>
      <c r="C1044" s="28">
        <v>25.89</v>
      </c>
      <c r="D1044" s="28" t="str">
        <f>_xlfn.XLOOKUP(B1044,'Payee Ref'!A:A,'Payee Ref'!B:B,"unassigned",0,1)</f>
        <v>Groceries</v>
      </c>
      <c r="E1044" s="29" t="str">
        <f>_xlfn.XLOOKUP(B1044,'Payee Ref'!A:A,'Payee Ref'!C:C,"unassigned",0,1)</f>
        <v>Basic</v>
      </c>
      <c r="F1044" s="28" t="s">
        <v>2207</v>
      </c>
    </row>
    <row r="1045" spans="1:6" x14ac:dyDescent="0.2">
      <c r="A1045" s="30">
        <v>45724</v>
      </c>
      <c r="B1045" s="28" t="s">
        <v>2099</v>
      </c>
      <c r="C1045" s="28">
        <v>25.89</v>
      </c>
      <c r="D1045" s="28" t="str">
        <f>_xlfn.XLOOKUP(B1045,'Payee Ref'!A:A,'Payee Ref'!B:B,"unassigned",0,1)</f>
        <v>Travel</v>
      </c>
      <c r="E1045" s="29" t="str">
        <f>_xlfn.XLOOKUP(B1045,'Payee Ref'!A:A,'Payee Ref'!C:C,"unassigned",0,1)</f>
        <v>Luxury</v>
      </c>
      <c r="F1045" s="28" t="s">
        <v>2207</v>
      </c>
    </row>
    <row r="1046" spans="1:6" x14ac:dyDescent="0.2">
      <c r="A1046" s="30">
        <v>45724</v>
      </c>
      <c r="B1046" s="28" t="s">
        <v>2099</v>
      </c>
      <c r="C1046" s="28">
        <v>25.89</v>
      </c>
      <c r="D1046" s="28" t="str">
        <f>_xlfn.XLOOKUP(B1046,'Payee Ref'!A:A,'Payee Ref'!B:B,"unassigned",0,1)</f>
        <v>Travel</v>
      </c>
      <c r="E1046" s="29" t="str">
        <f>_xlfn.XLOOKUP(B1046,'Payee Ref'!A:A,'Payee Ref'!C:C,"unassigned",0,1)</f>
        <v>Luxury</v>
      </c>
      <c r="F1046" s="28" t="s">
        <v>2207</v>
      </c>
    </row>
    <row r="1047" spans="1:6" x14ac:dyDescent="0.2">
      <c r="A1047" s="30">
        <v>45724</v>
      </c>
      <c r="B1047" s="28" t="s">
        <v>2099</v>
      </c>
      <c r="C1047" s="28">
        <v>25.89</v>
      </c>
      <c r="D1047" s="28" t="str">
        <f>_xlfn.XLOOKUP(B1047,'Payee Ref'!A:A,'Payee Ref'!B:B,"unassigned",0,1)</f>
        <v>Travel</v>
      </c>
      <c r="E1047" s="29" t="str">
        <f>_xlfn.XLOOKUP(B1047,'Payee Ref'!A:A,'Payee Ref'!C:C,"unassigned",0,1)</f>
        <v>Luxury</v>
      </c>
      <c r="F1047" s="28" t="s">
        <v>2207</v>
      </c>
    </row>
    <row r="1048" spans="1:6" x14ac:dyDescent="0.2">
      <c r="A1048" s="30">
        <v>45931</v>
      </c>
      <c r="B1048" s="28" t="s">
        <v>1588</v>
      </c>
      <c r="C1048" s="28">
        <v>25.9</v>
      </c>
      <c r="D1048" s="28" t="str">
        <f>_xlfn.XLOOKUP(B1048,'Payee Ref'!A:A,'Payee Ref'!B:B,"unassigned",0,1)</f>
        <v>Groceries</v>
      </c>
      <c r="E1048" s="29" t="str">
        <f>_xlfn.XLOOKUP(B1048,'Payee Ref'!A:A,'Payee Ref'!C:C,"unassigned",0,1)</f>
        <v>Basic</v>
      </c>
      <c r="F1048" s="28" t="s">
        <v>2207</v>
      </c>
    </row>
    <row r="1049" spans="1:6" x14ac:dyDescent="0.2">
      <c r="A1049" s="30">
        <v>45920</v>
      </c>
      <c r="B1049" s="28" t="s">
        <v>1536</v>
      </c>
      <c r="C1049" s="28">
        <v>25.9</v>
      </c>
      <c r="D1049" s="28" t="str">
        <f>_xlfn.XLOOKUP(B1049,'Payee Ref'!A:A,'Payee Ref'!B:B,"unassigned",0,1)</f>
        <v>Groceries</v>
      </c>
      <c r="E1049" s="29" t="str">
        <f>_xlfn.XLOOKUP(B1049,'Payee Ref'!A:A,'Payee Ref'!C:C,"unassigned",0,1)</f>
        <v>Basic</v>
      </c>
      <c r="F1049" s="28" t="s">
        <v>2207</v>
      </c>
    </row>
    <row r="1050" spans="1:6" x14ac:dyDescent="0.2">
      <c r="A1050" s="30">
        <v>45668</v>
      </c>
      <c r="B1050" s="31" t="s">
        <v>2172</v>
      </c>
      <c r="C1050" s="28">
        <v>25.91</v>
      </c>
      <c r="D1050" s="28" t="str">
        <f>_xlfn.XLOOKUP(B1050,'Payee Ref'!A:A,'Payee Ref'!B:B,"unassigned",0,1)</f>
        <v>Home &amp; Garden</v>
      </c>
      <c r="E1050" s="29" t="str">
        <f>_xlfn.XLOOKUP(B1050,'Payee Ref'!A:A,'Payee Ref'!C:C,"unassigned",0,1)</f>
        <v>Basic</v>
      </c>
      <c r="F1050" s="28" t="s">
        <v>2207</v>
      </c>
    </row>
    <row r="1051" spans="1:6" x14ac:dyDescent="0.2">
      <c r="A1051" s="30">
        <v>45908</v>
      </c>
      <c r="B1051" s="28" t="s">
        <v>1660</v>
      </c>
      <c r="C1051" s="28">
        <v>25.95</v>
      </c>
      <c r="D1051" s="28" t="str">
        <f>_xlfn.XLOOKUP(B1051,'Payee Ref'!A:A,'Payee Ref'!B:B,"unassigned",0,1)</f>
        <v>unassigned</v>
      </c>
      <c r="E1051" s="29" t="str">
        <f>_xlfn.XLOOKUP(B1051,'Payee Ref'!A:A,'Payee Ref'!C:C,"unassigned",0,1)</f>
        <v>unassigned</v>
      </c>
      <c r="F1051" s="28" t="s">
        <v>2207</v>
      </c>
    </row>
    <row r="1052" spans="1:6" x14ac:dyDescent="0.2">
      <c r="A1052" s="30">
        <v>45924</v>
      </c>
      <c r="B1052" s="28" t="s">
        <v>1625</v>
      </c>
      <c r="C1052" s="28">
        <v>25.98</v>
      </c>
      <c r="D1052" s="28" t="str">
        <f>_xlfn.XLOOKUP(B1052,'Payee Ref'!A:A,'Payee Ref'!B:B,"unassigned",0,1)</f>
        <v>Travel</v>
      </c>
      <c r="E1052" s="29" t="str">
        <f>_xlfn.XLOOKUP(B1052,'Payee Ref'!A:A,'Payee Ref'!C:C,"unassigned",0,1)</f>
        <v>Luxury</v>
      </c>
      <c r="F1052" s="28" t="s">
        <v>2207</v>
      </c>
    </row>
    <row r="1053" spans="1:6" x14ac:dyDescent="0.2">
      <c r="A1053" s="30">
        <v>45715</v>
      </c>
      <c r="B1053" s="28" t="s">
        <v>1952</v>
      </c>
      <c r="C1053" s="28">
        <v>26.01</v>
      </c>
      <c r="D1053" s="28" t="str">
        <f>_xlfn.XLOOKUP(B1053,'Payee Ref'!A:A,'Payee Ref'!B:B,"unassigned",0,1)</f>
        <v>Groceries</v>
      </c>
      <c r="E1053" s="29" t="str">
        <f>_xlfn.XLOOKUP(B1053,'Payee Ref'!A:A,'Payee Ref'!C:C,"unassigned",0,1)</f>
        <v>Basic</v>
      </c>
      <c r="F1053" s="28" t="s">
        <v>2207</v>
      </c>
    </row>
    <row r="1054" spans="1:6" x14ac:dyDescent="0.2">
      <c r="A1054" s="30">
        <v>45940</v>
      </c>
      <c r="B1054" s="28" t="s">
        <v>324</v>
      </c>
      <c r="C1054" s="28">
        <v>26.04</v>
      </c>
      <c r="D1054" s="28" t="str">
        <f>_xlfn.XLOOKUP(B1054,'Payee Ref'!A:A,'Payee Ref'!B:B,"unassigned",0,1)</f>
        <v>Dining</v>
      </c>
      <c r="E1054" s="29" t="str">
        <f>_xlfn.XLOOKUP(B1054,'Payee Ref'!A:A,'Payee Ref'!C:C,"unassigned",0,1)</f>
        <v>Luxury</v>
      </c>
      <c r="F1054" s="28" t="s">
        <v>2207</v>
      </c>
    </row>
    <row r="1055" spans="1:6" x14ac:dyDescent="0.2">
      <c r="A1055" s="30">
        <v>45742</v>
      </c>
      <c r="B1055" s="28" t="s">
        <v>1529</v>
      </c>
      <c r="C1055" s="28">
        <v>26.07</v>
      </c>
      <c r="D1055" s="28" t="str">
        <f>_xlfn.XLOOKUP(B1055,'Payee Ref'!A:A,'Payee Ref'!B:B,"unassigned",0,1)</f>
        <v>Dining</v>
      </c>
      <c r="E1055" s="29" t="str">
        <f>_xlfn.XLOOKUP(B1055,'Payee Ref'!A:A,'Payee Ref'!C:C,"unassigned",0,1)</f>
        <v>Luxury</v>
      </c>
      <c r="F1055" s="28" t="s">
        <v>2207</v>
      </c>
    </row>
    <row r="1056" spans="1:6" x14ac:dyDescent="0.2">
      <c r="A1056" s="30">
        <v>45760</v>
      </c>
      <c r="B1056" s="28" t="s">
        <v>1588</v>
      </c>
      <c r="C1056" s="28">
        <v>26.33</v>
      </c>
      <c r="D1056" s="28" t="str">
        <f>_xlfn.XLOOKUP(B1056,'Payee Ref'!A:A,'Payee Ref'!B:B,"unassigned",0,1)</f>
        <v>Groceries</v>
      </c>
      <c r="E1056" s="29" t="str">
        <f>_xlfn.XLOOKUP(B1056,'Payee Ref'!A:A,'Payee Ref'!C:C,"unassigned",0,1)</f>
        <v>Basic</v>
      </c>
      <c r="F1056" s="28" t="s">
        <v>2207</v>
      </c>
    </row>
    <row r="1057" spans="1:6" x14ac:dyDescent="0.2">
      <c r="A1057" s="30">
        <v>45950</v>
      </c>
      <c r="B1057" s="28" t="s">
        <v>551</v>
      </c>
      <c r="C1057" s="28">
        <v>26.33</v>
      </c>
      <c r="D1057" s="28" t="str">
        <f>_xlfn.XLOOKUP(B1057,'Payee Ref'!A:A,'Payee Ref'!B:B,"unassigned",0,1)</f>
        <v>Groceries</v>
      </c>
      <c r="E1057" s="29" t="str">
        <f>_xlfn.XLOOKUP(B1057,'Payee Ref'!A:A,'Payee Ref'!C:C,"unassigned",0,1)</f>
        <v>Luxury</v>
      </c>
      <c r="F1057" s="28" t="s">
        <v>2207</v>
      </c>
    </row>
    <row r="1058" spans="1:6" x14ac:dyDescent="0.2">
      <c r="A1058" s="30">
        <v>45908</v>
      </c>
      <c r="B1058" s="28" t="s">
        <v>1658</v>
      </c>
      <c r="C1058" s="28">
        <v>26.43</v>
      </c>
      <c r="D1058" s="28" t="str">
        <f>_xlfn.XLOOKUP(B1058,'Payee Ref'!A:A,'Payee Ref'!B:B,"unassigned",0,1)</f>
        <v>Gifts</v>
      </c>
      <c r="E1058" s="29" t="str">
        <f>_xlfn.XLOOKUP(B1058,'Payee Ref'!A:A,'Payee Ref'!C:C,"unassigned",0,1)</f>
        <v>Luxury</v>
      </c>
      <c r="F1058" s="28" t="s">
        <v>2207</v>
      </c>
    </row>
    <row r="1059" spans="1:6" x14ac:dyDescent="0.2">
      <c r="A1059" s="30">
        <v>45893</v>
      </c>
      <c r="B1059" s="32" t="s">
        <v>1696</v>
      </c>
      <c r="C1059" s="28">
        <v>26.46</v>
      </c>
      <c r="D1059" s="28" t="str">
        <f>_xlfn.XLOOKUP(B1059,'Payee Ref'!A:A,'Payee Ref'!B:B,"unassigned",0,1)</f>
        <v>Home &amp; Garden</v>
      </c>
      <c r="E1059" s="29" t="str">
        <f>_xlfn.XLOOKUP(B1059,'Payee Ref'!A:A,'Payee Ref'!C:C,"unassigned",0,1)</f>
        <v>Basic</v>
      </c>
      <c r="F1059" s="28" t="s">
        <v>2207</v>
      </c>
    </row>
    <row r="1060" spans="1:6" x14ac:dyDescent="0.2">
      <c r="A1060" s="30">
        <v>45822</v>
      </c>
      <c r="B1060" s="28" t="s">
        <v>1943</v>
      </c>
      <c r="C1060" s="28">
        <v>26.66</v>
      </c>
      <c r="D1060" s="28" t="str">
        <f>_xlfn.XLOOKUP(B1060,'Payee Ref'!A:A,'Payee Ref'!B:B,"unassigned",0,1)</f>
        <v>Dining</v>
      </c>
      <c r="E1060" s="29" t="str">
        <f>_xlfn.XLOOKUP(B1060,'Payee Ref'!A:A,'Payee Ref'!C:C,"unassigned",0,1)</f>
        <v>Luxury</v>
      </c>
      <c r="F1060" s="28" t="s">
        <v>2207</v>
      </c>
    </row>
    <row r="1061" spans="1:6" x14ac:dyDescent="0.2">
      <c r="A1061" s="30">
        <v>45864</v>
      </c>
      <c r="B1061" s="28" t="s">
        <v>1774</v>
      </c>
      <c r="C1061" s="28">
        <v>26.68</v>
      </c>
      <c r="D1061" s="28" t="str">
        <f>_xlfn.XLOOKUP(B1061,'Payee Ref'!A:A,'Payee Ref'!B:B,"unassigned",0,1)</f>
        <v>Travel</v>
      </c>
      <c r="E1061" s="29" t="str">
        <f>_xlfn.XLOOKUP(B1061,'Payee Ref'!A:A,'Payee Ref'!C:C,"unassigned",0,1)</f>
        <v>Luxury</v>
      </c>
      <c r="F1061" s="28" t="s">
        <v>2207</v>
      </c>
    </row>
    <row r="1062" spans="1:6" x14ac:dyDescent="0.2">
      <c r="A1062" s="30">
        <v>45921</v>
      </c>
      <c r="B1062" s="28" t="s">
        <v>1634</v>
      </c>
      <c r="C1062" s="28">
        <v>26.83</v>
      </c>
      <c r="D1062" s="28" t="str">
        <f>_xlfn.XLOOKUP(B1062,'Payee Ref'!A:A,'Payee Ref'!B:B,"unassigned",0,1)</f>
        <v>Travel</v>
      </c>
      <c r="E1062" s="29" t="str">
        <f>_xlfn.XLOOKUP(B1062,'Payee Ref'!A:A,'Payee Ref'!C:C,"unassigned",0,1)</f>
        <v>Luxury</v>
      </c>
      <c r="F1062" s="28" t="s">
        <v>2207</v>
      </c>
    </row>
    <row r="1063" spans="1:6" x14ac:dyDescent="0.2">
      <c r="A1063" s="30">
        <v>45786</v>
      </c>
      <c r="B1063" s="28" t="s">
        <v>1965</v>
      </c>
      <c r="C1063" s="28">
        <v>27</v>
      </c>
      <c r="D1063" s="28" t="str">
        <f>_xlfn.XLOOKUP(B1063,'Payee Ref'!A:A,'Payee Ref'!B:B,"unassigned",0,1)</f>
        <v>Dining</v>
      </c>
      <c r="E1063" s="29" t="str">
        <f>_xlfn.XLOOKUP(B1063,'Payee Ref'!A:A,'Payee Ref'!C:C,"unassigned",0,1)</f>
        <v>Luxury</v>
      </c>
      <c r="F1063" s="28" t="s">
        <v>2207</v>
      </c>
    </row>
    <row r="1064" spans="1:6" x14ac:dyDescent="0.2">
      <c r="A1064" s="30">
        <v>45942</v>
      </c>
      <c r="B1064" s="28" t="s">
        <v>1195</v>
      </c>
      <c r="C1064" s="28">
        <v>27</v>
      </c>
      <c r="D1064" s="28" t="str">
        <f>_xlfn.XLOOKUP(B1064,'Payee Ref'!A:A,'Payee Ref'!B:B,"unassigned",0,1)</f>
        <v>Travel</v>
      </c>
      <c r="E1064" s="29" t="str">
        <f>_xlfn.XLOOKUP(B1064,'Payee Ref'!A:A,'Payee Ref'!C:C,"unassigned",0,1)</f>
        <v>Luxury</v>
      </c>
      <c r="F1064" s="28" t="s">
        <v>2207</v>
      </c>
    </row>
    <row r="1065" spans="1:6" x14ac:dyDescent="0.2">
      <c r="A1065" s="30">
        <v>45688</v>
      </c>
      <c r="B1065" s="31" t="s">
        <v>2145</v>
      </c>
      <c r="C1065" s="28">
        <v>27.02</v>
      </c>
      <c r="D1065" s="28" t="str">
        <f>_xlfn.XLOOKUP(B1065,'Payee Ref'!A:A,'Payee Ref'!B:B,"unassigned",0,1)</f>
        <v>Home &amp; Garden</v>
      </c>
      <c r="E1065" s="29" t="str">
        <f>_xlfn.XLOOKUP(B1065,'Payee Ref'!A:A,'Payee Ref'!C:C,"unassigned",0,1)</f>
        <v>Basic</v>
      </c>
      <c r="F1065" s="28" t="s">
        <v>2207</v>
      </c>
    </row>
    <row r="1066" spans="1:6" x14ac:dyDescent="0.2">
      <c r="A1066" s="30">
        <v>45969</v>
      </c>
      <c r="B1066" s="28" t="s">
        <v>190</v>
      </c>
      <c r="C1066" s="28">
        <v>27.09</v>
      </c>
      <c r="D1066" s="28" t="str">
        <f>_xlfn.XLOOKUP(B1066,'Payee Ref'!A:A,'Payee Ref'!B:B,"unassigned",0,1)</f>
        <v>Travel</v>
      </c>
      <c r="E1066" s="29" t="str">
        <f>_xlfn.XLOOKUP(B1066,'Payee Ref'!A:A,'Payee Ref'!C:C,"unassigned",0,1)</f>
        <v>Luxury</v>
      </c>
      <c r="F1066" s="28" t="s">
        <v>2207</v>
      </c>
    </row>
    <row r="1067" spans="1:6" x14ac:dyDescent="0.2">
      <c r="A1067" s="30">
        <v>45700</v>
      </c>
      <c r="B1067" s="28" t="s">
        <v>1636</v>
      </c>
      <c r="C1067" s="28">
        <v>27.11</v>
      </c>
      <c r="D1067" s="28" t="str">
        <f>_xlfn.XLOOKUP(B1067,'Payee Ref'!A:A,'Payee Ref'!B:B,"unassigned",0,1)</f>
        <v>Home &amp; Garden</v>
      </c>
      <c r="E1067" s="29" t="str">
        <f>_xlfn.XLOOKUP(B1067,'Payee Ref'!A:A,'Payee Ref'!C:C,"unassigned",0,1)</f>
        <v>Basic</v>
      </c>
      <c r="F1067" s="28" t="s">
        <v>2207</v>
      </c>
    </row>
    <row r="1068" spans="1:6" x14ac:dyDescent="0.2">
      <c r="A1068" s="30">
        <v>45879</v>
      </c>
      <c r="B1068" s="28" t="s">
        <v>1565</v>
      </c>
      <c r="C1068" s="28">
        <v>27.16</v>
      </c>
      <c r="D1068" s="28" t="str">
        <f>_xlfn.XLOOKUP(B1068,'Payee Ref'!A:A,'Payee Ref'!B:B,"unassigned",0,1)</f>
        <v>Home &amp; Garden</v>
      </c>
      <c r="E1068" s="29" t="str">
        <f>_xlfn.XLOOKUP(B1068,'Payee Ref'!A:A,'Payee Ref'!C:C,"unassigned",0,1)</f>
        <v>Basic</v>
      </c>
      <c r="F1068" s="28" t="s">
        <v>2207</v>
      </c>
    </row>
    <row r="1069" spans="1:6" x14ac:dyDescent="0.2">
      <c r="A1069" s="30">
        <v>45686</v>
      </c>
      <c r="B1069" s="28" t="s">
        <v>2102</v>
      </c>
      <c r="C1069" s="28">
        <v>27.18</v>
      </c>
      <c r="D1069" s="28" t="str">
        <f>_xlfn.XLOOKUP(B1069,'Payee Ref'!A:A,'Payee Ref'!B:B,"unassigned",0,1)</f>
        <v>Dining</v>
      </c>
      <c r="E1069" s="29" t="str">
        <f>_xlfn.XLOOKUP(B1069,'Payee Ref'!A:A,'Payee Ref'!C:C,"unassigned",0,1)</f>
        <v>Luxury</v>
      </c>
      <c r="F1069" s="28" t="s">
        <v>2207</v>
      </c>
    </row>
    <row r="1070" spans="1:6" x14ac:dyDescent="0.2">
      <c r="A1070" s="30">
        <v>45676</v>
      </c>
      <c r="B1070" s="31" t="s">
        <v>2161</v>
      </c>
      <c r="C1070" s="28">
        <v>27.34</v>
      </c>
      <c r="D1070" s="28" t="str">
        <f>_xlfn.XLOOKUP(B1070,'Payee Ref'!A:A,'Payee Ref'!B:B,"unassigned",0,1)</f>
        <v>Travel</v>
      </c>
      <c r="E1070" s="29" t="str">
        <f>_xlfn.XLOOKUP(B1070,'Payee Ref'!A:A,'Payee Ref'!C:C,"unassigned",0,1)</f>
        <v>Luxury</v>
      </c>
      <c r="F1070" s="28" t="s">
        <v>2207</v>
      </c>
    </row>
    <row r="1071" spans="1:6" x14ac:dyDescent="0.2">
      <c r="A1071" s="30">
        <v>45854</v>
      </c>
      <c r="B1071" s="28" t="s">
        <v>1832</v>
      </c>
      <c r="C1071" s="28">
        <v>27.37</v>
      </c>
      <c r="D1071" s="28" t="str">
        <f>_xlfn.XLOOKUP(B1071,'Payee Ref'!A:A,'Payee Ref'!B:B,"unassigned",0,1)</f>
        <v>Travel</v>
      </c>
      <c r="E1071" s="29" t="str">
        <f>_xlfn.XLOOKUP(B1071,'Payee Ref'!A:A,'Payee Ref'!C:C,"unassigned",0,1)</f>
        <v>Luxury</v>
      </c>
      <c r="F1071" s="28" t="s">
        <v>2207</v>
      </c>
    </row>
    <row r="1072" spans="1:6" x14ac:dyDescent="0.2">
      <c r="A1072" s="30">
        <v>45752</v>
      </c>
      <c r="B1072" s="28" t="s">
        <v>1587</v>
      </c>
      <c r="C1072" s="28">
        <v>27.42</v>
      </c>
      <c r="D1072" s="28" t="str">
        <f>_xlfn.XLOOKUP(B1072,'Payee Ref'!A:A,'Payee Ref'!B:B,"unassigned",0,1)</f>
        <v>Travel</v>
      </c>
      <c r="E1072" s="29" t="str">
        <f>_xlfn.XLOOKUP(B1072,'Payee Ref'!A:A,'Payee Ref'!C:C,"unassigned",0,1)</f>
        <v>Luxury</v>
      </c>
      <c r="F1072" s="28" t="s">
        <v>2207</v>
      </c>
    </row>
    <row r="1073" spans="1:6" x14ac:dyDescent="0.2">
      <c r="A1073" s="30">
        <v>45793</v>
      </c>
      <c r="B1073" s="28" t="s">
        <v>1995</v>
      </c>
      <c r="C1073" s="28">
        <v>27.49</v>
      </c>
      <c r="D1073" s="28" t="str">
        <f>_xlfn.XLOOKUP(B1073,'Payee Ref'!A:A,'Payee Ref'!B:B,"unassigned",0,1)</f>
        <v>Travel</v>
      </c>
      <c r="E1073" s="29" t="str">
        <f>_xlfn.XLOOKUP(B1073,'Payee Ref'!A:A,'Payee Ref'!C:C,"unassigned",0,1)</f>
        <v>Luxury</v>
      </c>
      <c r="F1073" s="28" t="s">
        <v>2207</v>
      </c>
    </row>
    <row r="1074" spans="1:6" x14ac:dyDescent="0.2">
      <c r="A1074" s="30">
        <v>45943</v>
      </c>
      <c r="B1074" s="28" t="s">
        <v>761</v>
      </c>
      <c r="C1074" s="28">
        <v>27.53</v>
      </c>
      <c r="D1074" s="28" t="str">
        <f>_xlfn.XLOOKUP(B1074,'Payee Ref'!A:A,'Payee Ref'!B:B,"unassigned",0,1)</f>
        <v>Home &amp; Garden</v>
      </c>
      <c r="E1074" s="29" t="str">
        <f>_xlfn.XLOOKUP(B1074,'Payee Ref'!A:A,'Payee Ref'!C:C,"unassigned",0,1)</f>
        <v>Basic</v>
      </c>
      <c r="F1074" s="28" t="s">
        <v>2207</v>
      </c>
    </row>
    <row r="1075" spans="1:6" x14ac:dyDescent="0.2">
      <c r="A1075" s="30">
        <v>45914</v>
      </c>
      <c r="B1075" s="32" t="s">
        <v>1598</v>
      </c>
      <c r="C1075" s="28">
        <v>27.58</v>
      </c>
      <c r="D1075" s="28" t="str">
        <f>_xlfn.XLOOKUP(B1075,'Payee Ref'!A:A,'Payee Ref'!B:B,"unassigned",0,1)</f>
        <v>Subscriptions / Digital</v>
      </c>
      <c r="E1075" s="29" t="str">
        <f>_xlfn.XLOOKUP(B1075,'Payee Ref'!A:A,'Payee Ref'!C:C,"unassigned",0,1)</f>
        <v>Luxury</v>
      </c>
      <c r="F1075" s="28" t="s">
        <v>2207</v>
      </c>
    </row>
    <row r="1076" spans="1:6" x14ac:dyDescent="0.2">
      <c r="A1076" s="30">
        <v>45883</v>
      </c>
      <c r="B1076" s="32" t="s">
        <v>1598</v>
      </c>
      <c r="C1076" s="28">
        <v>27.58</v>
      </c>
      <c r="D1076" s="28" t="str">
        <f>_xlfn.XLOOKUP(B1076,'Payee Ref'!A:A,'Payee Ref'!B:B,"unassigned",0,1)</f>
        <v>Subscriptions / Digital</v>
      </c>
      <c r="E1076" s="29" t="str">
        <f>_xlfn.XLOOKUP(B1076,'Payee Ref'!A:A,'Payee Ref'!C:C,"unassigned",0,1)</f>
        <v>Luxury</v>
      </c>
      <c r="F1076" s="28" t="s">
        <v>2207</v>
      </c>
    </row>
    <row r="1077" spans="1:6" x14ac:dyDescent="0.2">
      <c r="A1077" s="30">
        <v>45852</v>
      </c>
      <c r="B1077" s="31" t="s">
        <v>1835</v>
      </c>
      <c r="C1077" s="28">
        <v>27.58</v>
      </c>
      <c r="D1077" s="28" t="str">
        <f>_xlfn.XLOOKUP(B1077,'Payee Ref'!A:A,'Payee Ref'!B:B,"unassigned",0,1)</f>
        <v>Subscriptions / Digital</v>
      </c>
      <c r="E1077" s="29" t="str">
        <f>_xlfn.XLOOKUP(B1077,'Payee Ref'!A:A,'Payee Ref'!C:C,"unassigned",0,1)</f>
        <v>Luxury</v>
      </c>
      <c r="F1077" s="28" t="s">
        <v>2207</v>
      </c>
    </row>
    <row r="1078" spans="1:6" x14ac:dyDescent="0.2">
      <c r="A1078" s="30">
        <v>45822</v>
      </c>
      <c r="B1078" s="32" t="s">
        <v>1598</v>
      </c>
      <c r="C1078" s="28">
        <v>27.58</v>
      </c>
      <c r="D1078" s="28" t="str">
        <f>_xlfn.XLOOKUP(B1078,'Payee Ref'!A:A,'Payee Ref'!B:B,"unassigned",0,1)</f>
        <v>Subscriptions / Digital</v>
      </c>
      <c r="E1078" s="29" t="str">
        <f>_xlfn.XLOOKUP(B1078,'Payee Ref'!A:A,'Payee Ref'!C:C,"unassigned",0,1)</f>
        <v>Luxury</v>
      </c>
      <c r="F1078" s="28" t="s">
        <v>2207</v>
      </c>
    </row>
    <row r="1079" spans="1:6" x14ac:dyDescent="0.2">
      <c r="A1079" s="30">
        <v>45791</v>
      </c>
      <c r="B1079" s="31" t="s">
        <v>1835</v>
      </c>
      <c r="C1079" s="28">
        <v>27.58</v>
      </c>
      <c r="D1079" s="28" t="str">
        <f>_xlfn.XLOOKUP(B1079,'Payee Ref'!A:A,'Payee Ref'!B:B,"unassigned",0,1)</f>
        <v>Subscriptions / Digital</v>
      </c>
      <c r="E1079" s="29" t="str">
        <f>_xlfn.XLOOKUP(B1079,'Payee Ref'!A:A,'Payee Ref'!C:C,"unassigned",0,1)</f>
        <v>Luxury</v>
      </c>
      <c r="F1079" s="28" t="s">
        <v>2207</v>
      </c>
    </row>
    <row r="1080" spans="1:6" x14ac:dyDescent="0.2">
      <c r="A1080" s="30">
        <v>45761</v>
      </c>
      <c r="B1080" s="32" t="s">
        <v>1566</v>
      </c>
      <c r="C1080" s="28">
        <v>27.58</v>
      </c>
      <c r="D1080" s="28" t="str">
        <f>_xlfn.XLOOKUP(B1080,'Payee Ref'!A:A,'Payee Ref'!B:B,"unassigned",0,1)</f>
        <v>Subscriptions / Digital</v>
      </c>
      <c r="E1080" s="29" t="str">
        <f>_xlfn.XLOOKUP(B1080,'Payee Ref'!A:A,'Payee Ref'!C:C,"unassigned",0,1)</f>
        <v>Luxury</v>
      </c>
      <c r="F1080" s="28" t="s">
        <v>2207</v>
      </c>
    </row>
    <row r="1081" spans="1:6" x14ac:dyDescent="0.2">
      <c r="A1081" s="30">
        <v>45730</v>
      </c>
      <c r="B1081" s="28" t="s">
        <v>2084</v>
      </c>
      <c r="C1081" s="28">
        <v>27.58</v>
      </c>
      <c r="D1081" s="28" t="str">
        <f>_xlfn.XLOOKUP(B1081,'Payee Ref'!A:A,'Payee Ref'!B:B,"unassigned",0,1)</f>
        <v>Subscriptions / Digital</v>
      </c>
      <c r="E1081" s="29" t="str">
        <f>_xlfn.XLOOKUP(B1081,'Payee Ref'!A:A,'Payee Ref'!C:C,"unassigned",0,1)</f>
        <v>Luxury</v>
      </c>
      <c r="F1081" s="28" t="s">
        <v>2207</v>
      </c>
    </row>
    <row r="1082" spans="1:6" x14ac:dyDescent="0.2">
      <c r="A1082" s="30">
        <v>45975</v>
      </c>
      <c r="B1082" s="28" t="s">
        <v>919</v>
      </c>
      <c r="C1082" s="28">
        <v>27.58</v>
      </c>
      <c r="D1082" s="28" t="str">
        <f>_xlfn.XLOOKUP(B1082,'Payee Ref'!A:A,'Payee Ref'!B:B,"unassigned",0,1)</f>
        <v>Subscriptions / Digital</v>
      </c>
      <c r="E1082" s="29" t="str">
        <f>_xlfn.XLOOKUP(B1082,'Payee Ref'!A:A,'Payee Ref'!C:C,"unassigned",0,1)</f>
        <v>Luxury</v>
      </c>
      <c r="F1082" s="28" t="s">
        <v>2207</v>
      </c>
    </row>
    <row r="1083" spans="1:6" x14ac:dyDescent="0.2">
      <c r="A1083" s="30">
        <v>45944</v>
      </c>
      <c r="B1083" s="28" t="s">
        <v>919</v>
      </c>
      <c r="C1083" s="28">
        <v>27.58</v>
      </c>
      <c r="D1083" s="28" t="str">
        <f>_xlfn.XLOOKUP(B1083,'Payee Ref'!A:A,'Payee Ref'!B:B,"unassigned",0,1)</f>
        <v>Subscriptions / Digital</v>
      </c>
      <c r="E1083" s="29" t="str">
        <f>_xlfn.XLOOKUP(B1083,'Payee Ref'!A:A,'Payee Ref'!C:C,"unassigned",0,1)</f>
        <v>Luxury</v>
      </c>
      <c r="F1083" s="28" t="s">
        <v>2207</v>
      </c>
    </row>
    <row r="1084" spans="1:6" x14ac:dyDescent="0.2">
      <c r="A1084" s="30">
        <v>45699</v>
      </c>
      <c r="B1084" s="28" t="s">
        <v>2126</v>
      </c>
      <c r="C1084" s="28">
        <v>27.59</v>
      </c>
      <c r="D1084" s="28" t="str">
        <f>_xlfn.XLOOKUP(B1084,'Payee Ref'!A:A,'Payee Ref'!B:B,"unassigned",0,1)</f>
        <v>R&amp;R</v>
      </c>
      <c r="E1084" s="29" t="str">
        <f>_xlfn.XLOOKUP(B1084,'Payee Ref'!A:A,'Payee Ref'!C:C,"unassigned",0,1)</f>
        <v>Luxury</v>
      </c>
      <c r="F1084" s="28" t="s">
        <v>2207</v>
      </c>
    </row>
    <row r="1085" spans="1:6" x14ac:dyDescent="0.2">
      <c r="A1085" s="30">
        <v>45868</v>
      </c>
      <c r="B1085" s="28" t="s">
        <v>1772</v>
      </c>
      <c r="C1085" s="28">
        <v>27.68</v>
      </c>
      <c r="D1085" s="28" t="str">
        <f>_xlfn.XLOOKUP(B1085,'Payee Ref'!A:A,'Payee Ref'!B:B,"unassigned",0,1)</f>
        <v>Travel</v>
      </c>
      <c r="E1085" s="29" t="str">
        <f>_xlfn.XLOOKUP(B1085,'Payee Ref'!A:A,'Payee Ref'!C:C,"unassigned",0,1)</f>
        <v>Luxury</v>
      </c>
      <c r="F1085" s="28" t="s">
        <v>2207</v>
      </c>
    </row>
    <row r="1086" spans="1:6" x14ac:dyDescent="0.2">
      <c r="A1086" s="30">
        <v>45939</v>
      </c>
      <c r="B1086" s="28" t="s">
        <v>190</v>
      </c>
      <c r="C1086" s="28">
        <v>27.86</v>
      </c>
      <c r="D1086" s="28" t="str">
        <f>_xlfn.XLOOKUP(B1086,'Payee Ref'!A:A,'Payee Ref'!B:B,"unassigned",0,1)</f>
        <v>Travel</v>
      </c>
      <c r="E1086" s="29" t="str">
        <f>_xlfn.XLOOKUP(B1086,'Payee Ref'!A:A,'Payee Ref'!C:C,"unassigned",0,1)</f>
        <v>Luxury</v>
      </c>
      <c r="F1086" s="28" t="s">
        <v>2207</v>
      </c>
    </row>
    <row r="1087" spans="1:6" x14ac:dyDescent="0.2">
      <c r="A1087" s="30">
        <v>45786</v>
      </c>
      <c r="B1087" s="28" t="s">
        <v>1534</v>
      </c>
      <c r="C1087" s="28">
        <v>27.91</v>
      </c>
      <c r="D1087" s="28" t="str">
        <f>_xlfn.XLOOKUP(B1087,'Payee Ref'!A:A,'Payee Ref'!B:B,"unassigned",0,1)</f>
        <v>Dining</v>
      </c>
      <c r="E1087" s="29" t="str">
        <f>_xlfn.XLOOKUP(B1087,'Payee Ref'!A:A,'Payee Ref'!C:C,"unassigned",0,1)</f>
        <v>Luxury</v>
      </c>
      <c r="F1087" s="28" t="s">
        <v>2207</v>
      </c>
    </row>
    <row r="1088" spans="1:6" x14ac:dyDescent="0.2">
      <c r="A1088" s="30">
        <v>45750</v>
      </c>
      <c r="B1088" s="28" t="s">
        <v>1534</v>
      </c>
      <c r="C1088" s="28">
        <v>27.91</v>
      </c>
      <c r="D1088" s="28" t="str">
        <f>_xlfn.XLOOKUP(B1088,'Payee Ref'!A:A,'Payee Ref'!B:B,"unassigned",0,1)</f>
        <v>Dining</v>
      </c>
      <c r="E1088" s="29" t="str">
        <f>_xlfn.XLOOKUP(B1088,'Payee Ref'!A:A,'Payee Ref'!C:C,"unassigned",0,1)</f>
        <v>Luxury</v>
      </c>
      <c r="F1088" s="28" t="s">
        <v>2207</v>
      </c>
    </row>
    <row r="1089" spans="1:6" x14ac:dyDescent="0.2">
      <c r="A1089" s="30">
        <v>45744</v>
      </c>
      <c r="B1089" s="28" t="s">
        <v>1534</v>
      </c>
      <c r="C1089" s="28">
        <v>27.91</v>
      </c>
      <c r="D1089" s="28" t="str">
        <f>_xlfn.XLOOKUP(B1089,'Payee Ref'!A:A,'Payee Ref'!B:B,"unassigned",0,1)</f>
        <v>Dining</v>
      </c>
      <c r="E1089" s="29" t="str">
        <f>_xlfn.XLOOKUP(B1089,'Payee Ref'!A:A,'Payee Ref'!C:C,"unassigned",0,1)</f>
        <v>Luxury</v>
      </c>
      <c r="F1089" s="28" t="s">
        <v>2207</v>
      </c>
    </row>
    <row r="1090" spans="1:6" x14ac:dyDescent="0.2">
      <c r="A1090" s="30">
        <v>45740</v>
      </c>
      <c r="B1090" s="28" t="s">
        <v>1534</v>
      </c>
      <c r="C1090" s="28">
        <v>27.91</v>
      </c>
      <c r="D1090" s="28" t="str">
        <f>_xlfn.XLOOKUP(B1090,'Payee Ref'!A:A,'Payee Ref'!B:B,"unassigned",0,1)</f>
        <v>Dining</v>
      </c>
      <c r="E1090" s="29" t="str">
        <f>_xlfn.XLOOKUP(B1090,'Payee Ref'!A:A,'Payee Ref'!C:C,"unassigned",0,1)</f>
        <v>Luxury</v>
      </c>
      <c r="F1090" s="28" t="s">
        <v>2207</v>
      </c>
    </row>
    <row r="1091" spans="1:6" x14ac:dyDescent="0.2">
      <c r="A1091" s="30">
        <v>45756</v>
      </c>
      <c r="B1091" s="28" t="s">
        <v>1534</v>
      </c>
      <c r="C1091" s="28">
        <v>27.92</v>
      </c>
      <c r="D1091" s="28" t="str">
        <f>_xlfn.XLOOKUP(B1091,'Payee Ref'!A:A,'Payee Ref'!B:B,"unassigned",0,1)</f>
        <v>Dining</v>
      </c>
      <c r="E1091" s="29" t="str">
        <f>_xlfn.XLOOKUP(B1091,'Payee Ref'!A:A,'Payee Ref'!C:C,"unassigned",0,1)</f>
        <v>Luxury</v>
      </c>
      <c r="F1091" s="28" t="s">
        <v>2207</v>
      </c>
    </row>
    <row r="1092" spans="1:6" x14ac:dyDescent="0.2">
      <c r="A1092" s="30">
        <v>45725</v>
      </c>
      <c r="B1092" s="28" t="s">
        <v>1665</v>
      </c>
      <c r="C1092" s="28">
        <v>27.95</v>
      </c>
      <c r="D1092" s="28" t="str">
        <f>_xlfn.XLOOKUP(B1092,'Payee Ref'!A:A,'Payee Ref'!B:B,"unassigned",0,1)</f>
        <v>Travel</v>
      </c>
      <c r="E1092" s="29" t="str">
        <f>_xlfn.XLOOKUP(B1092,'Payee Ref'!A:A,'Payee Ref'!C:C,"unassigned",0,1)</f>
        <v>Luxury</v>
      </c>
      <c r="F1092" s="28" t="s">
        <v>2207</v>
      </c>
    </row>
    <row r="1093" spans="1:6" x14ac:dyDescent="0.2">
      <c r="A1093" s="30">
        <v>45676</v>
      </c>
      <c r="B1093" s="28" t="s">
        <v>2133</v>
      </c>
      <c r="C1093" s="28">
        <v>28</v>
      </c>
      <c r="D1093" s="28" t="str">
        <f>_xlfn.XLOOKUP(B1093,'Payee Ref'!A:A,'Payee Ref'!B:B,"unassigned",0,1)</f>
        <v>Dining</v>
      </c>
      <c r="E1093" s="29" t="str">
        <f>_xlfn.XLOOKUP(B1093,'Payee Ref'!A:A,'Payee Ref'!C:C,"unassigned",0,1)</f>
        <v>Luxury</v>
      </c>
      <c r="F1093" s="28" t="s">
        <v>2207</v>
      </c>
    </row>
    <row r="1094" spans="1:6" x14ac:dyDescent="0.2">
      <c r="A1094" s="30">
        <v>45826</v>
      </c>
      <c r="B1094" s="28" t="s">
        <v>1547</v>
      </c>
      <c r="C1094" s="28">
        <v>28.08</v>
      </c>
      <c r="D1094" s="28" t="str">
        <f>_xlfn.XLOOKUP(B1094,'Payee Ref'!A:A,'Payee Ref'!B:B,"unassigned",0,1)</f>
        <v>Pharmacy</v>
      </c>
      <c r="E1094" s="29" t="str">
        <f>_xlfn.XLOOKUP(B1094,'Payee Ref'!A:A,'Payee Ref'!C:C,"unassigned",0,1)</f>
        <v>Basic</v>
      </c>
      <c r="F1094" s="28" t="s">
        <v>2207</v>
      </c>
    </row>
    <row r="1095" spans="1:6" x14ac:dyDescent="0.2">
      <c r="A1095" s="30">
        <v>45777</v>
      </c>
      <c r="B1095" s="28" t="s">
        <v>1534</v>
      </c>
      <c r="C1095" s="28">
        <v>28.13</v>
      </c>
      <c r="D1095" s="28" t="str">
        <f>_xlfn.XLOOKUP(B1095,'Payee Ref'!A:A,'Payee Ref'!B:B,"unassigned",0,1)</f>
        <v>Dining</v>
      </c>
      <c r="E1095" s="29" t="str">
        <f>_xlfn.XLOOKUP(B1095,'Payee Ref'!A:A,'Payee Ref'!C:C,"unassigned",0,1)</f>
        <v>Luxury</v>
      </c>
      <c r="F1095" s="28" t="s">
        <v>2207</v>
      </c>
    </row>
    <row r="1096" spans="1:6" x14ac:dyDescent="0.2">
      <c r="A1096" s="30">
        <v>45678</v>
      </c>
      <c r="B1096" s="28" t="s">
        <v>2083</v>
      </c>
      <c r="C1096" s="28">
        <v>28.14</v>
      </c>
      <c r="D1096" s="28" t="str">
        <f>_xlfn.XLOOKUP(B1096,'Payee Ref'!A:A,'Payee Ref'!B:B,"unassigned",0,1)</f>
        <v>Dining</v>
      </c>
      <c r="E1096" s="29" t="str">
        <f>_xlfn.XLOOKUP(B1096,'Payee Ref'!A:A,'Payee Ref'!C:C,"unassigned",0,1)</f>
        <v>Luxury</v>
      </c>
      <c r="F1096" s="28" t="s">
        <v>2207</v>
      </c>
    </row>
    <row r="1097" spans="1:6" x14ac:dyDescent="0.2">
      <c r="A1097" s="30">
        <v>45724</v>
      </c>
      <c r="B1097" s="28" t="s">
        <v>1533</v>
      </c>
      <c r="C1097" s="28">
        <v>28.24</v>
      </c>
      <c r="D1097" s="28" t="str">
        <f>_xlfn.XLOOKUP(B1097,'Payee Ref'!A:A,'Payee Ref'!B:B,"unassigned",0,1)</f>
        <v>Dining</v>
      </c>
      <c r="E1097" s="29" t="str">
        <f>_xlfn.XLOOKUP(B1097,'Payee Ref'!A:A,'Payee Ref'!C:C,"unassigned",0,1)</f>
        <v>Luxury</v>
      </c>
      <c r="F1097" s="28" t="s">
        <v>2207</v>
      </c>
    </row>
    <row r="1098" spans="1:6" x14ac:dyDescent="0.2">
      <c r="A1098" s="30">
        <v>45868</v>
      </c>
      <c r="B1098" s="28" t="s">
        <v>1777</v>
      </c>
      <c r="C1098" s="28">
        <v>28.35</v>
      </c>
      <c r="D1098" s="28" t="str">
        <f>_xlfn.XLOOKUP(B1098,'Payee Ref'!A:A,'Payee Ref'!B:B,"unassigned",0,1)</f>
        <v>Travel</v>
      </c>
      <c r="E1098" s="29" t="str">
        <f>_xlfn.XLOOKUP(B1098,'Payee Ref'!A:A,'Payee Ref'!C:C,"unassigned",0,1)</f>
        <v>Luxury</v>
      </c>
      <c r="F1098" s="28" t="s">
        <v>2207</v>
      </c>
    </row>
    <row r="1099" spans="1:6" x14ac:dyDescent="0.2">
      <c r="A1099" s="30">
        <v>45825</v>
      </c>
      <c r="B1099" s="28" t="s">
        <v>1929</v>
      </c>
      <c r="C1099" s="28">
        <v>28.6</v>
      </c>
      <c r="D1099" s="28" t="str">
        <f>_xlfn.XLOOKUP(B1099,'Payee Ref'!A:A,'Payee Ref'!B:B,"unassigned",0,1)</f>
        <v>Travel</v>
      </c>
      <c r="E1099" s="29" t="str">
        <f>_xlfn.XLOOKUP(B1099,'Payee Ref'!A:A,'Payee Ref'!C:C,"unassigned",0,1)</f>
        <v>Luxury</v>
      </c>
      <c r="F1099" s="28" t="s">
        <v>2207</v>
      </c>
    </row>
    <row r="1100" spans="1:6" x14ac:dyDescent="0.2">
      <c r="A1100" s="30">
        <v>45684</v>
      </c>
      <c r="B1100" s="28" t="s">
        <v>1536</v>
      </c>
      <c r="C1100" s="28">
        <v>28.65</v>
      </c>
      <c r="D1100" s="28" t="str">
        <f>_xlfn.XLOOKUP(B1100,'Payee Ref'!A:A,'Payee Ref'!B:B,"unassigned",0,1)</f>
        <v>Groceries</v>
      </c>
      <c r="E1100" s="29" t="str">
        <f>_xlfn.XLOOKUP(B1100,'Payee Ref'!A:A,'Payee Ref'!C:C,"unassigned",0,1)</f>
        <v>Basic</v>
      </c>
      <c r="F1100" s="28" t="s">
        <v>2207</v>
      </c>
    </row>
    <row r="1101" spans="1:6" x14ac:dyDescent="0.2">
      <c r="A1101" s="30">
        <v>45940</v>
      </c>
      <c r="B1101" s="28" t="s">
        <v>227</v>
      </c>
      <c r="C1101" s="28">
        <v>28.69</v>
      </c>
      <c r="D1101" s="28" t="str">
        <f>_xlfn.XLOOKUP(B1101,'Payee Ref'!A:A,'Payee Ref'!B:B,"unassigned",0,1)</f>
        <v>Travel</v>
      </c>
      <c r="E1101" s="29" t="str">
        <f>_xlfn.XLOOKUP(B1101,'Payee Ref'!A:A,'Payee Ref'!C:C,"unassigned",0,1)</f>
        <v>Luxury</v>
      </c>
      <c r="F1101" s="28" t="s">
        <v>2207</v>
      </c>
    </row>
    <row r="1102" spans="1:6" x14ac:dyDescent="0.2">
      <c r="A1102" s="30">
        <v>45758</v>
      </c>
      <c r="B1102" s="28" t="s">
        <v>1529</v>
      </c>
      <c r="C1102" s="28">
        <v>28.83</v>
      </c>
      <c r="D1102" s="28" t="str">
        <f>_xlfn.XLOOKUP(B1102,'Payee Ref'!A:A,'Payee Ref'!B:B,"unassigned",0,1)</f>
        <v>Dining</v>
      </c>
      <c r="E1102" s="29" t="str">
        <f>_xlfn.XLOOKUP(B1102,'Payee Ref'!A:A,'Payee Ref'!C:C,"unassigned",0,1)</f>
        <v>Luxury</v>
      </c>
      <c r="F1102" s="28" t="s">
        <v>2207</v>
      </c>
    </row>
    <row r="1103" spans="1:6" x14ac:dyDescent="0.2">
      <c r="A1103" s="30">
        <v>45831</v>
      </c>
      <c r="B1103" s="28" t="s">
        <v>1905</v>
      </c>
      <c r="C1103" s="28">
        <v>28.85</v>
      </c>
      <c r="D1103" s="28" t="str">
        <f>_xlfn.XLOOKUP(B1103,'Payee Ref'!A:A,'Payee Ref'!B:B,"unassigned",0,1)</f>
        <v>Travel</v>
      </c>
      <c r="E1103" s="29" t="str">
        <f>_xlfn.XLOOKUP(B1103,'Payee Ref'!A:A,'Payee Ref'!C:C,"unassigned",0,1)</f>
        <v>Luxury</v>
      </c>
      <c r="F1103" s="28" t="s">
        <v>2207</v>
      </c>
    </row>
    <row r="1104" spans="1:6" x14ac:dyDescent="0.2">
      <c r="A1104" s="30">
        <v>45831</v>
      </c>
      <c r="B1104" s="28" t="s">
        <v>1905</v>
      </c>
      <c r="C1104" s="28">
        <v>28.85</v>
      </c>
      <c r="D1104" s="28" t="str">
        <f>_xlfn.XLOOKUP(B1104,'Payee Ref'!A:A,'Payee Ref'!B:B,"unassigned",0,1)</f>
        <v>Travel</v>
      </c>
      <c r="E1104" s="29" t="str">
        <f>_xlfn.XLOOKUP(B1104,'Payee Ref'!A:A,'Payee Ref'!C:C,"unassigned",0,1)</f>
        <v>Luxury</v>
      </c>
      <c r="F1104" s="28" t="s">
        <v>2207</v>
      </c>
    </row>
    <row r="1105" spans="1:6" x14ac:dyDescent="0.2">
      <c r="A1105" s="30">
        <v>45986</v>
      </c>
      <c r="B1105" s="28" t="s">
        <v>570</v>
      </c>
      <c r="C1105" s="28">
        <v>28.94</v>
      </c>
      <c r="D1105" s="28" t="str">
        <f>_xlfn.XLOOKUP(B1105,'Payee Ref'!A:A,'Payee Ref'!B:B,"unassigned",0,1)</f>
        <v>Groceries</v>
      </c>
      <c r="E1105" s="29" t="str">
        <f>_xlfn.XLOOKUP(B1105,'Payee Ref'!A:A,'Payee Ref'!C:C,"unassigned",0,1)</f>
        <v>Basic</v>
      </c>
      <c r="F1105" s="28" t="s">
        <v>2207</v>
      </c>
    </row>
    <row r="1106" spans="1:6" x14ac:dyDescent="0.2">
      <c r="A1106" s="30">
        <v>45870</v>
      </c>
      <c r="B1106" s="28" t="s">
        <v>1619</v>
      </c>
      <c r="C1106" s="28">
        <v>28.97</v>
      </c>
      <c r="D1106" s="28" t="str">
        <f>_xlfn.XLOOKUP(B1106,'Payee Ref'!A:A,'Payee Ref'!B:B,"unassigned",0,1)</f>
        <v>Travel</v>
      </c>
      <c r="E1106" s="29" t="str">
        <f>_xlfn.XLOOKUP(B1106,'Payee Ref'!A:A,'Payee Ref'!C:C,"unassigned",0,1)</f>
        <v>Luxury</v>
      </c>
      <c r="F1106" s="28" t="s">
        <v>2207</v>
      </c>
    </row>
    <row r="1107" spans="1:6" x14ac:dyDescent="0.2">
      <c r="A1107" s="30">
        <v>45899</v>
      </c>
      <c r="B1107" s="28" t="s">
        <v>1673</v>
      </c>
      <c r="C1107" s="28">
        <v>29</v>
      </c>
      <c r="D1107" s="28" t="str">
        <f>_xlfn.XLOOKUP(B1107,'Payee Ref'!A:A,'Payee Ref'!B:B,"unassigned",0,1)</f>
        <v>Dining</v>
      </c>
      <c r="E1107" s="29" t="str">
        <f>_xlfn.XLOOKUP(B1107,'Payee Ref'!A:A,'Payee Ref'!C:C,"unassigned",0,1)</f>
        <v>Luxury</v>
      </c>
      <c r="F1107" s="28" t="s">
        <v>2207</v>
      </c>
    </row>
    <row r="1108" spans="1:6" x14ac:dyDescent="0.2">
      <c r="A1108" s="30">
        <v>45740</v>
      </c>
      <c r="B1108" s="28" t="s">
        <v>2068</v>
      </c>
      <c r="C1108" s="28">
        <v>29.11</v>
      </c>
      <c r="D1108" s="28" t="str">
        <f>_xlfn.XLOOKUP(B1108,'Payee Ref'!A:A,'Payee Ref'!B:B,"unassigned",0,1)</f>
        <v>Travel</v>
      </c>
      <c r="E1108" s="29" t="str">
        <f>_xlfn.XLOOKUP(B1108,'Payee Ref'!A:A,'Payee Ref'!C:C,"unassigned",0,1)</f>
        <v>Luxury</v>
      </c>
      <c r="F1108" s="28" t="s">
        <v>2207</v>
      </c>
    </row>
    <row r="1109" spans="1:6" x14ac:dyDescent="0.2">
      <c r="A1109" s="30">
        <v>45692</v>
      </c>
      <c r="B1109" s="31" t="s">
        <v>2135</v>
      </c>
      <c r="C1109" s="28">
        <v>29.16</v>
      </c>
      <c r="D1109" s="28" t="str">
        <f>_xlfn.XLOOKUP(B1109,'Payee Ref'!A:A,'Payee Ref'!B:B,"unassigned",0,1)</f>
        <v>Home &amp; Garden</v>
      </c>
      <c r="E1109" s="29" t="str">
        <f>_xlfn.XLOOKUP(B1109,'Payee Ref'!A:A,'Payee Ref'!C:C,"unassigned",0,1)</f>
        <v>Basic</v>
      </c>
      <c r="F1109" s="28" t="s">
        <v>2207</v>
      </c>
    </row>
    <row r="1110" spans="1:6" x14ac:dyDescent="0.2">
      <c r="A1110" s="30">
        <v>45796</v>
      </c>
      <c r="B1110" s="28" t="s">
        <v>1534</v>
      </c>
      <c r="C1110" s="28">
        <v>29.19</v>
      </c>
      <c r="D1110" s="28" t="str">
        <f>_xlfn.XLOOKUP(B1110,'Payee Ref'!A:A,'Payee Ref'!B:B,"unassigned",0,1)</f>
        <v>Dining</v>
      </c>
      <c r="E1110" s="29" t="str">
        <f>_xlfn.XLOOKUP(B1110,'Payee Ref'!A:A,'Payee Ref'!C:C,"unassigned",0,1)</f>
        <v>Luxury</v>
      </c>
      <c r="F1110" s="28" t="s">
        <v>2207</v>
      </c>
    </row>
    <row r="1111" spans="1:6" x14ac:dyDescent="0.2">
      <c r="A1111" s="30">
        <v>45879</v>
      </c>
      <c r="B1111" s="28" t="s">
        <v>1737</v>
      </c>
      <c r="C1111" s="28">
        <v>29.19</v>
      </c>
      <c r="D1111" s="28" t="str">
        <f>_xlfn.XLOOKUP(B1111,'Payee Ref'!A:A,'Payee Ref'!B:B,"unassigned",0,1)</f>
        <v>Dining</v>
      </c>
      <c r="E1111" s="29" t="str">
        <f>_xlfn.XLOOKUP(B1111,'Payee Ref'!A:A,'Payee Ref'!C:C,"unassigned",0,1)</f>
        <v>Luxury</v>
      </c>
      <c r="F1111" s="28" t="s">
        <v>2207</v>
      </c>
    </row>
    <row r="1112" spans="1:6" x14ac:dyDescent="0.2">
      <c r="A1112" s="30">
        <v>45739</v>
      </c>
      <c r="B1112" s="28" t="s">
        <v>2074</v>
      </c>
      <c r="C1112" s="28">
        <v>29.27</v>
      </c>
      <c r="D1112" s="28" t="str">
        <f>_xlfn.XLOOKUP(B1112,'Payee Ref'!A:A,'Payee Ref'!B:B,"unassigned",0,1)</f>
        <v>Dining</v>
      </c>
      <c r="E1112" s="29" t="str">
        <f>_xlfn.XLOOKUP(B1112,'Payee Ref'!A:A,'Payee Ref'!C:C,"unassigned",0,1)</f>
        <v>Luxury</v>
      </c>
      <c r="F1112" s="28" t="s">
        <v>2207</v>
      </c>
    </row>
    <row r="1113" spans="1:6" x14ac:dyDescent="0.2">
      <c r="A1113" s="30">
        <v>45942</v>
      </c>
      <c r="B1113" s="28" t="s">
        <v>352</v>
      </c>
      <c r="C1113" s="28">
        <v>29.45</v>
      </c>
      <c r="D1113" s="28" t="str">
        <f>_xlfn.XLOOKUP(B1113,'Payee Ref'!A:A,'Payee Ref'!B:B,"unassigned",0,1)</f>
        <v>Dining</v>
      </c>
      <c r="E1113" s="29" t="str">
        <f>_xlfn.XLOOKUP(B1113,'Payee Ref'!A:A,'Payee Ref'!C:C,"unassigned",0,1)</f>
        <v>Luxury</v>
      </c>
      <c r="F1113" s="28" t="s">
        <v>2207</v>
      </c>
    </row>
    <row r="1114" spans="1:6" x14ac:dyDescent="0.2">
      <c r="A1114" s="30">
        <v>45860</v>
      </c>
      <c r="B1114" s="28" t="s">
        <v>1778</v>
      </c>
      <c r="C1114" s="28">
        <v>29.45</v>
      </c>
      <c r="D1114" s="28" t="str">
        <f>_xlfn.XLOOKUP(B1114,'Payee Ref'!A:A,'Payee Ref'!B:B,"unassigned",0,1)</f>
        <v>Travel</v>
      </c>
      <c r="E1114" s="29" t="str">
        <f>_xlfn.XLOOKUP(B1114,'Payee Ref'!A:A,'Payee Ref'!C:C,"unassigned",0,1)</f>
        <v>Luxury</v>
      </c>
      <c r="F1114" s="28" t="s">
        <v>2207</v>
      </c>
    </row>
    <row r="1115" spans="1:6" x14ac:dyDescent="0.2">
      <c r="A1115" s="30">
        <v>45887</v>
      </c>
      <c r="B1115" s="28" t="s">
        <v>1562</v>
      </c>
      <c r="C1115" s="28">
        <v>29.51</v>
      </c>
      <c r="D1115" s="28" t="str">
        <f>_xlfn.XLOOKUP(B1115,'Payee Ref'!A:A,'Payee Ref'!B:B,"unassigned",0,1)</f>
        <v>Dining</v>
      </c>
      <c r="E1115" s="29" t="str">
        <f>_xlfn.XLOOKUP(B1115,'Payee Ref'!A:A,'Payee Ref'!C:C,"unassigned",0,1)</f>
        <v>Luxury</v>
      </c>
      <c r="F1115" s="28" t="s">
        <v>2207</v>
      </c>
    </row>
    <row r="1116" spans="1:6" x14ac:dyDescent="0.2">
      <c r="A1116" s="30">
        <v>45903</v>
      </c>
      <c r="B1116" s="28" t="s">
        <v>1562</v>
      </c>
      <c r="C1116" s="28">
        <v>29.54</v>
      </c>
      <c r="D1116" s="28" t="str">
        <f>_xlfn.XLOOKUP(B1116,'Payee Ref'!A:A,'Payee Ref'!B:B,"unassigned",0,1)</f>
        <v>Dining</v>
      </c>
      <c r="E1116" s="29" t="str">
        <f>_xlfn.XLOOKUP(B1116,'Payee Ref'!A:A,'Payee Ref'!C:C,"unassigned",0,1)</f>
        <v>Luxury</v>
      </c>
      <c r="F1116" s="28" t="s">
        <v>2207</v>
      </c>
    </row>
    <row r="1117" spans="1:6" x14ac:dyDescent="0.2">
      <c r="A1117" s="30">
        <v>45913</v>
      </c>
      <c r="B1117" s="28" t="s">
        <v>1648</v>
      </c>
      <c r="C1117" s="28">
        <v>29.55</v>
      </c>
      <c r="D1117" s="28" t="str">
        <f>_xlfn.XLOOKUP(B1117,'Payee Ref'!A:A,'Payee Ref'!B:B,"unassigned",0,1)</f>
        <v>Auto</v>
      </c>
      <c r="E1117" s="29" t="str">
        <f>_xlfn.XLOOKUP(B1117,'Payee Ref'!A:A,'Payee Ref'!C:C,"unassigned",0,1)</f>
        <v>Basic</v>
      </c>
      <c r="F1117" s="28" t="s">
        <v>2207</v>
      </c>
    </row>
    <row r="1118" spans="1:6" x14ac:dyDescent="0.2">
      <c r="A1118" s="30">
        <v>45720</v>
      </c>
      <c r="B1118" s="28" t="s">
        <v>2102</v>
      </c>
      <c r="C1118" s="28">
        <v>29.69</v>
      </c>
      <c r="D1118" s="28" t="str">
        <f>_xlfn.XLOOKUP(B1118,'Payee Ref'!A:A,'Payee Ref'!B:B,"unassigned",0,1)</f>
        <v>Dining</v>
      </c>
      <c r="E1118" s="29" t="str">
        <f>_xlfn.XLOOKUP(B1118,'Payee Ref'!A:A,'Payee Ref'!C:C,"unassigned",0,1)</f>
        <v>Luxury</v>
      </c>
      <c r="F1118" s="28" t="s">
        <v>2207</v>
      </c>
    </row>
    <row r="1119" spans="1:6" x14ac:dyDescent="0.2">
      <c r="A1119" s="30">
        <v>45694</v>
      </c>
      <c r="B1119" s="28" t="s">
        <v>2131</v>
      </c>
      <c r="C1119" s="28">
        <v>29.76</v>
      </c>
      <c r="D1119" s="28" t="str">
        <f>_xlfn.XLOOKUP(B1119,'Payee Ref'!A:A,'Payee Ref'!B:B,"unassigned",0,1)</f>
        <v>Home &amp; Garden</v>
      </c>
      <c r="E1119" s="29" t="str">
        <f>_xlfn.XLOOKUP(B1119,'Payee Ref'!A:A,'Payee Ref'!C:C,"unassigned",0,1)</f>
        <v>Basic</v>
      </c>
      <c r="F1119" s="28" t="s">
        <v>2207</v>
      </c>
    </row>
    <row r="1120" spans="1:6" x14ac:dyDescent="0.2">
      <c r="A1120" s="30">
        <v>45828</v>
      </c>
      <c r="B1120" s="28" t="s">
        <v>1924</v>
      </c>
      <c r="C1120" s="28">
        <v>29.77</v>
      </c>
      <c r="D1120" s="28" t="str">
        <f>_xlfn.XLOOKUP(B1120,'Payee Ref'!A:A,'Payee Ref'!B:B,"unassigned",0,1)</f>
        <v>Travel</v>
      </c>
      <c r="E1120" s="29" t="str">
        <f>_xlfn.XLOOKUP(B1120,'Payee Ref'!A:A,'Payee Ref'!C:C,"unassigned",0,1)</f>
        <v>Luxury</v>
      </c>
      <c r="F1120" s="28" t="s">
        <v>2207</v>
      </c>
    </row>
    <row r="1121" spans="1:6" x14ac:dyDescent="0.2">
      <c r="A1121" s="30">
        <v>45869</v>
      </c>
      <c r="B1121" s="28" t="s">
        <v>1766</v>
      </c>
      <c r="C1121" s="28">
        <v>29.77</v>
      </c>
      <c r="D1121" s="28" t="str">
        <f>_xlfn.XLOOKUP(B1121,'Payee Ref'!A:A,'Payee Ref'!B:B,"unassigned",0,1)</f>
        <v>Travel</v>
      </c>
      <c r="E1121" s="29" t="str">
        <f>_xlfn.XLOOKUP(B1121,'Payee Ref'!A:A,'Payee Ref'!C:C,"unassigned",0,1)</f>
        <v>Luxury</v>
      </c>
      <c r="F1121" s="28" t="s">
        <v>2207</v>
      </c>
    </row>
    <row r="1122" spans="1:6" x14ac:dyDescent="0.2">
      <c r="A1122" s="30">
        <v>45662</v>
      </c>
      <c r="B1122" s="28" t="s">
        <v>2181</v>
      </c>
      <c r="C1122" s="28">
        <v>29.78</v>
      </c>
      <c r="D1122" s="28" t="str">
        <f>_xlfn.XLOOKUP(B1122,'Payee Ref'!A:A,'Payee Ref'!B:B,"unassigned",0,1)</f>
        <v>Clothing</v>
      </c>
      <c r="E1122" s="29" t="str">
        <f>_xlfn.XLOOKUP(B1122,'Payee Ref'!A:A,'Payee Ref'!C:C,"unassigned",0,1)</f>
        <v>Luxury</v>
      </c>
      <c r="F1122" s="28" t="s">
        <v>2207</v>
      </c>
    </row>
    <row r="1123" spans="1:6" x14ac:dyDescent="0.2">
      <c r="A1123" s="30">
        <v>45861</v>
      </c>
      <c r="B1123" s="28" t="s">
        <v>1811</v>
      </c>
      <c r="C1123" s="28">
        <v>29.78</v>
      </c>
      <c r="D1123" s="28" t="str">
        <f>_xlfn.XLOOKUP(B1123,'Payee Ref'!A:A,'Payee Ref'!B:B,"unassigned",0,1)</f>
        <v>Groceries</v>
      </c>
      <c r="E1123" s="29" t="str">
        <f>_xlfn.XLOOKUP(B1123,'Payee Ref'!A:A,'Payee Ref'!C:C,"unassigned",0,1)</f>
        <v>Basic</v>
      </c>
      <c r="F1123" s="28" t="s">
        <v>2207</v>
      </c>
    </row>
    <row r="1124" spans="1:6" x14ac:dyDescent="0.2">
      <c r="A1124" s="30">
        <v>45982</v>
      </c>
      <c r="B1124" s="28" t="s">
        <v>406</v>
      </c>
      <c r="C1124" s="28">
        <v>29.98</v>
      </c>
      <c r="D1124" s="28" t="str">
        <f>_xlfn.XLOOKUP(B1124,'Payee Ref'!A:A,'Payee Ref'!B:B,"unassigned",0,1)</f>
        <v>Dining</v>
      </c>
      <c r="E1124" s="29" t="str">
        <f>_xlfn.XLOOKUP(B1124,'Payee Ref'!A:A,'Payee Ref'!C:C,"unassigned",0,1)</f>
        <v>Luxury</v>
      </c>
      <c r="F1124" s="28" t="s">
        <v>2207</v>
      </c>
    </row>
    <row r="1125" spans="1:6" x14ac:dyDescent="0.2">
      <c r="A1125" s="30">
        <v>45984</v>
      </c>
      <c r="B1125" s="28" t="s">
        <v>592</v>
      </c>
      <c r="C1125" s="28">
        <v>29.99</v>
      </c>
      <c r="D1125" s="28" t="str">
        <f>_xlfn.XLOOKUP(B1125,'Payee Ref'!A:A,'Payee Ref'!B:B,"unassigned",0,1)</f>
        <v>Hardware Technology</v>
      </c>
      <c r="E1125" s="29" t="str">
        <f>_xlfn.XLOOKUP(B1125,'Payee Ref'!A:A,'Payee Ref'!C:C,"unassigned",0,1)</f>
        <v>Basic</v>
      </c>
      <c r="F1125" s="28" t="s">
        <v>2207</v>
      </c>
    </row>
    <row r="1126" spans="1:6" x14ac:dyDescent="0.2">
      <c r="A1126" s="30">
        <v>45953</v>
      </c>
      <c r="B1126" s="28" t="s">
        <v>592</v>
      </c>
      <c r="C1126" s="28">
        <v>29.99</v>
      </c>
      <c r="D1126" s="28" t="str">
        <f>_xlfn.XLOOKUP(B1126,'Payee Ref'!A:A,'Payee Ref'!B:B,"unassigned",0,1)</f>
        <v>Hardware Technology</v>
      </c>
      <c r="E1126" s="29" t="str">
        <f>_xlfn.XLOOKUP(B1126,'Payee Ref'!A:A,'Payee Ref'!C:C,"unassigned",0,1)</f>
        <v>Basic</v>
      </c>
      <c r="F1126" s="28" t="s">
        <v>2207</v>
      </c>
    </row>
    <row r="1127" spans="1:6" x14ac:dyDescent="0.2">
      <c r="A1127" s="30">
        <v>45923</v>
      </c>
      <c r="B1127" s="31" t="s">
        <v>1543</v>
      </c>
      <c r="C1127" s="28">
        <v>29.99</v>
      </c>
      <c r="D1127" s="28" t="str">
        <f>_xlfn.XLOOKUP(B1127,'Payee Ref'!A:A,'Payee Ref'!B:B,"unassigned",0,1)</f>
        <v>Subscriptions / Digital</v>
      </c>
      <c r="E1127" s="29" t="str">
        <f>_xlfn.XLOOKUP(B1127,'Payee Ref'!A:A,'Payee Ref'!C:C,"unassigned",0,1)</f>
        <v>Luxury</v>
      </c>
      <c r="F1127" s="28" t="s">
        <v>2207</v>
      </c>
    </row>
    <row r="1128" spans="1:6" x14ac:dyDescent="0.2">
      <c r="A1128" s="30">
        <v>45892</v>
      </c>
      <c r="B1128" s="31" t="s">
        <v>1543</v>
      </c>
      <c r="C1128" s="28">
        <v>29.99</v>
      </c>
      <c r="D1128" s="28" t="str">
        <f>_xlfn.XLOOKUP(B1128,'Payee Ref'!A:A,'Payee Ref'!B:B,"unassigned",0,1)</f>
        <v>Subscriptions / Digital</v>
      </c>
      <c r="E1128" s="29" t="str">
        <f>_xlfn.XLOOKUP(B1128,'Payee Ref'!A:A,'Payee Ref'!C:C,"unassigned",0,1)</f>
        <v>Luxury</v>
      </c>
      <c r="F1128" s="28" t="s">
        <v>2207</v>
      </c>
    </row>
    <row r="1129" spans="1:6" x14ac:dyDescent="0.2">
      <c r="A1129" s="30">
        <v>45861</v>
      </c>
      <c r="B1129" s="31" t="s">
        <v>1543</v>
      </c>
      <c r="C1129" s="28">
        <v>29.99</v>
      </c>
      <c r="D1129" s="28" t="str">
        <f>_xlfn.XLOOKUP(B1129,'Payee Ref'!A:A,'Payee Ref'!B:B,"unassigned",0,1)</f>
        <v>Subscriptions / Digital</v>
      </c>
      <c r="E1129" s="29" t="str">
        <f>_xlfn.XLOOKUP(B1129,'Payee Ref'!A:A,'Payee Ref'!C:C,"unassigned",0,1)</f>
        <v>Luxury</v>
      </c>
      <c r="F1129" s="28" t="s">
        <v>2207</v>
      </c>
    </row>
    <row r="1130" spans="1:6" x14ac:dyDescent="0.2">
      <c r="A1130" s="30">
        <v>45831</v>
      </c>
      <c r="B1130" s="31" t="s">
        <v>1543</v>
      </c>
      <c r="C1130" s="28">
        <v>29.99</v>
      </c>
      <c r="D1130" s="28" t="str">
        <f>_xlfn.XLOOKUP(B1130,'Payee Ref'!A:A,'Payee Ref'!B:B,"unassigned",0,1)</f>
        <v>Subscriptions / Digital</v>
      </c>
      <c r="E1130" s="29" t="str">
        <f>_xlfn.XLOOKUP(B1130,'Payee Ref'!A:A,'Payee Ref'!C:C,"unassigned",0,1)</f>
        <v>Luxury</v>
      </c>
      <c r="F1130" s="28" t="s">
        <v>2207</v>
      </c>
    </row>
    <row r="1131" spans="1:6" x14ac:dyDescent="0.2">
      <c r="A1131" s="30">
        <v>45838</v>
      </c>
      <c r="B1131" s="28" t="s">
        <v>1872</v>
      </c>
      <c r="C1131" s="28">
        <v>30</v>
      </c>
      <c r="D1131" s="28" t="str">
        <f>_xlfn.XLOOKUP(B1131,'Payee Ref'!A:A,'Payee Ref'!B:B,"unassigned",0,1)</f>
        <v>Membership</v>
      </c>
      <c r="E1131" s="29" t="str">
        <f>_xlfn.XLOOKUP(B1131,'Payee Ref'!A:A,'Payee Ref'!C:C,"unassigned",0,1)</f>
        <v>Luxury</v>
      </c>
      <c r="F1131" s="28" t="s">
        <v>2207</v>
      </c>
    </row>
    <row r="1132" spans="1:6" x14ac:dyDescent="0.2">
      <c r="A1132" s="30">
        <v>45948</v>
      </c>
      <c r="B1132" s="28" t="s">
        <v>903</v>
      </c>
      <c r="C1132" s="28">
        <v>30</v>
      </c>
      <c r="D1132" s="28" t="str">
        <f>_xlfn.XLOOKUP(B1132,'Payee Ref'!A:A,'Payee Ref'!B:B,"unassigned",0,1)</f>
        <v>Subscriptions / Digital</v>
      </c>
      <c r="E1132" s="29" t="str">
        <f>_xlfn.XLOOKUP(B1132,'Payee Ref'!A:A,'Payee Ref'!C:C,"unassigned",0,1)</f>
        <v>Luxury</v>
      </c>
      <c r="F1132" s="28" t="s">
        <v>2207</v>
      </c>
    </row>
    <row r="1133" spans="1:6" x14ac:dyDescent="0.2">
      <c r="A1133" s="30">
        <v>45830</v>
      </c>
      <c r="B1133" s="28" t="s">
        <v>1918</v>
      </c>
      <c r="C1133" s="28">
        <v>30</v>
      </c>
      <c r="D1133" s="28" t="str">
        <f>_xlfn.XLOOKUP(B1133,'Payee Ref'!A:A,'Payee Ref'!B:B,"unassigned",0,1)</f>
        <v>Travel</v>
      </c>
      <c r="E1133" s="29" t="str">
        <f>_xlfn.XLOOKUP(B1133,'Payee Ref'!A:A,'Payee Ref'!C:C,"unassigned",0,1)</f>
        <v>Luxury</v>
      </c>
      <c r="F1133" s="28" t="s">
        <v>2207</v>
      </c>
    </row>
    <row r="1134" spans="1:6" x14ac:dyDescent="0.2">
      <c r="A1134" s="30">
        <v>45969</v>
      </c>
      <c r="B1134" s="28" t="s">
        <v>406</v>
      </c>
      <c r="C1134" s="28">
        <v>30.31</v>
      </c>
      <c r="D1134" s="28" t="str">
        <f>_xlfn.XLOOKUP(B1134,'Payee Ref'!A:A,'Payee Ref'!B:B,"unassigned",0,1)</f>
        <v>Dining</v>
      </c>
      <c r="E1134" s="29" t="str">
        <f>_xlfn.XLOOKUP(B1134,'Payee Ref'!A:A,'Payee Ref'!C:C,"unassigned",0,1)</f>
        <v>Luxury</v>
      </c>
      <c r="F1134" s="28" t="s">
        <v>2207</v>
      </c>
    </row>
    <row r="1135" spans="1:6" x14ac:dyDescent="0.2">
      <c r="A1135" s="30">
        <v>45899</v>
      </c>
      <c r="B1135" s="28" t="s">
        <v>1676</v>
      </c>
      <c r="C1135" s="28">
        <v>30.35</v>
      </c>
      <c r="D1135" s="28" t="str">
        <f>_xlfn.XLOOKUP(B1135,'Payee Ref'!A:A,'Payee Ref'!B:B,"unassigned",0,1)</f>
        <v>Dining</v>
      </c>
      <c r="E1135" s="29" t="str">
        <f>_xlfn.XLOOKUP(B1135,'Payee Ref'!A:A,'Payee Ref'!C:C,"unassigned",0,1)</f>
        <v>Luxury</v>
      </c>
      <c r="F1135" s="28" t="s">
        <v>2207</v>
      </c>
    </row>
    <row r="1136" spans="1:6" x14ac:dyDescent="0.2">
      <c r="A1136" s="30">
        <v>45786</v>
      </c>
      <c r="B1136" s="28" t="s">
        <v>1965</v>
      </c>
      <c r="C1136" s="28">
        <v>30.48</v>
      </c>
      <c r="D1136" s="28" t="str">
        <f>_xlfn.XLOOKUP(B1136,'Payee Ref'!A:A,'Payee Ref'!B:B,"unassigned",0,1)</f>
        <v>Dining</v>
      </c>
      <c r="E1136" s="29" t="str">
        <f>_xlfn.XLOOKUP(B1136,'Payee Ref'!A:A,'Payee Ref'!C:C,"unassigned",0,1)</f>
        <v>Luxury</v>
      </c>
      <c r="F1136" s="28" t="s">
        <v>2207</v>
      </c>
    </row>
    <row r="1137" spans="1:6" x14ac:dyDescent="0.2">
      <c r="A1137" s="30">
        <v>45874</v>
      </c>
      <c r="B1137" s="28" t="s">
        <v>1539</v>
      </c>
      <c r="C1137" s="28">
        <v>30.53</v>
      </c>
      <c r="D1137" s="28" t="str">
        <f>_xlfn.XLOOKUP(B1137,'Payee Ref'!A:A,'Payee Ref'!B:B,"unassigned",0,1)</f>
        <v>Groceries</v>
      </c>
      <c r="E1137" s="29" t="str">
        <f>_xlfn.XLOOKUP(B1137,'Payee Ref'!A:A,'Payee Ref'!C:C,"unassigned",0,1)</f>
        <v>Basic</v>
      </c>
      <c r="F1137" s="28" t="s">
        <v>2207</v>
      </c>
    </row>
    <row r="1138" spans="1:6" x14ac:dyDescent="0.2">
      <c r="A1138" s="30">
        <v>45807</v>
      </c>
      <c r="B1138" s="28" t="s">
        <v>1534</v>
      </c>
      <c r="C1138" s="28">
        <v>30.6</v>
      </c>
      <c r="D1138" s="28" t="str">
        <f>_xlfn.XLOOKUP(B1138,'Payee Ref'!A:A,'Payee Ref'!B:B,"unassigned",0,1)</f>
        <v>Dining</v>
      </c>
      <c r="E1138" s="29" t="str">
        <f>_xlfn.XLOOKUP(B1138,'Payee Ref'!A:A,'Payee Ref'!C:C,"unassigned",0,1)</f>
        <v>Luxury</v>
      </c>
      <c r="F1138" s="28" t="s">
        <v>2207</v>
      </c>
    </row>
    <row r="1139" spans="1:6" x14ac:dyDescent="0.2">
      <c r="A1139" s="30">
        <v>45954</v>
      </c>
      <c r="B1139" s="28" t="s">
        <v>406</v>
      </c>
      <c r="C1139" s="28">
        <v>30.63</v>
      </c>
      <c r="D1139" s="28" t="str">
        <f>_xlfn.XLOOKUP(B1139,'Payee Ref'!A:A,'Payee Ref'!B:B,"unassigned",0,1)</f>
        <v>Dining</v>
      </c>
      <c r="E1139" s="29" t="str">
        <f>_xlfn.XLOOKUP(B1139,'Payee Ref'!A:A,'Payee Ref'!C:C,"unassigned",0,1)</f>
        <v>Luxury</v>
      </c>
      <c r="F1139" s="28" t="s">
        <v>2207</v>
      </c>
    </row>
    <row r="1140" spans="1:6" x14ac:dyDescent="0.2">
      <c r="A1140" s="30">
        <v>45939</v>
      </c>
      <c r="B1140" s="28" t="s">
        <v>168</v>
      </c>
      <c r="C1140" s="28">
        <v>30.77</v>
      </c>
      <c r="D1140" s="28" t="str">
        <f>_xlfn.XLOOKUP(B1140,'Payee Ref'!A:A,'Payee Ref'!B:B,"unassigned",0,1)</f>
        <v>Dining</v>
      </c>
      <c r="E1140" s="29" t="str">
        <f>_xlfn.XLOOKUP(B1140,'Payee Ref'!A:A,'Payee Ref'!C:C,"unassigned",0,1)</f>
        <v>Luxury</v>
      </c>
      <c r="F1140" s="28" t="s">
        <v>2207</v>
      </c>
    </row>
    <row r="1141" spans="1:6" x14ac:dyDescent="0.2">
      <c r="A1141" s="30">
        <v>45883</v>
      </c>
      <c r="B1141" s="28" t="s">
        <v>1724</v>
      </c>
      <c r="C1141" s="28">
        <v>30.8</v>
      </c>
      <c r="D1141" s="28" t="str">
        <f>_xlfn.XLOOKUP(B1141,'Payee Ref'!A:A,'Payee Ref'!B:B,"unassigned",0,1)</f>
        <v>Dining</v>
      </c>
      <c r="E1141" s="29" t="str">
        <f>_xlfn.XLOOKUP(B1141,'Payee Ref'!A:A,'Payee Ref'!C:C,"unassigned",0,1)</f>
        <v>Luxury</v>
      </c>
      <c r="F1141" s="28" t="s">
        <v>2207</v>
      </c>
    </row>
    <row r="1142" spans="1:6" x14ac:dyDescent="0.2">
      <c r="A1142" s="30">
        <v>45942</v>
      </c>
      <c r="B1142" s="28" t="s">
        <v>1205</v>
      </c>
      <c r="C1142" s="28">
        <v>30.83</v>
      </c>
      <c r="D1142" s="28" t="str">
        <f>_xlfn.XLOOKUP(B1142,'Payee Ref'!A:A,'Payee Ref'!B:B,"unassigned",0,1)</f>
        <v>Travel</v>
      </c>
      <c r="E1142" s="29" t="str">
        <f>_xlfn.XLOOKUP(B1142,'Payee Ref'!A:A,'Payee Ref'!C:C,"unassigned",0,1)</f>
        <v>Luxury</v>
      </c>
      <c r="F1142" s="28" t="s">
        <v>2207</v>
      </c>
    </row>
    <row r="1143" spans="1:6" x14ac:dyDescent="0.2">
      <c r="A1143" s="30">
        <v>45896</v>
      </c>
      <c r="B1143" s="28" t="s">
        <v>1619</v>
      </c>
      <c r="C1143" s="28">
        <v>30.9</v>
      </c>
      <c r="D1143" s="28" t="str">
        <f>_xlfn.XLOOKUP(B1143,'Payee Ref'!A:A,'Payee Ref'!B:B,"unassigned",0,1)</f>
        <v>Travel</v>
      </c>
      <c r="E1143" s="29" t="str">
        <f>_xlfn.XLOOKUP(B1143,'Payee Ref'!A:A,'Payee Ref'!C:C,"unassigned",0,1)</f>
        <v>Luxury</v>
      </c>
      <c r="F1143" s="28" t="s">
        <v>2207</v>
      </c>
    </row>
    <row r="1144" spans="1:6" x14ac:dyDescent="0.2">
      <c r="A1144" s="30">
        <v>45946</v>
      </c>
      <c r="B1144" s="28" t="s">
        <v>1218</v>
      </c>
      <c r="C1144" s="28">
        <v>30.91</v>
      </c>
      <c r="D1144" s="28" t="str">
        <f>_xlfn.XLOOKUP(B1144,'Payee Ref'!A:A,'Payee Ref'!B:B,"unassigned",0,1)</f>
        <v>Auto</v>
      </c>
      <c r="E1144" s="29" t="str">
        <f>_xlfn.XLOOKUP(B1144,'Payee Ref'!A:A,'Payee Ref'!C:C,"unassigned",0,1)</f>
        <v>Basic</v>
      </c>
      <c r="F1144" s="28" t="s">
        <v>2207</v>
      </c>
    </row>
    <row r="1145" spans="1:6" x14ac:dyDescent="0.2">
      <c r="A1145" s="30">
        <v>45734</v>
      </c>
      <c r="B1145" s="28" t="s">
        <v>1534</v>
      </c>
      <c r="C1145" s="28">
        <v>31.41</v>
      </c>
      <c r="D1145" s="28" t="str">
        <f>_xlfn.XLOOKUP(B1145,'Payee Ref'!A:A,'Payee Ref'!B:B,"unassigned",0,1)</f>
        <v>Dining</v>
      </c>
      <c r="E1145" s="29" t="str">
        <f>_xlfn.XLOOKUP(B1145,'Payee Ref'!A:A,'Payee Ref'!C:C,"unassigned",0,1)</f>
        <v>Luxury</v>
      </c>
      <c r="F1145" s="28" t="s">
        <v>2207</v>
      </c>
    </row>
    <row r="1146" spans="1:6" x14ac:dyDescent="0.2">
      <c r="A1146" s="30">
        <v>45921</v>
      </c>
      <c r="B1146" s="28" t="s">
        <v>1635</v>
      </c>
      <c r="C1146" s="28">
        <v>31.42</v>
      </c>
      <c r="D1146" s="28" t="str">
        <f>_xlfn.XLOOKUP(B1146,'Payee Ref'!A:A,'Payee Ref'!B:B,"unassigned",0,1)</f>
        <v>Travel</v>
      </c>
      <c r="E1146" s="29" t="str">
        <f>_xlfn.XLOOKUP(B1146,'Payee Ref'!A:A,'Payee Ref'!C:C,"unassigned",0,1)</f>
        <v>Luxury</v>
      </c>
      <c r="F1146" s="28" t="s">
        <v>2207</v>
      </c>
    </row>
    <row r="1147" spans="1:6" x14ac:dyDescent="0.2">
      <c r="A1147" s="30">
        <v>45926</v>
      </c>
      <c r="B1147" s="28" t="s">
        <v>1619</v>
      </c>
      <c r="C1147" s="28">
        <v>31.45</v>
      </c>
      <c r="D1147" s="28" t="str">
        <f>_xlfn.XLOOKUP(B1147,'Payee Ref'!A:A,'Payee Ref'!B:B,"unassigned",0,1)</f>
        <v>Travel</v>
      </c>
      <c r="E1147" s="29" t="str">
        <f>_xlfn.XLOOKUP(B1147,'Payee Ref'!A:A,'Payee Ref'!C:C,"unassigned",0,1)</f>
        <v>Luxury</v>
      </c>
      <c r="F1147" s="28" t="s">
        <v>2207</v>
      </c>
    </row>
    <row r="1148" spans="1:6" x14ac:dyDescent="0.2">
      <c r="A1148" s="30">
        <v>45683</v>
      </c>
      <c r="B1148" s="28" t="s">
        <v>1574</v>
      </c>
      <c r="C1148" s="28">
        <v>31.51</v>
      </c>
      <c r="D1148" s="28" t="str">
        <f>_xlfn.XLOOKUP(B1148,'Payee Ref'!A:A,'Payee Ref'!B:B,"unassigned",0,1)</f>
        <v>Groceries</v>
      </c>
      <c r="E1148" s="29" t="str">
        <f>_xlfn.XLOOKUP(B1148,'Payee Ref'!A:A,'Payee Ref'!C:C,"unassigned",0,1)</f>
        <v>Basic</v>
      </c>
      <c r="F1148" s="28" t="s">
        <v>2207</v>
      </c>
    </row>
    <row r="1149" spans="1:6" x14ac:dyDescent="0.2">
      <c r="A1149" s="30">
        <v>45856</v>
      </c>
      <c r="B1149" s="31" t="s">
        <v>1826</v>
      </c>
      <c r="C1149" s="28">
        <v>31.53</v>
      </c>
      <c r="D1149" s="28" t="str">
        <f>_xlfn.XLOOKUP(B1149,'Payee Ref'!A:A,'Payee Ref'!B:B,"unassigned",0,1)</f>
        <v>Home &amp; Garden</v>
      </c>
      <c r="E1149" s="29" t="str">
        <f>_xlfn.XLOOKUP(B1149,'Payee Ref'!A:A,'Payee Ref'!C:C,"unassigned",0,1)</f>
        <v>Basic</v>
      </c>
      <c r="F1149" s="28" t="s">
        <v>2207</v>
      </c>
    </row>
    <row r="1150" spans="1:6" x14ac:dyDescent="0.2">
      <c r="A1150" s="30">
        <v>45669</v>
      </c>
      <c r="B1150" s="31" t="s">
        <v>1604</v>
      </c>
      <c r="C1150" s="28">
        <v>31.7</v>
      </c>
      <c r="D1150" s="28" t="str">
        <f>_xlfn.XLOOKUP(B1150,'Payee Ref'!A:A,'Payee Ref'!B:B,"unassigned",0,1)</f>
        <v>Travel</v>
      </c>
      <c r="E1150" s="29" t="str">
        <f>_xlfn.XLOOKUP(B1150,'Payee Ref'!A:A,'Payee Ref'!C:C,"unassigned",0,1)</f>
        <v>Luxury</v>
      </c>
      <c r="F1150" s="28" t="s">
        <v>2207</v>
      </c>
    </row>
    <row r="1151" spans="1:6" x14ac:dyDescent="0.2">
      <c r="A1151" s="30">
        <v>45847</v>
      </c>
      <c r="B1151" s="28" t="s">
        <v>1843</v>
      </c>
      <c r="C1151" s="28">
        <v>32.24</v>
      </c>
      <c r="D1151" s="28" t="str">
        <f>_xlfn.XLOOKUP(B1151,'Payee Ref'!A:A,'Payee Ref'!B:B,"unassigned",0,1)</f>
        <v>Home &amp; Garden</v>
      </c>
      <c r="E1151" s="29" t="str">
        <f>_xlfn.XLOOKUP(B1151,'Payee Ref'!A:A,'Payee Ref'!C:C,"unassigned",0,1)</f>
        <v>Basic</v>
      </c>
      <c r="F1151" s="28" t="s">
        <v>2207</v>
      </c>
    </row>
    <row r="1152" spans="1:6" x14ac:dyDescent="0.2">
      <c r="A1152" s="30">
        <v>45757</v>
      </c>
      <c r="B1152" s="28" t="s">
        <v>2040</v>
      </c>
      <c r="C1152" s="28">
        <v>32.43</v>
      </c>
      <c r="D1152" s="28" t="str">
        <f>_xlfn.XLOOKUP(B1152,'Payee Ref'!A:A,'Payee Ref'!B:B,"unassigned",0,1)</f>
        <v>Dining</v>
      </c>
      <c r="E1152" s="29" t="str">
        <f>_xlfn.XLOOKUP(B1152,'Payee Ref'!A:A,'Payee Ref'!C:C,"unassigned",0,1)</f>
        <v>Luxury</v>
      </c>
      <c r="F1152" s="28" t="s">
        <v>2207</v>
      </c>
    </row>
    <row r="1153" spans="1:6" x14ac:dyDescent="0.2">
      <c r="A1153" s="30">
        <v>45918</v>
      </c>
      <c r="B1153" s="28" t="s">
        <v>1619</v>
      </c>
      <c r="C1153" s="28">
        <v>32.44</v>
      </c>
      <c r="D1153" s="28" t="str">
        <f>_xlfn.XLOOKUP(B1153,'Payee Ref'!A:A,'Payee Ref'!B:B,"unassigned",0,1)</f>
        <v>Travel</v>
      </c>
      <c r="E1153" s="29" t="str">
        <f>_xlfn.XLOOKUP(B1153,'Payee Ref'!A:A,'Payee Ref'!C:C,"unassigned",0,1)</f>
        <v>Luxury</v>
      </c>
      <c r="F1153" s="28" t="s">
        <v>2207</v>
      </c>
    </row>
    <row r="1154" spans="1:6" x14ac:dyDescent="0.2">
      <c r="A1154" s="30">
        <v>45943</v>
      </c>
      <c r="B1154" s="28" t="s">
        <v>237</v>
      </c>
      <c r="C1154" s="28">
        <v>32.450000000000003</v>
      </c>
      <c r="D1154" s="28" t="str">
        <f>_xlfn.XLOOKUP(B1154,'Payee Ref'!A:A,'Payee Ref'!B:B,"unassigned",0,1)</f>
        <v>Dining</v>
      </c>
      <c r="E1154" s="29" t="str">
        <f>_xlfn.XLOOKUP(B1154,'Payee Ref'!A:A,'Payee Ref'!C:C,"unassigned",0,1)</f>
        <v>Luxury</v>
      </c>
      <c r="F1154" s="28" t="s">
        <v>2207</v>
      </c>
    </row>
    <row r="1155" spans="1:6" x14ac:dyDescent="0.2">
      <c r="A1155" s="30">
        <v>45861</v>
      </c>
      <c r="B1155" s="28" t="s">
        <v>1536</v>
      </c>
      <c r="C1155" s="28">
        <v>32.49</v>
      </c>
      <c r="D1155" s="28" t="str">
        <f>_xlfn.XLOOKUP(B1155,'Payee Ref'!A:A,'Payee Ref'!B:B,"unassigned",0,1)</f>
        <v>Groceries</v>
      </c>
      <c r="E1155" s="29" t="str">
        <f>_xlfn.XLOOKUP(B1155,'Payee Ref'!A:A,'Payee Ref'!C:C,"unassigned",0,1)</f>
        <v>Basic</v>
      </c>
      <c r="F1155" s="28" t="s">
        <v>2207</v>
      </c>
    </row>
    <row r="1156" spans="1:6" x14ac:dyDescent="0.2">
      <c r="A1156" s="30">
        <v>45924</v>
      </c>
      <c r="B1156" s="28" t="s">
        <v>1628</v>
      </c>
      <c r="C1156" s="28">
        <v>32.5</v>
      </c>
      <c r="D1156" s="28" t="str">
        <f>_xlfn.XLOOKUP(B1156,'Payee Ref'!A:A,'Payee Ref'!B:B,"unassigned",0,1)</f>
        <v>Groceries</v>
      </c>
      <c r="E1156" s="29" t="str">
        <f>_xlfn.XLOOKUP(B1156,'Payee Ref'!A:A,'Payee Ref'!C:C,"unassigned",0,1)</f>
        <v>Basic</v>
      </c>
      <c r="F1156" s="28" t="s">
        <v>2207</v>
      </c>
    </row>
    <row r="1157" spans="1:6" x14ac:dyDescent="0.2">
      <c r="A1157" s="30">
        <v>45671</v>
      </c>
      <c r="B1157" s="28" t="s">
        <v>2140</v>
      </c>
      <c r="C1157" s="28">
        <v>32.590000000000003</v>
      </c>
      <c r="D1157" s="28" t="str">
        <f>_xlfn.XLOOKUP(B1157,'Payee Ref'!A:A,'Payee Ref'!B:B,"unassigned",0,1)</f>
        <v>Dining</v>
      </c>
      <c r="E1157" s="29" t="str">
        <f>_xlfn.XLOOKUP(B1157,'Payee Ref'!A:A,'Payee Ref'!C:C,"unassigned",0,1)</f>
        <v>Luxury</v>
      </c>
      <c r="F1157" s="28" t="s">
        <v>2207</v>
      </c>
    </row>
    <row r="1158" spans="1:6" x14ac:dyDescent="0.2">
      <c r="A1158" s="30">
        <v>45947</v>
      </c>
      <c r="B1158" s="28" t="s">
        <v>546</v>
      </c>
      <c r="C1158" s="28">
        <v>32.67</v>
      </c>
      <c r="D1158" s="28" t="str">
        <f>_xlfn.XLOOKUP(B1158,'Payee Ref'!A:A,'Payee Ref'!B:B,"unassigned",0,1)</f>
        <v>Groceries</v>
      </c>
      <c r="E1158" s="29" t="str">
        <f>_xlfn.XLOOKUP(B1158,'Payee Ref'!A:A,'Payee Ref'!C:C,"unassigned",0,1)</f>
        <v>Basic</v>
      </c>
      <c r="F1158" s="28" t="s">
        <v>2207</v>
      </c>
    </row>
    <row r="1159" spans="1:6" x14ac:dyDescent="0.2">
      <c r="A1159" s="30">
        <v>45847</v>
      </c>
      <c r="B1159" s="28" t="s">
        <v>1539</v>
      </c>
      <c r="C1159" s="28">
        <v>32.729999999999997</v>
      </c>
      <c r="D1159" s="28" t="str">
        <f>_xlfn.XLOOKUP(B1159,'Payee Ref'!A:A,'Payee Ref'!B:B,"unassigned",0,1)</f>
        <v>Groceries</v>
      </c>
      <c r="E1159" s="29" t="str">
        <f>_xlfn.XLOOKUP(B1159,'Payee Ref'!A:A,'Payee Ref'!C:C,"unassigned",0,1)</f>
        <v>Basic</v>
      </c>
      <c r="F1159" s="28" t="s">
        <v>2207</v>
      </c>
    </row>
    <row r="1160" spans="1:6" x14ac:dyDescent="0.2">
      <c r="A1160" s="30">
        <v>45660</v>
      </c>
      <c r="B1160" s="28" t="s">
        <v>2192</v>
      </c>
      <c r="C1160" s="28">
        <v>32.93</v>
      </c>
      <c r="D1160" s="28" t="str">
        <f>_xlfn.XLOOKUP(B1160,'Payee Ref'!A:A,'Payee Ref'!B:B,"unassigned",0,1)</f>
        <v>Auto</v>
      </c>
      <c r="E1160" s="29" t="str">
        <f>_xlfn.XLOOKUP(B1160,'Payee Ref'!A:A,'Payee Ref'!C:C,"unassigned",0,1)</f>
        <v>Basic</v>
      </c>
      <c r="F1160" s="28" t="s">
        <v>2207</v>
      </c>
    </row>
    <row r="1161" spans="1:6" x14ac:dyDescent="0.2">
      <c r="A1161" s="30">
        <v>45824</v>
      </c>
      <c r="B1161" s="28" t="s">
        <v>1931</v>
      </c>
      <c r="C1161" s="28">
        <v>32.979999999999997</v>
      </c>
      <c r="D1161" s="28" t="str">
        <f>_xlfn.XLOOKUP(B1161,'Payee Ref'!A:A,'Payee Ref'!B:B,"unassigned",0,1)</f>
        <v>Health &amp; Medical</v>
      </c>
      <c r="E1161" s="29" t="str">
        <f>_xlfn.XLOOKUP(B1161,'Payee Ref'!A:A,'Payee Ref'!C:C,"unassigned",0,1)</f>
        <v>Basic</v>
      </c>
      <c r="F1161" s="28" t="s">
        <v>2207</v>
      </c>
    </row>
    <row r="1162" spans="1:6" x14ac:dyDescent="0.2">
      <c r="A1162" s="30">
        <v>45834</v>
      </c>
      <c r="B1162" s="28" t="s">
        <v>1619</v>
      </c>
      <c r="C1162" s="28">
        <v>32.99</v>
      </c>
      <c r="D1162" s="28" t="str">
        <f>_xlfn.XLOOKUP(B1162,'Payee Ref'!A:A,'Payee Ref'!B:B,"unassigned",0,1)</f>
        <v>Travel</v>
      </c>
      <c r="E1162" s="29" t="str">
        <f>_xlfn.XLOOKUP(B1162,'Payee Ref'!A:A,'Payee Ref'!C:C,"unassigned",0,1)</f>
        <v>Luxury</v>
      </c>
      <c r="F1162" s="28" t="s">
        <v>2207</v>
      </c>
    </row>
    <row r="1163" spans="1:6" x14ac:dyDescent="0.2">
      <c r="A1163" s="30">
        <v>45707</v>
      </c>
      <c r="B1163" s="28" t="s">
        <v>2115</v>
      </c>
      <c r="C1163" s="28">
        <v>32.99</v>
      </c>
      <c r="D1163" s="28" t="str">
        <f>_xlfn.XLOOKUP(B1163,'Payee Ref'!A:A,'Payee Ref'!B:B,"unassigned",0,1)</f>
        <v>Home &amp; Garden</v>
      </c>
      <c r="E1163" s="29" t="str">
        <f>_xlfn.XLOOKUP(B1163,'Payee Ref'!A:A,'Payee Ref'!C:C,"unassigned",0,1)</f>
        <v>Basic</v>
      </c>
      <c r="F1163" s="28" t="s">
        <v>2207</v>
      </c>
    </row>
    <row r="1164" spans="1:6" x14ac:dyDescent="0.2">
      <c r="A1164" s="30">
        <v>45942</v>
      </c>
      <c r="B1164" s="28" t="s">
        <v>39</v>
      </c>
      <c r="C1164" s="28">
        <v>33.049999999999997</v>
      </c>
      <c r="D1164" s="28" t="str">
        <f>_xlfn.XLOOKUP(B1164,'Payee Ref'!A:A,'Payee Ref'!B:B,"unassigned",0,1)</f>
        <v>Auto</v>
      </c>
      <c r="E1164" s="29" t="str">
        <f>_xlfn.XLOOKUP(B1164,'Payee Ref'!A:A,'Payee Ref'!C:C,"unassigned",0,1)</f>
        <v>Basic</v>
      </c>
      <c r="F1164" s="28" t="s">
        <v>2207</v>
      </c>
    </row>
    <row r="1165" spans="1:6" x14ac:dyDescent="0.2">
      <c r="A1165" s="30">
        <v>45855</v>
      </c>
      <c r="B1165" s="28" t="s">
        <v>1828</v>
      </c>
      <c r="C1165" s="28">
        <v>33.049999999999997</v>
      </c>
      <c r="D1165" s="28" t="str">
        <f>_xlfn.XLOOKUP(B1165,'Payee Ref'!A:A,'Payee Ref'!B:B,"unassigned",0,1)</f>
        <v>Extracirricular</v>
      </c>
      <c r="E1165" s="29" t="str">
        <f>_xlfn.XLOOKUP(B1165,'Payee Ref'!A:A,'Payee Ref'!C:C,"unassigned",0,1)</f>
        <v>Basic</v>
      </c>
      <c r="F1165" s="28" t="s">
        <v>2207</v>
      </c>
    </row>
    <row r="1166" spans="1:6" x14ac:dyDescent="0.2">
      <c r="A1166" s="30">
        <v>45860</v>
      </c>
      <c r="B1166" s="28" t="s">
        <v>1636</v>
      </c>
      <c r="C1166" s="28">
        <v>33.049999999999997</v>
      </c>
      <c r="D1166" s="28" t="str">
        <f>_xlfn.XLOOKUP(B1166,'Payee Ref'!A:A,'Payee Ref'!B:B,"unassigned",0,1)</f>
        <v>Home &amp; Garden</v>
      </c>
      <c r="E1166" s="29" t="str">
        <f>_xlfn.XLOOKUP(B1166,'Payee Ref'!A:A,'Payee Ref'!C:C,"unassigned",0,1)</f>
        <v>Basic</v>
      </c>
      <c r="F1166" s="28" t="s">
        <v>2207</v>
      </c>
    </row>
    <row r="1167" spans="1:6" x14ac:dyDescent="0.2">
      <c r="A1167" s="30">
        <v>45863</v>
      </c>
      <c r="B1167" s="28" t="s">
        <v>1661</v>
      </c>
      <c r="C1167" s="28">
        <v>33.08</v>
      </c>
      <c r="D1167" s="28" t="str">
        <f>_xlfn.XLOOKUP(B1167,'Payee Ref'!A:A,'Payee Ref'!B:B,"unassigned",0,1)</f>
        <v>Van</v>
      </c>
      <c r="E1167" s="29" t="str">
        <f>_xlfn.XLOOKUP(B1167,'Payee Ref'!A:A,'Payee Ref'!C:C,"unassigned",0,1)</f>
        <v>Luxury</v>
      </c>
      <c r="F1167" s="28" t="s">
        <v>2207</v>
      </c>
    </row>
    <row r="1168" spans="1:6" x14ac:dyDescent="0.2">
      <c r="A1168" s="30">
        <v>45690</v>
      </c>
      <c r="B1168" s="31" t="s">
        <v>1543</v>
      </c>
      <c r="C1168" s="28">
        <v>33.090000000000003</v>
      </c>
      <c r="D1168" s="28" t="str">
        <f>_xlfn.XLOOKUP(B1168,'Payee Ref'!A:A,'Payee Ref'!B:B,"unassigned",0,1)</f>
        <v>Subscriptions / Digital</v>
      </c>
      <c r="E1168" s="29" t="str">
        <f>_xlfn.XLOOKUP(B1168,'Payee Ref'!A:A,'Payee Ref'!C:C,"unassigned",0,1)</f>
        <v>Luxury</v>
      </c>
      <c r="F1168" s="28" t="s">
        <v>2207</v>
      </c>
    </row>
    <row r="1169" spans="1:6" x14ac:dyDescent="0.2">
      <c r="A1169" s="30">
        <v>45960</v>
      </c>
      <c r="B1169" s="28" t="s">
        <v>109</v>
      </c>
      <c r="C1169" s="28">
        <v>33.11</v>
      </c>
      <c r="D1169" s="28" t="str">
        <f>_xlfn.XLOOKUP(B1169,'Payee Ref'!A:A,'Payee Ref'!B:B,"unassigned",0,1)</f>
        <v>Travel</v>
      </c>
      <c r="E1169" s="29" t="str">
        <f>_xlfn.XLOOKUP(B1169,'Payee Ref'!A:A,'Payee Ref'!C:C,"unassigned",0,1)</f>
        <v>Luxury</v>
      </c>
      <c r="F1169" s="28" t="s">
        <v>2207</v>
      </c>
    </row>
    <row r="1170" spans="1:6" x14ac:dyDescent="0.2">
      <c r="A1170" s="30">
        <v>45878</v>
      </c>
      <c r="B1170" s="28" t="s">
        <v>1607</v>
      </c>
      <c r="C1170" s="28">
        <v>33.299999999999997</v>
      </c>
      <c r="D1170" s="28" t="str">
        <f>_xlfn.XLOOKUP(B1170,'Payee Ref'!A:A,'Payee Ref'!B:B,"unassigned",0,1)</f>
        <v>Dining</v>
      </c>
      <c r="E1170" s="29" t="str">
        <f>_xlfn.XLOOKUP(B1170,'Payee Ref'!A:A,'Payee Ref'!C:C,"unassigned",0,1)</f>
        <v>Luxury</v>
      </c>
      <c r="F1170" s="28" t="s">
        <v>2207</v>
      </c>
    </row>
    <row r="1171" spans="1:6" x14ac:dyDescent="0.2">
      <c r="A1171" s="30">
        <v>45763</v>
      </c>
      <c r="B1171" s="28" t="s">
        <v>1588</v>
      </c>
      <c r="C1171" s="28">
        <v>33.549999999999997</v>
      </c>
      <c r="D1171" s="28" t="str">
        <f>_xlfn.XLOOKUP(B1171,'Payee Ref'!A:A,'Payee Ref'!B:B,"unassigned",0,1)</f>
        <v>Groceries</v>
      </c>
      <c r="E1171" s="29" t="str">
        <f>_xlfn.XLOOKUP(B1171,'Payee Ref'!A:A,'Payee Ref'!C:C,"unassigned",0,1)</f>
        <v>Basic</v>
      </c>
      <c r="F1171" s="28" t="s">
        <v>2207</v>
      </c>
    </row>
    <row r="1172" spans="1:6" x14ac:dyDescent="0.2">
      <c r="A1172" s="30">
        <v>45908</v>
      </c>
      <c r="B1172" s="28" t="s">
        <v>1547</v>
      </c>
      <c r="C1172" s="28">
        <v>33.6</v>
      </c>
      <c r="D1172" s="28" t="str">
        <f>_xlfn.XLOOKUP(B1172,'Payee Ref'!A:A,'Payee Ref'!B:B,"unassigned",0,1)</f>
        <v>Pharmacy</v>
      </c>
      <c r="E1172" s="29" t="str">
        <f>_xlfn.XLOOKUP(B1172,'Payee Ref'!A:A,'Payee Ref'!C:C,"unassigned",0,1)</f>
        <v>Basic</v>
      </c>
      <c r="F1172" s="28" t="s">
        <v>2207</v>
      </c>
    </row>
    <row r="1173" spans="1:6" x14ac:dyDescent="0.2">
      <c r="A1173" s="30">
        <v>45844</v>
      </c>
      <c r="B1173" s="28" t="s">
        <v>1536</v>
      </c>
      <c r="C1173" s="28">
        <v>33.65</v>
      </c>
      <c r="D1173" s="28" t="str">
        <f>_xlfn.XLOOKUP(B1173,'Payee Ref'!A:A,'Payee Ref'!B:B,"unassigned",0,1)</f>
        <v>Groceries</v>
      </c>
      <c r="E1173" s="29" t="str">
        <f>_xlfn.XLOOKUP(B1173,'Payee Ref'!A:A,'Payee Ref'!C:C,"unassigned",0,1)</f>
        <v>Basic</v>
      </c>
      <c r="F1173" s="28" t="s">
        <v>2207</v>
      </c>
    </row>
    <row r="1174" spans="1:6" x14ac:dyDescent="0.2">
      <c r="A1174" s="30">
        <v>45689</v>
      </c>
      <c r="B1174" s="31" t="s">
        <v>2141</v>
      </c>
      <c r="C1174" s="28">
        <v>33.65</v>
      </c>
      <c r="D1174" s="28" t="str">
        <f>_xlfn.XLOOKUP(B1174,'Payee Ref'!A:A,'Payee Ref'!B:B,"unassigned",0,1)</f>
        <v>Home &amp; Garden</v>
      </c>
      <c r="E1174" s="29" t="str">
        <f>_xlfn.XLOOKUP(B1174,'Payee Ref'!A:A,'Payee Ref'!C:C,"unassigned",0,1)</f>
        <v>Basic</v>
      </c>
      <c r="F1174" s="28" t="s">
        <v>2207</v>
      </c>
    </row>
    <row r="1175" spans="1:6" x14ac:dyDescent="0.2">
      <c r="A1175" s="30">
        <v>45807</v>
      </c>
      <c r="B1175" s="31" t="s">
        <v>1973</v>
      </c>
      <c r="C1175" s="28">
        <v>33.75</v>
      </c>
      <c r="D1175" s="28" t="str">
        <f>_xlfn.XLOOKUP(B1175,'Payee Ref'!A:A,'Payee Ref'!B:B,"unassigned",0,1)</f>
        <v>Travel</v>
      </c>
      <c r="E1175" s="29" t="str">
        <f>_xlfn.XLOOKUP(B1175,'Payee Ref'!A:A,'Payee Ref'!C:C,"unassigned",0,1)</f>
        <v>Luxury</v>
      </c>
      <c r="F1175" s="28" t="s">
        <v>2207</v>
      </c>
    </row>
    <row r="1176" spans="1:6" x14ac:dyDescent="0.2">
      <c r="A1176" s="30">
        <v>45867</v>
      </c>
      <c r="B1176" s="28" t="s">
        <v>1779</v>
      </c>
      <c r="C1176" s="28">
        <v>33.9</v>
      </c>
      <c r="D1176" s="28" t="str">
        <f>_xlfn.XLOOKUP(B1176,'Payee Ref'!A:A,'Payee Ref'!B:B,"unassigned",0,1)</f>
        <v>Travel</v>
      </c>
      <c r="E1176" s="29" t="str">
        <f>_xlfn.XLOOKUP(B1176,'Payee Ref'!A:A,'Payee Ref'!C:C,"unassigned",0,1)</f>
        <v>Luxury</v>
      </c>
      <c r="F1176" s="28" t="s">
        <v>2207</v>
      </c>
    </row>
    <row r="1177" spans="1:6" x14ac:dyDescent="0.2">
      <c r="A1177" s="30">
        <v>45923</v>
      </c>
      <c r="B1177" s="28" t="s">
        <v>1632</v>
      </c>
      <c r="C1177" s="28">
        <v>33.96</v>
      </c>
      <c r="D1177" s="28" t="str">
        <f>_xlfn.XLOOKUP(B1177,'Payee Ref'!A:A,'Payee Ref'!B:B,"unassigned",0,1)</f>
        <v>Health &amp; Medical</v>
      </c>
      <c r="E1177" s="29" t="str">
        <f>_xlfn.XLOOKUP(B1177,'Payee Ref'!A:A,'Payee Ref'!C:C,"unassigned",0,1)</f>
        <v>Basic</v>
      </c>
      <c r="F1177" s="28" t="s">
        <v>2207</v>
      </c>
    </row>
    <row r="1178" spans="1:6" x14ac:dyDescent="0.2">
      <c r="A1178" s="30">
        <v>45793</v>
      </c>
      <c r="B1178" s="28" t="s">
        <v>1781</v>
      </c>
      <c r="C1178" s="28">
        <v>34</v>
      </c>
      <c r="D1178" s="28" t="str">
        <f>_xlfn.XLOOKUP(B1178,'Payee Ref'!A:A,'Payee Ref'!B:B,"unassigned",0,1)</f>
        <v>Groceries</v>
      </c>
      <c r="E1178" s="29" t="str">
        <f>_xlfn.XLOOKUP(B1178,'Payee Ref'!A:A,'Payee Ref'!C:C,"unassigned",0,1)</f>
        <v>Basic</v>
      </c>
      <c r="F1178" s="28" t="s">
        <v>2207</v>
      </c>
    </row>
    <row r="1179" spans="1:6" x14ac:dyDescent="0.2">
      <c r="A1179" s="30">
        <v>45979</v>
      </c>
      <c r="B1179" s="28" t="s">
        <v>570</v>
      </c>
      <c r="C1179" s="28">
        <v>34.020000000000003</v>
      </c>
      <c r="D1179" s="28" t="str">
        <f>_xlfn.XLOOKUP(B1179,'Payee Ref'!A:A,'Payee Ref'!B:B,"unassigned",0,1)</f>
        <v>Groceries</v>
      </c>
      <c r="E1179" s="29" t="str">
        <f>_xlfn.XLOOKUP(B1179,'Payee Ref'!A:A,'Payee Ref'!C:C,"unassigned",0,1)</f>
        <v>Basic</v>
      </c>
      <c r="F1179" s="28" t="s">
        <v>2207</v>
      </c>
    </row>
    <row r="1180" spans="1:6" x14ac:dyDescent="0.2">
      <c r="A1180" s="30">
        <v>45965</v>
      </c>
      <c r="B1180" s="28" t="s">
        <v>570</v>
      </c>
      <c r="C1180" s="28">
        <v>34.020000000000003</v>
      </c>
      <c r="D1180" s="28" t="str">
        <f>_xlfn.XLOOKUP(B1180,'Payee Ref'!A:A,'Payee Ref'!B:B,"unassigned",0,1)</f>
        <v>Groceries</v>
      </c>
      <c r="E1180" s="29" t="str">
        <f>_xlfn.XLOOKUP(B1180,'Payee Ref'!A:A,'Payee Ref'!C:C,"unassigned",0,1)</f>
        <v>Basic</v>
      </c>
      <c r="F1180" s="28" t="s">
        <v>2207</v>
      </c>
    </row>
    <row r="1181" spans="1:6" x14ac:dyDescent="0.2">
      <c r="A1181" s="30">
        <v>45951</v>
      </c>
      <c r="B1181" s="28" t="s">
        <v>570</v>
      </c>
      <c r="C1181" s="28">
        <v>34.020000000000003</v>
      </c>
      <c r="D1181" s="28" t="str">
        <f>_xlfn.XLOOKUP(B1181,'Payee Ref'!A:A,'Payee Ref'!B:B,"unassigned",0,1)</f>
        <v>Groceries</v>
      </c>
      <c r="E1181" s="29" t="str">
        <f>_xlfn.XLOOKUP(B1181,'Payee Ref'!A:A,'Payee Ref'!C:C,"unassigned",0,1)</f>
        <v>Basic</v>
      </c>
      <c r="F1181" s="28" t="s">
        <v>2207</v>
      </c>
    </row>
    <row r="1182" spans="1:6" x14ac:dyDescent="0.2">
      <c r="A1182" s="30">
        <v>45850</v>
      </c>
      <c r="B1182" s="31" t="s">
        <v>1604</v>
      </c>
      <c r="C1182" s="28">
        <v>34.03</v>
      </c>
      <c r="D1182" s="28" t="str">
        <f>_xlfn.XLOOKUP(B1182,'Payee Ref'!A:A,'Payee Ref'!B:B,"unassigned",0,1)</f>
        <v>Travel</v>
      </c>
      <c r="E1182" s="29" t="str">
        <f>_xlfn.XLOOKUP(B1182,'Payee Ref'!A:A,'Payee Ref'!C:C,"unassigned",0,1)</f>
        <v>Luxury</v>
      </c>
      <c r="F1182" s="28" t="s">
        <v>2207</v>
      </c>
    </row>
    <row r="1183" spans="1:6" x14ac:dyDescent="0.2">
      <c r="A1183" s="30">
        <v>45759</v>
      </c>
      <c r="B1183" s="31" t="s">
        <v>1604</v>
      </c>
      <c r="C1183" s="28">
        <v>34.03</v>
      </c>
      <c r="D1183" s="28" t="str">
        <f>_xlfn.XLOOKUP(B1183,'Payee Ref'!A:A,'Payee Ref'!B:B,"unassigned",0,1)</f>
        <v>Travel</v>
      </c>
      <c r="E1183" s="29" t="str">
        <f>_xlfn.XLOOKUP(B1183,'Payee Ref'!A:A,'Payee Ref'!C:C,"unassigned",0,1)</f>
        <v>Luxury</v>
      </c>
      <c r="F1183" s="28" t="s">
        <v>2207</v>
      </c>
    </row>
    <row r="1184" spans="1:6" x14ac:dyDescent="0.2">
      <c r="A1184" s="30">
        <v>45942</v>
      </c>
      <c r="B1184" s="28" t="s">
        <v>530</v>
      </c>
      <c r="C1184" s="28">
        <v>34.03</v>
      </c>
      <c r="D1184" s="28" t="str">
        <f>_xlfn.XLOOKUP(B1184,'Payee Ref'!A:A,'Payee Ref'!B:B,"unassigned",0,1)</f>
        <v>Travel</v>
      </c>
      <c r="E1184" s="29" t="str">
        <f>_xlfn.XLOOKUP(B1184,'Payee Ref'!A:A,'Payee Ref'!C:C,"unassigned",0,1)</f>
        <v>Luxury</v>
      </c>
      <c r="F1184" s="28" t="s">
        <v>2207</v>
      </c>
    </row>
    <row r="1185" spans="1:6" x14ac:dyDescent="0.2">
      <c r="A1185" s="30">
        <v>45762</v>
      </c>
      <c r="B1185" s="28" t="s">
        <v>2037</v>
      </c>
      <c r="C1185" s="28">
        <v>34.04</v>
      </c>
      <c r="D1185" s="28" t="str">
        <f>_xlfn.XLOOKUP(B1185,'Payee Ref'!A:A,'Payee Ref'!B:B,"unassigned",0,1)</f>
        <v>Dining</v>
      </c>
      <c r="E1185" s="29" t="str">
        <f>_xlfn.XLOOKUP(B1185,'Payee Ref'!A:A,'Payee Ref'!C:C,"unassigned",0,1)</f>
        <v>Luxury</v>
      </c>
      <c r="F1185" s="28" t="s">
        <v>2207</v>
      </c>
    </row>
    <row r="1186" spans="1:6" x14ac:dyDescent="0.2">
      <c r="A1186" s="30">
        <v>45888</v>
      </c>
      <c r="B1186" s="31" t="s">
        <v>1707</v>
      </c>
      <c r="C1186" s="28">
        <v>34.19</v>
      </c>
      <c r="D1186" s="28" t="str">
        <f>_xlfn.XLOOKUP(B1186,'Payee Ref'!A:A,'Payee Ref'!B:B,"unassigned",0,1)</f>
        <v>Home &amp; Garden</v>
      </c>
      <c r="E1186" s="29" t="str">
        <f>_xlfn.XLOOKUP(B1186,'Payee Ref'!A:A,'Payee Ref'!C:C,"unassigned",0,1)</f>
        <v>Basic</v>
      </c>
      <c r="F1186" s="28" t="s">
        <v>2207</v>
      </c>
    </row>
    <row r="1187" spans="1:6" x14ac:dyDescent="0.2">
      <c r="A1187" s="30">
        <v>45877</v>
      </c>
      <c r="B1187" s="28" t="s">
        <v>1567</v>
      </c>
      <c r="C1187" s="28">
        <v>34.21</v>
      </c>
      <c r="D1187" s="28" t="str">
        <f>_xlfn.XLOOKUP(B1187,'Payee Ref'!A:A,'Payee Ref'!B:B,"unassigned",0,1)</f>
        <v>Van</v>
      </c>
      <c r="E1187" s="29" t="str">
        <f>_xlfn.XLOOKUP(B1187,'Payee Ref'!A:A,'Payee Ref'!C:C,"unassigned",0,1)</f>
        <v>Luxury</v>
      </c>
      <c r="F1187" s="28" t="s">
        <v>2207</v>
      </c>
    </row>
    <row r="1188" spans="1:6" x14ac:dyDescent="0.2">
      <c r="A1188" s="30">
        <v>45690</v>
      </c>
      <c r="B1188" s="28" t="s">
        <v>1592</v>
      </c>
      <c r="C1188" s="28">
        <v>34.869999999999997</v>
      </c>
      <c r="D1188" s="28" t="str">
        <f>_xlfn.XLOOKUP(B1188,'Payee Ref'!A:A,'Payee Ref'!B:B,"unassigned",0,1)</f>
        <v>Dining</v>
      </c>
      <c r="E1188" s="29" t="str">
        <f>_xlfn.XLOOKUP(B1188,'Payee Ref'!A:A,'Payee Ref'!C:C,"unassigned",0,1)</f>
        <v>Luxury</v>
      </c>
      <c r="F1188" s="28" t="s">
        <v>2207</v>
      </c>
    </row>
    <row r="1189" spans="1:6" x14ac:dyDescent="0.2">
      <c r="A1189" s="30">
        <v>45819</v>
      </c>
      <c r="B1189" s="28" t="s">
        <v>1649</v>
      </c>
      <c r="C1189" s="28">
        <v>34.950000000000003</v>
      </c>
      <c r="D1189" s="28" t="str">
        <f>_xlfn.XLOOKUP(B1189,'Payee Ref'!A:A,'Payee Ref'!B:B,"unassigned",0,1)</f>
        <v>Groceries</v>
      </c>
      <c r="E1189" s="29" t="str">
        <f>_xlfn.XLOOKUP(B1189,'Payee Ref'!A:A,'Payee Ref'!C:C,"unassigned",0,1)</f>
        <v>Basic</v>
      </c>
      <c r="F1189" s="28" t="s">
        <v>2207</v>
      </c>
    </row>
    <row r="1190" spans="1:6" x14ac:dyDescent="0.2">
      <c r="A1190" s="30">
        <v>45788</v>
      </c>
      <c r="B1190" s="28" t="s">
        <v>1649</v>
      </c>
      <c r="C1190" s="28">
        <v>34.950000000000003</v>
      </c>
      <c r="D1190" s="28" t="str">
        <f>_xlfn.XLOOKUP(B1190,'Payee Ref'!A:A,'Payee Ref'!B:B,"unassigned",0,1)</f>
        <v>Groceries</v>
      </c>
      <c r="E1190" s="29" t="str">
        <f>_xlfn.XLOOKUP(B1190,'Payee Ref'!A:A,'Payee Ref'!C:C,"unassigned",0,1)</f>
        <v>Basic</v>
      </c>
      <c r="F1190" s="28" t="s">
        <v>2207</v>
      </c>
    </row>
    <row r="1191" spans="1:6" x14ac:dyDescent="0.2">
      <c r="A1191" s="30">
        <v>45727</v>
      </c>
      <c r="B1191" s="28" t="s">
        <v>1649</v>
      </c>
      <c r="C1191" s="28">
        <v>34.950000000000003</v>
      </c>
      <c r="D1191" s="28" t="str">
        <f>_xlfn.XLOOKUP(B1191,'Payee Ref'!A:A,'Payee Ref'!B:B,"unassigned",0,1)</f>
        <v>Groceries</v>
      </c>
      <c r="E1191" s="29" t="str">
        <f>_xlfn.XLOOKUP(B1191,'Payee Ref'!A:A,'Payee Ref'!C:C,"unassigned",0,1)</f>
        <v>Basic</v>
      </c>
      <c r="F1191" s="28" t="s">
        <v>2207</v>
      </c>
    </row>
    <row r="1192" spans="1:6" x14ac:dyDescent="0.2">
      <c r="A1192" s="30">
        <v>45949</v>
      </c>
      <c r="B1192" s="28" t="s">
        <v>1199</v>
      </c>
      <c r="C1192" s="28">
        <v>35</v>
      </c>
      <c r="D1192" s="28" t="str">
        <f>_xlfn.XLOOKUP(B1192,'Payee Ref'!A:A,'Payee Ref'!B:B,"unassigned",0,1)</f>
        <v>Travel</v>
      </c>
      <c r="E1192" s="29" t="str">
        <f>_xlfn.XLOOKUP(B1192,'Payee Ref'!A:A,'Payee Ref'!C:C,"unassigned",0,1)</f>
        <v>Luxury</v>
      </c>
      <c r="F1192" s="28" t="s">
        <v>2207</v>
      </c>
    </row>
    <row r="1193" spans="1:6" x14ac:dyDescent="0.2">
      <c r="A1193" s="30">
        <v>45680</v>
      </c>
      <c r="B1193" s="31" t="s">
        <v>1639</v>
      </c>
      <c r="C1193" s="28">
        <v>35</v>
      </c>
      <c r="D1193" s="28" t="str">
        <f>_xlfn.XLOOKUP(B1193,'Payee Ref'!A:A,'Payee Ref'!B:B,"unassigned",0,1)</f>
        <v>Health &amp; Medical</v>
      </c>
      <c r="E1193" s="29" t="str">
        <f>_xlfn.XLOOKUP(B1193,'Payee Ref'!A:A,'Payee Ref'!C:C,"unassigned",0,1)</f>
        <v>Basic</v>
      </c>
      <c r="F1193" s="28" t="s">
        <v>2207</v>
      </c>
    </row>
    <row r="1194" spans="1:6" x14ac:dyDescent="0.2">
      <c r="A1194" s="30">
        <v>45865</v>
      </c>
      <c r="B1194" s="28" t="s">
        <v>1794</v>
      </c>
      <c r="C1194" s="28">
        <v>35</v>
      </c>
      <c r="D1194" s="28" t="str">
        <f>_xlfn.XLOOKUP(B1194,'Payee Ref'!A:A,'Payee Ref'!B:B,"unassigned",0,1)</f>
        <v>Travel</v>
      </c>
      <c r="E1194" s="29" t="str">
        <f>_xlfn.XLOOKUP(B1194,'Payee Ref'!A:A,'Payee Ref'!C:C,"unassigned",0,1)</f>
        <v>Luxury</v>
      </c>
      <c r="F1194" s="28" t="s">
        <v>2207</v>
      </c>
    </row>
    <row r="1195" spans="1:6" x14ac:dyDescent="0.2">
      <c r="A1195" s="30">
        <v>45986</v>
      </c>
      <c r="B1195" s="28" t="s">
        <v>1537</v>
      </c>
      <c r="C1195" s="28">
        <v>35</v>
      </c>
      <c r="D1195" s="28" t="str">
        <f>_xlfn.XLOOKUP(B1195,'Payee Ref'!A:A,'Payee Ref'!B:B,"unassigned",0,1)</f>
        <v>Clothing</v>
      </c>
      <c r="E1195" s="29" t="str">
        <f>_xlfn.XLOOKUP(B1195,'Payee Ref'!A:A,'Payee Ref'!C:C,"unassigned",0,1)</f>
        <v>Basic</v>
      </c>
      <c r="F1195" s="28" t="s">
        <v>2207</v>
      </c>
    </row>
    <row r="1196" spans="1:6" x14ac:dyDescent="0.2">
      <c r="A1196" s="30">
        <v>45810</v>
      </c>
      <c r="B1196" s="28" t="s">
        <v>1964</v>
      </c>
      <c r="C1196" s="28">
        <v>35</v>
      </c>
      <c r="D1196" s="28" t="str">
        <f>_xlfn.XLOOKUP(B1196,'Payee Ref'!A:A,'Payee Ref'!B:B,"unassigned",0,1)</f>
        <v>Van</v>
      </c>
      <c r="E1196" s="29" t="str">
        <f>_xlfn.XLOOKUP(B1196,'Payee Ref'!A:A,'Payee Ref'!C:C,"unassigned",0,1)</f>
        <v>Luxury</v>
      </c>
      <c r="F1196" s="28" t="s">
        <v>2207</v>
      </c>
    </row>
    <row r="1197" spans="1:6" x14ac:dyDescent="0.2">
      <c r="A1197" s="30">
        <v>45772</v>
      </c>
      <c r="B1197" s="28" t="s">
        <v>2022</v>
      </c>
      <c r="C1197" s="28">
        <v>35.03</v>
      </c>
      <c r="D1197" s="28" t="str">
        <f>_xlfn.XLOOKUP(B1197,'Payee Ref'!A:A,'Payee Ref'!B:B,"unassigned",0,1)</f>
        <v>Dining</v>
      </c>
      <c r="E1197" s="29" t="str">
        <f>_xlfn.XLOOKUP(B1197,'Payee Ref'!A:A,'Payee Ref'!C:C,"unassigned",0,1)</f>
        <v>Luxury</v>
      </c>
      <c r="F1197" s="28" t="s">
        <v>2207</v>
      </c>
    </row>
    <row r="1198" spans="1:6" x14ac:dyDescent="0.2">
      <c r="A1198" s="30">
        <v>45658</v>
      </c>
      <c r="B1198" s="28" t="s">
        <v>2201</v>
      </c>
      <c r="C1198" s="28">
        <v>35.450000000000003</v>
      </c>
      <c r="D1198" s="28" t="str">
        <f>_xlfn.XLOOKUP(B1198,'Payee Ref'!A:A,'Payee Ref'!B:B,"unassigned",0,1)</f>
        <v>Dining</v>
      </c>
      <c r="E1198" s="29" t="str">
        <f>_xlfn.XLOOKUP(B1198,'Payee Ref'!A:A,'Payee Ref'!C:C,"unassigned",0,1)</f>
        <v>Luxury</v>
      </c>
      <c r="F1198" s="28" t="s">
        <v>2207</v>
      </c>
    </row>
    <row r="1199" spans="1:6" x14ac:dyDescent="0.2">
      <c r="A1199" s="30">
        <v>45750</v>
      </c>
      <c r="B1199" s="28" t="s">
        <v>2052</v>
      </c>
      <c r="C1199" s="28">
        <v>35.89</v>
      </c>
      <c r="D1199" s="28" t="str">
        <f>_xlfn.XLOOKUP(B1199,'Payee Ref'!A:A,'Payee Ref'!B:B,"unassigned",0,1)</f>
        <v>Travel</v>
      </c>
      <c r="E1199" s="29" t="str">
        <f>_xlfn.XLOOKUP(B1199,'Payee Ref'!A:A,'Payee Ref'!C:C,"unassigned",0,1)</f>
        <v>Luxury</v>
      </c>
      <c r="F1199" s="28" t="s">
        <v>2207</v>
      </c>
    </row>
    <row r="1200" spans="1:6" x14ac:dyDescent="0.2">
      <c r="A1200" s="30">
        <v>45677</v>
      </c>
      <c r="B1200" s="28" t="s">
        <v>1846</v>
      </c>
      <c r="C1200" s="28">
        <v>36.06</v>
      </c>
      <c r="D1200" s="28" t="str">
        <f>_xlfn.XLOOKUP(B1200,'Payee Ref'!A:A,'Payee Ref'!B:B,"unassigned",0,1)</f>
        <v>Auto</v>
      </c>
      <c r="E1200" s="29" t="str">
        <f>_xlfn.XLOOKUP(B1200,'Payee Ref'!A:A,'Payee Ref'!C:C,"unassigned",0,1)</f>
        <v>Basic</v>
      </c>
      <c r="F1200" s="28" t="s">
        <v>2207</v>
      </c>
    </row>
    <row r="1201" spans="1:6" x14ac:dyDescent="0.2">
      <c r="A1201" s="30">
        <v>45881</v>
      </c>
      <c r="B1201" s="28" t="s">
        <v>1529</v>
      </c>
      <c r="C1201" s="28">
        <v>36.29</v>
      </c>
      <c r="D1201" s="28" t="str">
        <f>_xlfn.XLOOKUP(B1201,'Payee Ref'!A:A,'Payee Ref'!B:B,"unassigned",0,1)</f>
        <v>Dining</v>
      </c>
      <c r="E1201" s="29" t="str">
        <f>_xlfn.XLOOKUP(B1201,'Payee Ref'!A:A,'Payee Ref'!C:C,"unassigned",0,1)</f>
        <v>Luxury</v>
      </c>
      <c r="F1201" s="28" t="s">
        <v>2207</v>
      </c>
    </row>
    <row r="1202" spans="1:6" x14ac:dyDescent="0.2">
      <c r="A1202" s="30">
        <v>45704</v>
      </c>
      <c r="B1202" s="28" t="s">
        <v>2118</v>
      </c>
      <c r="C1202" s="28">
        <v>36.46</v>
      </c>
      <c r="D1202" s="28" t="str">
        <f>_xlfn.XLOOKUP(B1202,'Payee Ref'!A:A,'Payee Ref'!B:B,"unassigned",0,1)</f>
        <v>Dining</v>
      </c>
      <c r="E1202" s="29" t="str">
        <f>_xlfn.XLOOKUP(B1202,'Payee Ref'!A:A,'Payee Ref'!C:C,"unassigned",0,1)</f>
        <v>Luxury</v>
      </c>
      <c r="F1202" s="28" t="s">
        <v>2207</v>
      </c>
    </row>
    <row r="1203" spans="1:6" x14ac:dyDescent="0.2">
      <c r="A1203" s="30">
        <v>45748</v>
      </c>
      <c r="B1203" s="28" t="s">
        <v>1562</v>
      </c>
      <c r="C1203" s="28">
        <v>36.74</v>
      </c>
      <c r="D1203" s="28" t="str">
        <f>_xlfn.XLOOKUP(B1203,'Payee Ref'!A:A,'Payee Ref'!B:B,"unassigned",0,1)</f>
        <v>Dining</v>
      </c>
      <c r="E1203" s="29" t="str">
        <f>_xlfn.XLOOKUP(B1203,'Payee Ref'!A:A,'Payee Ref'!C:C,"unassigned",0,1)</f>
        <v>Luxury</v>
      </c>
      <c r="F1203" s="28" t="s">
        <v>2207</v>
      </c>
    </row>
    <row r="1204" spans="1:6" x14ac:dyDescent="0.2">
      <c r="A1204" s="30">
        <v>45896</v>
      </c>
      <c r="B1204" s="28" t="s">
        <v>1529</v>
      </c>
      <c r="C1204" s="28">
        <v>37.06</v>
      </c>
      <c r="D1204" s="28" t="str">
        <f>_xlfn.XLOOKUP(B1204,'Payee Ref'!A:A,'Payee Ref'!B:B,"unassigned",0,1)</f>
        <v>Dining</v>
      </c>
      <c r="E1204" s="29" t="str">
        <f>_xlfn.XLOOKUP(B1204,'Payee Ref'!A:A,'Payee Ref'!C:C,"unassigned",0,1)</f>
        <v>Luxury</v>
      </c>
      <c r="F1204" s="28" t="s">
        <v>2207</v>
      </c>
    </row>
    <row r="1205" spans="1:6" x14ac:dyDescent="0.2">
      <c r="A1205" s="30">
        <v>45878</v>
      </c>
      <c r="B1205" s="28" t="s">
        <v>1742</v>
      </c>
      <c r="C1205" s="28">
        <v>37.270000000000003</v>
      </c>
      <c r="D1205" s="28" t="str">
        <f>_xlfn.XLOOKUP(B1205,'Payee Ref'!A:A,'Payee Ref'!B:B,"unassigned",0,1)</f>
        <v>Travel</v>
      </c>
      <c r="E1205" s="29" t="str">
        <f>_xlfn.XLOOKUP(B1205,'Payee Ref'!A:A,'Payee Ref'!C:C,"unassigned",0,1)</f>
        <v>Luxury</v>
      </c>
      <c r="F1205" s="28" t="s">
        <v>2207</v>
      </c>
    </row>
    <row r="1206" spans="1:6" x14ac:dyDescent="0.2">
      <c r="A1206" s="30">
        <v>45727</v>
      </c>
      <c r="B1206" s="28" t="s">
        <v>1547</v>
      </c>
      <c r="C1206" s="28">
        <v>37.380000000000003</v>
      </c>
      <c r="D1206" s="28" t="str">
        <f>_xlfn.XLOOKUP(B1206,'Payee Ref'!A:A,'Payee Ref'!B:B,"unassigned",0,1)</f>
        <v>Pharmacy</v>
      </c>
      <c r="E1206" s="29" t="str">
        <f>_xlfn.XLOOKUP(B1206,'Payee Ref'!A:A,'Payee Ref'!C:C,"unassigned",0,1)</f>
        <v>Basic</v>
      </c>
      <c r="F1206" s="28" t="s">
        <v>2207</v>
      </c>
    </row>
    <row r="1207" spans="1:6" x14ac:dyDescent="0.2">
      <c r="A1207" s="30">
        <v>45944</v>
      </c>
      <c r="B1207" s="28" t="s">
        <v>570</v>
      </c>
      <c r="C1207" s="28">
        <v>37.42</v>
      </c>
      <c r="D1207" s="28" t="str">
        <f>_xlfn.XLOOKUP(B1207,'Payee Ref'!A:A,'Payee Ref'!B:B,"unassigned",0,1)</f>
        <v>Groceries</v>
      </c>
      <c r="E1207" s="29" t="str">
        <f>_xlfn.XLOOKUP(B1207,'Payee Ref'!A:A,'Payee Ref'!C:C,"unassigned",0,1)</f>
        <v>Basic</v>
      </c>
      <c r="F1207" s="28" t="s">
        <v>2207</v>
      </c>
    </row>
    <row r="1208" spans="1:6" x14ac:dyDescent="0.2">
      <c r="A1208" s="30">
        <v>45870</v>
      </c>
      <c r="B1208" s="28" t="s">
        <v>1656</v>
      </c>
      <c r="C1208" s="28">
        <v>37.47</v>
      </c>
      <c r="D1208" s="28" t="str">
        <f>_xlfn.XLOOKUP(B1208,'Payee Ref'!A:A,'Payee Ref'!B:B,"unassigned",0,1)</f>
        <v>Home &amp; Garden</v>
      </c>
      <c r="E1208" s="29" t="str">
        <f>_xlfn.XLOOKUP(B1208,'Payee Ref'!A:A,'Payee Ref'!C:C,"unassigned",0,1)</f>
        <v>Basic</v>
      </c>
      <c r="F1208" s="28" t="s">
        <v>2207</v>
      </c>
    </row>
    <row r="1209" spans="1:6" x14ac:dyDescent="0.2">
      <c r="A1209" s="30">
        <v>45930</v>
      </c>
      <c r="B1209" s="28" t="s">
        <v>1539</v>
      </c>
      <c r="C1209" s="28">
        <v>37.520000000000003</v>
      </c>
      <c r="D1209" s="28" t="str">
        <f>_xlfn.XLOOKUP(B1209,'Payee Ref'!A:A,'Payee Ref'!B:B,"unassigned",0,1)</f>
        <v>Groceries</v>
      </c>
      <c r="E1209" s="29" t="str">
        <f>_xlfn.XLOOKUP(B1209,'Payee Ref'!A:A,'Payee Ref'!C:C,"unassigned",0,1)</f>
        <v>Basic</v>
      </c>
      <c r="F1209" s="28" t="s">
        <v>2207</v>
      </c>
    </row>
    <row r="1210" spans="1:6" x14ac:dyDescent="0.2">
      <c r="A1210" s="30">
        <v>45916</v>
      </c>
      <c r="B1210" s="28" t="s">
        <v>1539</v>
      </c>
      <c r="C1210" s="28">
        <v>37.520000000000003</v>
      </c>
      <c r="D1210" s="28" t="str">
        <f>_xlfn.XLOOKUP(B1210,'Payee Ref'!A:A,'Payee Ref'!B:B,"unassigned",0,1)</f>
        <v>Groceries</v>
      </c>
      <c r="E1210" s="29" t="str">
        <f>_xlfn.XLOOKUP(B1210,'Payee Ref'!A:A,'Payee Ref'!C:C,"unassigned",0,1)</f>
        <v>Basic</v>
      </c>
      <c r="F1210" s="28" t="s">
        <v>2207</v>
      </c>
    </row>
    <row r="1211" spans="1:6" x14ac:dyDescent="0.2">
      <c r="A1211" s="30">
        <v>45902</v>
      </c>
      <c r="B1211" s="28" t="s">
        <v>1539</v>
      </c>
      <c r="C1211" s="28">
        <v>37.520000000000003</v>
      </c>
      <c r="D1211" s="28" t="str">
        <f>_xlfn.XLOOKUP(B1211,'Payee Ref'!A:A,'Payee Ref'!B:B,"unassigned",0,1)</f>
        <v>Groceries</v>
      </c>
      <c r="E1211" s="29" t="str">
        <f>_xlfn.XLOOKUP(B1211,'Payee Ref'!A:A,'Payee Ref'!C:C,"unassigned",0,1)</f>
        <v>Basic</v>
      </c>
      <c r="F1211" s="28" t="s">
        <v>2207</v>
      </c>
    </row>
    <row r="1212" spans="1:6" x14ac:dyDescent="0.2">
      <c r="A1212" s="30">
        <v>45888</v>
      </c>
      <c r="B1212" s="28" t="s">
        <v>1539</v>
      </c>
      <c r="C1212" s="28">
        <v>37.520000000000003</v>
      </c>
      <c r="D1212" s="28" t="str">
        <f>_xlfn.XLOOKUP(B1212,'Payee Ref'!A:A,'Payee Ref'!B:B,"unassigned",0,1)</f>
        <v>Groceries</v>
      </c>
      <c r="E1212" s="29" t="str">
        <f>_xlfn.XLOOKUP(B1212,'Payee Ref'!A:A,'Payee Ref'!C:C,"unassigned",0,1)</f>
        <v>Basic</v>
      </c>
      <c r="F1212" s="28" t="s">
        <v>2207</v>
      </c>
    </row>
    <row r="1213" spans="1:6" x14ac:dyDescent="0.2">
      <c r="A1213" s="30">
        <v>45860</v>
      </c>
      <c r="B1213" s="28" t="s">
        <v>1539</v>
      </c>
      <c r="C1213" s="28">
        <v>37.520000000000003</v>
      </c>
      <c r="D1213" s="28" t="str">
        <f>_xlfn.XLOOKUP(B1213,'Payee Ref'!A:A,'Payee Ref'!B:B,"unassigned",0,1)</f>
        <v>Groceries</v>
      </c>
      <c r="E1213" s="29" t="str">
        <f>_xlfn.XLOOKUP(B1213,'Payee Ref'!A:A,'Payee Ref'!C:C,"unassigned",0,1)</f>
        <v>Basic</v>
      </c>
      <c r="F1213" s="28" t="s">
        <v>2207</v>
      </c>
    </row>
    <row r="1214" spans="1:6" x14ac:dyDescent="0.2">
      <c r="A1214" s="30">
        <v>45818</v>
      </c>
      <c r="B1214" s="28" t="s">
        <v>1539</v>
      </c>
      <c r="C1214" s="28">
        <v>37.520000000000003</v>
      </c>
      <c r="D1214" s="28" t="str">
        <f>_xlfn.XLOOKUP(B1214,'Payee Ref'!A:A,'Payee Ref'!B:B,"unassigned",0,1)</f>
        <v>Groceries</v>
      </c>
      <c r="E1214" s="29" t="str">
        <f>_xlfn.XLOOKUP(B1214,'Payee Ref'!A:A,'Payee Ref'!C:C,"unassigned",0,1)</f>
        <v>Basic</v>
      </c>
      <c r="F1214" s="28" t="s">
        <v>2207</v>
      </c>
    </row>
    <row r="1215" spans="1:6" x14ac:dyDescent="0.2">
      <c r="A1215" s="30">
        <v>45804</v>
      </c>
      <c r="B1215" s="28" t="s">
        <v>1539</v>
      </c>
      <c r="C1215" s="28">
        <v>37.520000000000003</v>
      </c>
      <c r="D1215" s="28" t="str">
        <f>_xlfn.XLOOKUP(B1215,'Payee Ref'!A:A,'Payee Ref'!B:B,"unassigned",0,1)</f>
        <v>Groceries</v>
      </c>
      <c r="E1215" s="29" t="str">
        <f>_xlfn.XLOOKUP(B1215,'Payee Ref'!A:A,'Payee Ref'!C:C,"unassigned",0,1)</f>
        <v>Basic</v>
      </c>
      <c r="F1215" s="28" t="s">
        <v>2207</v>
      </c>
    </row>
    <row r="1216" spans="1:6" x14ac:dyDescent="0.2">
      <c r="A1216" s="30">
        <v>45678</v>
      </c>
      <c r="B1216" s="28" t="s">
        <v>1547</v>
      </c>
      <c r="C1216" s="28">
        <v>37.75</v>
      </c>
      <c r="D1216" s="28" t="str">
        <f>_xlfn.XLOOKUP(B1216,'Payee Ref'!A:A,'Payee Ref'!B:B,"unassigned",0,1)</f>
        <v>Pharmacy</v>
      </c>
      <c r="E1216" s="29" t="str">
        <f>_xlfn.XLOOKUP(B1216,'Payee Ref'!A:A,'Payee Ref'!C:C,"unassigned",0,1)</f>
        <v>Basic</v>
      </c>
      <c r="F1216" s="28" t="s">
        <v>2207</v>
      </c>
    </row>
    <row r="1217" spans="1:6" x14ac:dyDescent="0.2">
      <c r="A1217" s="30">
        <v>45661</v>
      </c>
      <c r="B1217" s="28" t="s">
        <v>1619</v>
      </c>
      <c r="C1217" s="28">
        <v>37.79</v>
      </c>
      <c r="D1217" s="28" t="str">
        <f>_xlfn.XLOOKUP(B1217,'Payee Ref'!A:A,'Payee Ref'!B:B,"unassigned",0,1)</f>
        <v>Travel</v>
      </c>
      <c r="E1217" s="29" t="str">
        <f>_xlfn.XLOOKUP(B1217,'Payee Ref'!A:A,'Payee Ref'!C:C,"unassigned",0,1)</f>
        <v>Luxury</v>
      </c>
      <c r="F1217" s="28" t="s">
        <v>2207</v>
      </c>
    </row>
    <row r="1218" spans="1:6" x14ac:dyDescent="0.2">
      <c r="A1218" s="30">
        <v>45958</v>
      </c>
      <c r="B1218" s="28" t="s">
        <v>570</v>
      </c>
      <c r="C1218" s="28">
        <v>37.92</v>
      </c>
      <c r="D1218" s="28" t="str">
        <f>_xlfn.XLOOKUP(B1218,'Payee Ref'!A:A,'Payee Ref'!B:B,"unassigned",0,1)</f>
        <v>Groceries</v>
      </c>
      <c r="E1218" s="29" t="str">
        <f>_xlfn.XLOOKUP(B1218,'Payee Ref'!A:A,'Payee Ref'!C:C,"unassigned",0,1)</f>
        <v>Basic</v>
      </c>
      <c r="F1218" s="28" t="s">
        <v>2207</v>
      </c>
    </row>
    <row r="1219" spans="1:6" x14ac:dyDescent="0.2">
      <c r="A1219" s="30">
        <v>45870</v>
      </c>
      <c r="B1219" s="28" t="s">
        <v>1654</v>
      </c>
      <c r="C1219" s="28">
        <v>38.21</v>
      </c>
      <c r="D1219" s="28" t="str">
        <f>_xlfn.XLOOKUP(B1219,'Payee Ref'!A:A,'Payee Ref'!B:B,"unassigned",0,1)</f>
        <v>Clothing</v>
      </c>
      <c r="E1219" s="29" t="str">
        <f>_xlfn.XLOOKUP(B1219,'Payee Ref'!A:A,'Payee Ref'!C:C,"unassigned",0,1)</f>
        <v>Basic</v>
      </c>
      <c r="F1219" s="28" t="s">
        <v>2207</v>
      </c>
    </row>
    <row r="1220" spans="1:6" x14ac:dyDescent="0.2">
      <c r="A1220" s="30">
        <v>45822</v>
      </c>
      <c r="B1220" s="28" t="s">
        <v>1938</v>
      </c>
      <c r="C1220" s="28">
        <v>38.4</v>
      </c>
      <c r="D1220" s="28" t="str">
        <f>_xlfn.XLOOKUP(B1220,'Payee Ref'!A:A,'Payee Ref'!B:B,"unassigned",0,1)</f>
        <v>Dining</v>
      </c>
      <c r="E1220" s="29" t="str">
        <f>_xlfn.XLOOKUP(B1220,'Payee Ref'!A:A,'Payee Ref'!C:C,"unassigned",0,1)</f>
        <v>Luxury</v>
      </c>
      <c r="F1220" s="28" t="s">
        <v>2207</v>
      </c>
    </row>
    <row r="1221" spans="1:6" x14ac:dyDescent="0.2">
      <c r="A1221" s="30">
        <v>45972</v>
      </c>
      <c r="B1221" s="28" t="s">
        <v>570</v>
      </c>
      <c r="C1221" s="28">
        <v>38.42</v>
      </c>
      <c r="D1221" s="28" t="str">
        <f>_xlfn.XLOOKUP(B1221,'Payee Ref'!A:A,'Payee Ref'!B:B,"unassigned",0,1)</f>
        <v>Groceries</v>
      </c>
      <c r="E1221" s="29" t="str">
        <f>_xlfn.XLOOKUP(B1221,'Payee Ref'!A:A,'Payee Ref'!C:C,"unassigned",0,1)</f>
        <v>Basic</v>
      </c>
      <c r="F1221" s="28" t="s">
        <v>2207</v>
      </c>
    </row>
    <row r="1222" spans="1:6" x14ac:dyDescent="0.2">
      <c r="A1222" s="30">
        <v>45683</v>
      </c>
      <c r="B1222" s="31" t="s">
        <v>2151</v>
      </c>
      <c r="C1222" s="28">
        <v>38.49</v>
      </c>
      <c r="D1222" s="28" t="str">
        <f>_xlfn.XLOOKUP(B1222,'Payee Ref'!A:A,'Payee Ref'!B:B,"unassigned",0,1)</f>
        <v>Home &amp; Garden</v>
      </c>
      <c r="E1222" s="29" t="str">
        <f>_xlfn.XLOOKUP(B1222,'Payee Ref'!A:A,'Payee Ref'!C:C,"unassigned",0,1)</f>
        <v>Basic</v>
      </c>
      <c r="F1222" s="28" t="s">
        <v>2207</v>
      </c>
    </row>
    <row r="1223" spans="1:6" x14ac:dyDescent="0.2">
      <c r="A1223" s="30">
        <v>45847</v>
      </c>
      <c r="B1223" s="28" t="s">
        <v>1602</v>
      </c>
      <c r="C1223" s="28">
        <v>38.57</v>
      </c>
      <c r="D1223" s="28" t="str">
        <f>_xlfn.XLOOKUP(B1223,'Payee Ref'!A:A,'Payee Ref'!B:B,"unassigned",0,1)</f>
        <v>Auto</v>
      </c>
      <c r="E1223" s="29" t="str">
        <f>_xlfn.XLOOKUP(B1223,'Payee Ref'!A:A,'Payee Ref'!C:C,"unassigned",0,1)</f>
        <v>Basic</v>
      </c>
      <c r="F1223" s="28" t="s">
        <v>2207</v>
      </c>
    </row>
    <row r="1224" spans="1:6" x14ac:dyDescent="0.2">
      <c r="A1224" s="30">
        <v>45950</v>
      </c>
      <c r="B1224" s="28" t="s">
        <v>852</v>
      </c>
      <c r="C1224" s="28">
        <v>38.590000000000003</v>
      </c>
      <c r="D1224" s="28" t="str">
        <f>_xlfn.XLOOKUP(B1224,'Payee Ref'!A:A,'Payee Ref'!B:B,"unassigned",0,1)</f>
        <v>Pharmacy</v>
      </c>
      <c r="E1224" s="29" t="str">
        <f>_xlfn.XLOOKUP(B1224,'Payee Ref'!A:A,'Payee Ref'!C:C,"unassigned",0,1)</f>
        <v>Basic</v>
      </c>
      <c r="F1224" s="28" t="s">
        <v>2207</v>
      </c>
    </row>
    <row r="1225" spans="1:6" x14ac:dyDescent="0.2">
      <c r="A1225" s="30">
        <v>45676</v>
      </c>
      <c r="B1225" s="28" t="s">
        <v>1606</v>
      </c>
      <c r="C1225" s="28">
        <v>38.619999999999997</v>
      </c>
      <c r="D1225" s="28" t="str">
        <f>_xlfn.XLOOKUP(B1225,'Payee Ref'!A:A,'Payee Ref'!B:B,"unassigned",0,1)</f>
        <v>R&amp;R</v>
      </c>
      <c r="E1225" s="29" t="str">
        <f>_xlfn.XLOOKUP(B1225,'Payee Ref'!A:A,'Payee Ref'!C:C,"unassigned",0,1)</f>
        <v>Luxury</v>
      </c>
      <c r="F1225" s="28" t="s">
        <v>2207</v>
      </c>
    </row>
    <row r="1226" spans="1:6" x14ac:dyDescent="0.2">
      <c r="A1226" s="30">
        <v>45853</v>
      </c>
      <c r="B1226" s="31" t="s">
        <v>1834</v>
      </c>
      <c r="C1226" s="28">
        <v>38.68</v>
      </c>
      <c r="D1226" s="28">
        <f>_xlfn.XLOOKUP(B1226,'Payee Ref'!A:A,'Payee Ref'!B:B,"unassigned",0,1)</f>
        <v>0</v>
      </c>
      <c r="E1226" s="29">
        <f>_xlfn.XLOOKUP(B1226,'Payee Ref'!A:A,'Payee Ref'!C:C,"unassigned",0,1)</f>
        <v>0</v>
      </c>
      <c r="F1226" s="28" t="s">
        <v>2207</v>
      </c>
    </row>
    <row r="1227" spans="1:6" x14ac:dyDescent="0.2">
      <c r="A1227" s="30">
        <v>45708</v>
      </c>
      <c r="B1227" s="28" t="s">
        <v>1985</v>
      </c>
      <c r="C1227" s="28">
        <v>38.78</v>
      </c>
      <c r="D1227" s="28" t="str">
        <f>_xlfn.XLOOKUP(B1227,'Payee Ref'!A:A,'Payee Ref'!B:B,"unassigned",0,1)</f>
        <v>Home &amp; Garden</v>
      </c>
      <c r="E1227" s="29" t="str">
        <f>_xlfn.XLOOKUP(B1227,'Payee Ref'!A:A,'Payee Ref'!C:C,"unassigned",0,1)</f>
        <v>Basic</v>
      </c>
      <c r="F1227" s="28" t="s">
        <v>2207</v>
      </c>
    </row>
    <row r="1228" spans="1:6" x14ac:dyDescent="0.2">
      <c r="A1228" s="30">
        <v>45787</v>
      </c>
      <c r="B1228" s="28" t="s">
        <v>2004</v>
      </c>
      <c r="C1228" s="28">
        <v>38.85</v>
      </c>
      <c r="D1228" s="28" t="str">
        <f>_xlfn.XLOOKUP(B1228,'Payee Ref'!A:A,'Payee Ref'!B:B,"unassigned",0,1)</f>
        <v>Dining</v>
      </c>
      <c r="E1228" s="29" t="str">
        <f>_xlfn.XLOOKUP(B1228,'Payee Ref'!A:A,'Payee Ref'!C:C,"unassigned",0,1)</f>
        <v>Luxury</v>
      </c>
      <c r="F1228" s="28" t="s">
        <v>2207</v>
      </c>
    </row>
    <row r="1229" spans="1:6" x14ac:dyDescent="0.2">
      <c r="A1229" s="30">
        <v>45808</v>
      </c>
      <c r="B1229" s="28" t="s">
        <v>1665</v>
      </c>
      <c r="C1229" s="28">
        <v>39.049999999999997</v>
      </c>
      <c r="D1229" s="28" t="str">
        <f>_xlfn.XLOOKUP(B1229,'Payee Ref'!A:A,'Payee Ref'!B:B,"unassigned",0,1)</f>
        <v>Travel</v>
      </c>
      <c r="E1229" s="29" t="str">
        <f>_xlfn.XLOOKUP(B1229,'Payee Ref'!A:A,'Payee Ref'!C:C,"unassigned",0,1)</f>
        <v>Luxury</v>
      </c>
      <c r="F1229" s="28" t="s">
        <v>2207</v>
      </c>
    </row>
    <row r="1230" spans="1:6" x14ac:dyDescent="0.2">
      <c r="A1230" s="30">
        <v>45711</v>
      </c>
      <c r="B1230" s="28" t="s">
        <v>1656</v>
      </c>
      <c r="C1230" s="28">
        <v>39.11</v>
      </c>
      <c r="D1230" s="28" t="str">
        <f>_xlfn.XLOOKUP(B1230,'Payee Ref'!A:A,'Payee Ref'!B:B,"unassigned",0,1)</f>
        <v>Home &amp; Garden</v>
      </c>
      <c r="E1230" s="29" t="str">
        <f>_xlfn.XLOOKUP(B1230,'Payee Ref'!A:A,'Payee Ref'!C:C,"unassigned",0,1)</f>
        <v>Basic</v>
      </c>
      <c r="F1230" s="28" t="s">
        <v>2207</v>
      </c>
    </row>
    <row r="1231" spans="1:6" x14ac:dyDescent="0.2">
      <c r="A1231" s="30">
        <v>45831</v>
      </c>
      <c r="B1231" s="28" t="s">
        <v>1910</v>
      </c>
      <c r="C1231" s="28">
        <v>39.14</v>
      </c>
      <c r="D1231" s="28" t="str">
        <f>_xlfn.XLOOKUP(B1231,'Payee Ref'!A:A,'Payee Ref'!B:B,"unassigned",0,1)</f>
        <v>Travel</v>
      </c>
      <c r="E1231" s="29" t="str">
        <f>_xlfn.XLOOKUP(B1231,'Payee Ref'!A:A,'Payee Ref'!C:C,"unassigned",0,1)</f>
        <v>Luxury</v>
      </c>
      <c r="F1231" s="28" t="s">
        <v>2207</v>
      </c>
    </row>
    <row r="1232" spans="1:6" x14ac:dyDescent="0.2">
      <c r="A1232" s="30">
        <v>45822</v>
      </c>
      <c r="B1232" s="28" t="s">
        <v>1939</v>
      </c>
      <c r="C1232" s="28">
        <v>39.29</v>
      </c>
      <c r="D1232" s="28" t="str">
        <f>_xlfn.XLOOKUP(B1232,'Payee Ref'!A:A,'Payee Ref'!B:B,"unassigned",0,1)</f>
        <v>Dining</v>
      </c>
      <c r="E1232" s="29" t="str">
        <f>_xlfn.XLOOKUP(B1232,'Payee Ref'!A:A,'Payee Ref'!C:C,"unassigned",0,1)</f>
        <v>Luxury</v>
      </c>
      <c r="F1232" s="28" t="s">
        <v>2207</v>
      </c>
    </row>
    <row r="1233" spans="1:6" x14ac:dyDescent="0.2">
      <c r="A1233" s="30">
        <v>45896</v>
      </c>
      <c r="B1233" s="28" t="s">
        <v>1689</v>
      </c>
      <c r="C1233" s="28">
        <v>39.35</v>
      </c>
      <c r="D1233" s="28" t="str">
        <f>_xlfn.XLOOKUP(B1233,'Payee Ref'!A:A,'Payee Ref'!B:B,"unassigned",0,1)</f>
        <v>Groceries</v>
      </c>
      <c r="E1233" s="29" t="str">
        <f>_xlfn.XLOOKUP(B1233,'Payee Ref'!A:A,'Payee Ref'!C:C,"unassigned",0,1)</f>
        <v>Basic</v>
      </c>
      <c r="F1233" s="28" t="s">
        <v>2207</v>
      </c>
    </row>
    <row r="1234" spans="1:6" x14ac:dyDescent="0.2">
      <c r="A1234" s="30">
        <v>45662</v>
      </c>
      <c r="B1234" s="28" t="s">
        <v>2183</v>
      </c>
      <c r="C1234" s="28">
        <v>39.450000000000003</v>
      </c>
      <c r="D1234" s="28" t="str">
        <f>_xlfn.XLOOKUP(B1234,'Payee Ref'!A:A,'Payee Ref'!B:B,"unassigned",0,1)</f>
        <v>Dining</v>
      </c>
      <c r="E1234" s="29" t="str">
        <f>_xlfn.XLOOKUP(B1234,'Payee Ref'!A:A,'Payee Ref'!C:C,"unassigned",0,1)</f>
        <v>Luxury</v>
      </c>
      <c r="F1234" s="28" t="s">
        <v>2207</v>
      </c>
    </row>
    <row r="1235" spans="1:6" x14ac:dyDescent="0.2">
      <c r="A1235" s="30">
        <v>45867</v>
      </c>
      <c r="B1235" s="28" t="s">
        <v>1782</v>
      </c>
      <c r="C1235" s="28">
        <v>39.6</v>
      </c>
      <c r="D1235" s="28" t="str">
        <f>_xlfn.XLOOKUP(B1235,'Payee Ref'!A:A,'Payee Ref'!B:B,"unassigned",0,1)</f>
        <v>Dining</v>
      </c>
      <c r="E1235" s="29" t="str">
        <f>_xlfn.XLOOKUP(B1235,'Payee Ref'!A:A,'Payee Ref'!C:C,"unassigned",0,1)</f>
        <v>Luxury</v>
      </c>
      <c r="F1235" s="28" t="s">
        <v>2207</v>
      </c>
    </row>
    <row r="1236" spans="1:6" x14ac:dyDescent="0.2">
      <c r="A1236" s="30">
        <v>45708</v>
      </c>
      <c r="B1236" s="28" t="s">
        <v>1985</v>
      </c>
      <c r="C1236" s="28">
        <v>39.68</v>
      </c>
      <c r="D1236" s="28" t="str">
        <f>_xlfn.XLOOKUP(B1236,'Payee Ref'!A:A,'Payee Ref'!B:B,"unassigned",0,1)</f>
        <v>Home &amp; Garden</v>
      </c>
      <c r="E1236" s="29" t="str">
        <f>_xlfn.XLOOKUP(B1236,'Payee Ref'!A:A,'Payee Ref'!C:C,"unassigned",0,1)</f>
        <v>Basic</v>
      </c>
      <c r="F1236" s="28" t="s">
        <v>2207</v>
      </c>
    </row>
    <row r="1237" spans="1:6" x14ac:dyDescent="0.2">
      <c r="A1237" s="30">
        <v>45696</v>
      </c>
      <c r="B1237" s="31" t="s">
        <v>2128</v>
      </c>
      <c r="C1237" s="28">
        <v>39.700000000000003</v>
      </c>
      <c r="D1237" s="28" t="str">
        <f>_xlfn.XLOOKUP(B1237,'Payee Ref'!A:A,'Payee Ref'!B:B,"unassigned",0,1)</f>
        <v>Home &amp; Garden</v>
      </c>
      <c r="E1237" s="29" t="str">
        <f>_xlfn.XLOOKUP(B1237,'Payee Ref'!A:A,'Payee Ref'!C:C,"unassigned",0,1)</f>
        <v>Basic</v>
      </c>
      <c r="F1237" s="28" t="s">
        <v>2207</v>
      </c>
    </row>
    <row r="1238" spans="1:6" x14ac:dyDescent="0.2">
      <c r="A1238" s="30">
        <v>45914</v>
      </c>
      <c r="B1238" s="31" t="s">
        <v>1543</v>
      </c>
      <c r="C1238" s="28">
        <v>39.71</v>
      </c>
      <c r="D1238" s="28" t="str">
        <f>_xlfn.XLOOKUP(B1238,'Payee Ref'!A:A,'Payee Ref'!B:B,"unassigned",0,1)</f>
        <v>Subscriptions / Digital</v>
      </c>
      <c r="E1238" s="29" t="str">
        <f>_xlfn.XLOOKUP(B1238,'Payee Ref'!A:A,'Payee Ref'!C:C,"unassigned",0,1)</f>
        <v>Luxury</v>
      </c>
      <c r="F1238" s="28" t="s">
        <v>2207</v>
      </c>
    </row>
    <row r="1239" spans="1:6" x14ac:dyDescent="0.2">
      <c r="A1239" s="30">
        <v>45732</v>
      </c>
      <c r="B1239" s="28" t="s">
        <v>1580</v>
      </c>
      <c r="C1239" s="28">
        <v>39.72</v>
      </c>
      <c r="D1239" s="28" t="str">
        <f>_xlfn.XLOOKUP(B1239,'Payee Ref'!A:A,'Payee Ref'!B:B,"unassigned",0,1)</f>
        <v>Dining</v>
      </c>
      <c r="E1239" s="29" t="str">
        <f>_xlfn.XLOOKUP(B1239,'Payee Ref'!A:A,'Payee Ref'!C:C,"unassigned",0,1)</f>
        <v>Luxury</v>
      </c>
      <c r="F1239" s="28" t="s">
        <v>2207</v>
      </c>
    </row>
    <row r="1240" spans="1:6" x14ac:dyDescent="0.2">
      <c r="A1240" s="30">
        <v>45976</v>
      </c>
      <c r="B1240" s="28" t="s">
        <v>546</v>
      </c>
      <c r="C1240" s="28">
        <v>39.83</v>
      </c>
      <c r="D1240" s="28" t="str">
        <f>_xlfn.XLOOKUP(B1240,'Payee Ref'!A:A,'Payee Ref'!B:B,"unassigned",0,1)</f>
        <v>Groceries</v>
      </c>
      <c r="E1240" s="29" t="str">
        <f>_xlfn.XLOOKUP(B1240,'Payee Ref'!A:A,'Payee Ref'!C:C,"unassigned",0,1)</f>
        <v>Basic</v>
      </c>
      <c r="F1240" s="28" t="s">
        <v>2207</v>
      </c>
    </row>
    <row r="1241" spans="1:6" x14ac:dyDescent="0.2">
      <c r="A1241" s="30">
        <v>45822</v>
      </c>
      <c r="B1241" s="28" t="s">
        <v>1937</v>
      </c>
      <c r="C1241" s="28">
        <v>39.880000000000003</v>
      </c>
      <c r="D1241" s="28" t="str">
        <f>_xlfn.XLOOKUP(B1241,'Payee Ref'!A:A,'Payee Ref'!B:B,"unassigned",0,1)</f>
        <v>Travel</v>
      </c>
      <c r="E1241" s="29" t="str">
        <f>_xlfn.XLOOKUP(B1241,'Payee Ref'!A:A,'Payee Ref'!C:C,"unassigned",0,1)</f>
        <v>Luxury</v>
      </c>
      <c r="F1241" s="28" t="s">
        <v>2207</v>
      </c>
    </row>
    <row r="1242" spans="1:6" x14ac:dyDescent="0.2">
      <c r="A1242" s="30">
        <v>45835</v>
      </c>
      <c r="B1242" s="28" t="s">
        <v>1536</v>
      </c>
      <c r="C1242" s="28">
        <v>39.94</v>
      </c>
      <c r="D1242" s="28" t="str">
        <f>_xlfn.XLOOKUP(B1242,'Payee Ref'!A:A,'Payee Ref'!B:B,"unassigned",0,1)</f>
        <v>Groceries</v>
      </c>
      <c r="E1242" s="29" t="str">
        <f>_xlfn.XLOOKUP(B1242,'Payee Ref'!A:A,'Payee Ref'!C:C,"unassigned",0,1)</f>
        <v>Basic</v>
      </c>
      <c r="F1242" s="28" t="s">
        <v>2207</v>
      </c>
    </row>
    <row r="1243" spans="1:6" x14ac:dyDescent="0.2">
      <c r="A1243" s="30">
        <v>45840</v>
      </c>
      <c r="B1243" s="28" t="s">
        <v>1866</v>
      </c>
      <c r="C1243" s="28">
        <v>39.950000000000003</v>
      </c>
      <c r="D1243" s="28" t="str">
        <f>_xlfn.XLOOKUP(B1243,'Payee Ref'!A:A,'Payee Ref'!B:B,"unassigned",0,1)</f>
        <v>Travel</v>
      </c>
      <c r="E1243" s="29" t="str">
        <f>_xlfn.XLOOKUP(B1243,'Payee Ref'!A:A,'Payee Ref'!C:C,"unassigned",0,1)</f>
        <v>Luxury</v>
      </c>
      <c r="F1243" s="28" t="s">
        <v>2207</v>
      </c>
    </row>
    <row r="1244" spans="1:6" x14ac:dyDescent="0.2">
      <c r="A1244" s="30">
        <v>45959</v>
      </c>
      <c r="B1244" s="28" t="s">
        <v>1222</v>
      </c>
      <c r="C1244" s="28">
        <v>40</v>
      </c>
      <c r="D1244" s="28" t="str">
        <f>_xlfn.XLOOKUP(B1244,'Payee Ref'!A:A,'Payee Ref'!B:B,"unassigned",0,1)</f>
        <v>Enrichment</v>
      </c>
      <c r="E1244" s="29" t="str">
        <f>_xlfn.XLOOKUP(B1244,'Payee Ref'!A:A,'Payee Ref'!C:C,"unassigned",0,1)</f>
        <v>Luxury</v>
      </c>
      <c r="F1244" s="28" t="s">
        <v>2207</v>
      </c>
    </row>
    <row r="1245" spans="1:6" x14ac:dyDescent="0.2">
      <c r="A1245" s="30">
        <v>45940</v>
      </c>
      <c r="B1245" s="28" t="s">
        <v>406</v>
      </c>
      <c r="C1245" s="28">
        <v>40.08</v>
      </c>
      <c r="D1245" s="28" t="str">
        <f>_xlfn.XLOOKUP(B1245,'Payee Ref'!A:A,'Payee Ref'!B:B,"unassigned",0,1)</f>
        <v>Dining</v>
      </c>
      <c r="E1245" s="29" t="str">
        <f>_xlfn.XLOOKUP(B1245,'Payee Ref'!A:A,'Payee Ref'!C:C,"unassigned",0,1)</f>
        <v>Luxury</v>
      </c>
      <c r="F1245" s="28" t="s">
        <v>2207</v>
      </c>
    </row>
    <row r="1246" spans="1:6" x14ac:dyDescent="0.2">
      <c r="A1246" s="30">
        <v>45859</v>
      </c>
      <c r="B1246" s="28" t="s">
        <v>1816</v>
      </c>
      <c r="C1246" s="28">
        <v>40.5</v>
      </c>
      <c r="D1246" s="28" t="str">
        <f>_xlfn.XLOOKUP(B1246,'Payee Ref'!A:A,'Payee Ref'!B:B,"unassigned",0,1)</f>
        <v>Travel</v>
      </c>
      <c r="E1246" s="29" t="str">
        <f>_xlfn.XLOOKUP(B1246,'Payee Ref'!A:A,'Payee Ref'!C:C,"unassigned",0,1)</f>
        <v>Luxury</v>
      </c>
      <c r="F1246" s="28" t="s">
        <v>2207</v>
      </c>
    </row>
    <row r="1247" spans="1:6" x14ac:dyDescent="0.2">
      <c r="A1247" s="30">
        <v>45952</v>
      </c>
      <c r="B1247" s="28" t="s">
        <v>168</v>
      </c>
      <c r="C1247" s="28">
        <v>40.61</v>
      </c>
      <c r="D1247" s="28" t="str">
        <f>_xlfn.XLOOKUP(B1247,'Payee Ref'!A:A,'Payee Ref'!B:B,"unassigned",0,1)</f>
        <v>Dining</v>
      </c>
      <c r="E1247" s="29" t="str">
        <f>_xlfn.XLOOKUP(B1247,'Payee Ref'!A:A,'Payee Ref'!C:C,"unassigned",0,1)</f>
        <v>Luxury</v>
      </c>
      <c r="F1247" s="28" t="s">
        <v>2207</v>
      </c>
    </row>
    <row r="1248" spans="1:6" x14ac:dyDescent="0.2">
      <c r="A1248" s="30">
        <v>45703</v>
      </c>
      <c r="B1248" s="32" t="s">
        <v>2123</v>
      </c>
      <c r="C1248" s="28">
        <v>40.71</v>
      </c>
      <c r="D1248" s="28" t="str">
        <f>_xlfn.XLOOKUP(B1248,'Payee Ref'!A:A,'Payee Ref'!B:B,"unassigned",0,1)</f>
        <v>Home &amp; Garden</v>
      </c>
      <c r="E1248" s="29" t="str">
        <f>_xlfn.XLOOKUP(B1248,'Payee Ref'!A:A,'Payee Ref'!C:C,"unassigned",0,1)</f>
        <v>Basic</v>
      </c>
      <c r="F1248" s="28" t="s">
        <v>2207</v>
      </c>
    </row>
    <row r="1249" spans="1:6" x14ac:dyDescent="0.2">
      <c r="A1249" s="30">
        <v>45716</v>
      </c>
      <c r="B1249" s="28" t="s">
        <v>2107</v>
      </c>
      <c r="C1249" s="28">
        <v>40.869999999999997</v>
      </c>
      <c r="D1249" s="28" t="str">
        <f>_xlfn.XLOOKUP(B1249,'Payee Ref'!A:A,'Payee Ref'!B:B,"unassigned",0,1)</f>
        <v>Dining</v>
      </c>
      <c r="E1249" s="29" t="str">
        <f>_xlfn.XLOOKUP(B1249,'Payee Ref'!A:A,'Payee Ref'!C:C,"unassigned",0,1)</f>
        <v>Luxury</v>
      </c>
      <c r="F1249" s="28" t="s">
        <v>2207</v>
      </c>
    </row>
    <row r="1250" spans="1:6" x14ac:dyDescent="0.2">
      <c r="A1250" s="30">
        <v>45935</v>
      </c>
      <c r="B1250" s="28" t="s">
        <v>227</v>
      </c>
      <c r="C1250" s="28">
        <v>40.97</v>
      </c>
      <c r="D1250" s="28" t="str">
        <f>_xlfn.XLOOKUP(B1250,'Payee Ref'!A:A,'Payee Ref'!B:B,"unassigned",0,1)</f>
        <v>Travel</v>
      </c>
      <c r="E1250" s="29" t="str">
        <f>_xlfn.XLOOKUP(B1250,'Payee Ref'!A:A,'Payee Ref'!C:C,"unassigned",0,1)</f>
        <v>Luxury</v>
      </c>
      <c r="F1250" s="28" t="s">
        <v>2207</v>
      </c>
    </row>
    <row r="1251" spans="1:6" x14ac:dyDescent="0.2">
      <c r="A1251" s="30">
        <v>45795</v>
      </c>
      <c r="B1251" s="28" t="s">
        <v>1536</v>
      </c>
      <c r="C1251" s="28">
        <v>40.97</v>
      </c>
      <c r="D1251" s="28" t="str">
        <f>_xlfn.XLOOKUP(B1251,'Payee Ref'!A:A,'Payee Ref'!B:B,"unassigned",0,1)</f>
        <v>Groceries</v>
      </c>
      <c r="E1251" s="29" t="str">
        <f>_xlfn.XLOOKUP(B1251,'Payee Ref'!A:A,'Payee Ref'!C:C,"unassigned",0,1)</f>
        <v>Basic</v>
      </c>
      <c r="F1251" s="28" t="s">
        <v>2207</v>
      </c>
    </row>
    <row r="1252" spans="1:6" x14ac:dyDescent="0.2">
      <c r="A1252" s="30">
        <v>45833</v>
      </c>
      <c r="B1252" s="28" t="s">
        <v>1900</v>
      </c>
      <c r="C1252" s="28">
        <v>41.06</v>
      </c>
      <c r="D1252" s="28" t="str">
        <f>_xlfn.XLOOKUP(B1252,'Payee Ref'!A:A,'Payee Ref'!B:B,"unassigned",0,1)</f>
        <v>Travel</v>
      </c>
      <c r="E1252" s="29" t="str">
        <f>_xlfn.XLOOKUP(B1252,'Payee Ref'!A:A,'Payee Ref'!C:C,"unassigned",0,1)</f>
        <v>Luxury</v>
      </c>
      <c r="F1252" s="28" t="s">
        <v>2207</v>
      </c>
    </row>
    <row r="1253" spans="1:6" x14ac:dyDescent="0.2">
      <c r="A1253" s="30">
        <v>45796</v>
      </c>
      <c r="B1253" s="28" t="s">
        <v>1965</v>
      </c>
      <c r="C1253" s="28">
        <v>41.09</v>
      </c>
      <c r="D1253" s="28" t="str">
        <f>_xlfn.XLOOKUP(B1253,'Payee Ref'!A:A,'Payee Ref'!B:B,"unassigned",0,1)</f>
        <v>Dining</v>
      </c>
      <c r="E1253" s="29" t="str">
        <f>_xlfn.XLOOKUP(B1253,'Payee Ref'!A:A,'Payee Ref'!C:C,"unassigned",0,1)</f>
        <v>Luxury</v>
      </c>
      <c r="F1253" s="28" t="s">
        <v>2207</v>
      </c>
    </row>
    <row r="1254" spans="1:6" x14ac:dyDescent="0.2">
      <c r="A1254" s="30">
        <v>45920</v>
      </c>
      <c r="B1254" s="28" t="s">
        <v>1529</v>
      </c>
      <c r="C1254" s="28">
        <v>41.22</v>
      </c>
      <c r="D1254" s="28" t="str">
        <f>_xlfn.XLOOKUP(B1254,'Payee Ref'!A:A,'Payee Ref'!B:B,"unassigned",0,1)</f>
        <v>Dining</v>
      </c>
      <c r="E1254" s="29" t="str">
        <f>_xlfn.XLOOKUP(B1254,'Payee Ref'!A:A,'Payee Ref'!C:C,"unassigned",0,1)</f>
        <v>Luxury</v>
      </c>
      <c r="F1254" s="28" t="s">
        <v>2207</v>
      </c>
    </row>
    <row r="1255" spans="1:6" x14ac:dyDescent="0.2">
      <c r="A1255" s="30">
        <v>45897</v>
      </c>
      <c r="B1255" s="28" t="s">
        <v>1684</v>
      </c>
      <c r="C1255" s="28">
        <v>41.25</v>
      </c>
      <c r="D1255" s="28" t="str">
        <f>_xlfn.XLOOKUP(B1255,'Payee Ref'!A:A,'Payee Ref'!B:B,"unassigned",0,1)</f>
        <v>Membership</v>
      </c>
      <c r="E1255" s="29" t="str">
        <f>_xlfn.XLOOKUP(B1255,'Payee Ref'!A:A,'Payee Ref'!C:C,"unassigned",0,1)</f>
        <v>Basic</v>
      </c>
      <c r="F1255" s="28" t="s">
        <v>2207</v>
      </c>
    </row>
    <row r="1256" spans="1:6" x14ac:dyDescent="0.2">
      <c r="A1256" s="30">
        <v>45841</v>
      </c>
      <c r="B1256" s="28" t="s">
        <v>1863</v>
      </c>
      <c r="C1256" s="28">
        <v>41.3</v>
      </c>
      <c r="D1256" s="28" t="str">
        <f>_xlfn.XLOOKUP(B1256,'Payee Ref'!A:A,'Payee Ref'!B:B,"unassigned",0,1)</f>
        <v>Enrichment</v>
      </c>
      <c r="E1256" s="29" t="str">
        <f>_xlfn.XLOOKUP(B1256,'Payee Ref'!A:A,'Payee Ref'!C:C,"unassigned",0,1)</f>
        <v>Luxury</v>
      </c>
      <c r="F1256" s="28" t="s">
        <v>2207</v>
      </c>
    </row>
    <row r="1257" spans="1:6" x14ac:dyDescent="0.2">
      <c r="A1257" s="30">
        <v>45843</v>
      </c>
      <c r="B1257" s="28" t="s">
        <v>1859</v>
      </c>
      <c r="C1257" s="28">
        <v>41.38</v>
      </c>
      <c r="D1257" s="28" t="str">
        <f>_xlfn.XLOOKUP(B1257,'Payee Ref'!A:A,'Payee Ref'!B:B,"unassigned",0,1)</f>
        <v>Auto</v>
      </c>
      <c r="E1257" s="29" t="str">
        <f>_xlfn.XLOOKUP(B1257,'Payee Ref'!A:A,'Payee Ref'!C:C,"unassigned",0,1)</f>
        <v>Basic</v>
      </c>
      <c r="F1257" s="28" t="s">
        <v>2207</v>
      </c>
    </row>
    <row r="1258" spans="1:6" x14ac:dyDescent="0.2">
      <c r="A1258" s="30">
        <v>45825</v>
      </c>
      <c r="B1258" s="28" t="s">
        <v>1665</v>
      </c>
      <c r="C1258" s="28">
        <v>41.93</v>
      </c>
      <c r="D1258" s="28" t="str">
        <f>_xlfn.XLOOKUP(B1258,'Payee Ref'!A:A,'Payee Ref'!B:B,"unassigned",0,1)</f>
        <v>Travel</v>
      </c>
      <c r="E1258" s="29" t="str">
        <f>_xlfn.XLOOKUP(B1258,'Payee Ref'!A:A,'Payee Ref'!C:C,"unassigned",0,1)</f>
        <v>Luxury</v>
      </c>
      <c r="F1258" s="28" t="s">
        <v>2207</v>
      </c>
    </row>
    <row r="1259" spans="1:6" x14ac:dyDescent="0.2">
      <c r="A1259" s="30">
        <v>45762</v>
      </c>
      <c r="B1259" s="28" t="s">
        <v>2036</v>
      </c>
      <c r="C1259" s="28">
        <v>41.93</v>
      </c>
      <c r="D1259" s="28" t="str">
        <f>_xlfn.XLOOKUP(B1259,'Payee Ref'!A:A,'Payee Ref'!B:B,"unassigned",0,1)</f>
        <v>Extracirricular</v>
      </c>
      <c r="E1259" s="29" t="str">
        <f>_xlfn.XLOOKUP(B1259,'Payee Ref'!A:A,'Payee Ref'!C:C,"unassigned",0,1)</f>
        <v>Basic</v>
      </c>
      <c r="F1259" s="28" t="s">
        <v>2207</v>
      </c>
    </row>
    <row r="1260" spans="1:6" x14ac:dyDescent="0.2">
      <c r="A1260" s="30">
        <v>45987</v>
      </c>
      <c r="B1260" s="28" t="s">
        <v>227</v>
      </c>
      <c r="C1260" s="28">
        <v>42</v>
      </c>
      <c r="D1260" s="28" t="str">
        <f>_xlfn.XLOOKUP(B1260,'Payee Ref'!A:A,'Payee Ref'!B:B,"unassigned",0,1)</f>
        <v>Travel</v>
      </c>
      <c r="E1260" s="29" t="str">
        <f>_xlfn.XLOOKUP(B1260,'Payee Ref'!A:A,'Payee Ref'!C:C,"unassigned",0,1)</f>
        <v>Luxury</v>
      </c>
      <c r="F1260" s="28" t="s">
        <v>2207</v>
      </c>
    </row>
    <row r="1261" spans="1:6" x14ac:dyDescent="0.2">
      <c r="A1261" s="30">
        <v>45822</v>
      </c>
      <c r="B1261" s="28" t="s">
        <v>1941</v>
      </c>
      <c r="C1261" s="28">
        <v>42</v>
      </c>
      <c r="D1261" s="28" t="str">
        <f>_xlfn.XLOOKUP(B1261,'Payee Ref'!A:A,'Payee Ref'!B:B,"unassigned",0,1)</f>
        <v>Travel</v>
      </c>
      <c r="E1261" s="29" t="str">
        <f>_xlfn.XLOOKUP(B1261,'Payee Ref'!A:A,'Payee Ref'!C:C,"unassigned",0,1)</f>
        <v>Luxury</v>
      </c>
      <c r="F1261" s="28" t="s">
        <v>2207</v>
      </c>
    </row>
    <row r="1262" spans="1:6" x14ac:dyDescent="0.2">
      <c r="A1262" s="30">
        <v>45984</v>
      </c>
      <c r="B1262" s="28" t="s">
        <v>227</v>
      </c>
      <c r="C1262" s="28">
        <v>42.01</v>
      </c>
      <c r="D1262" s="28" t="str">
        <f>_xlfn.XLOOKUP(B1262,'Payee Ref'!A:A,'Payee Ref'!B:B,"unassigned",0,1)</f>
        <v>Travel</v>
      </c>
      <c r="E1262" s="29" t="str">
        <f>_xlfn.XLOOKUP(B1262,'Payee Ref'!A:A,'Payee Ref'!C:C,"unassigned",0,1)</f>
        <v>Luxury</v>
      </c>
      <c r="F1262" s="28" t="s">
        <v>2207</v>
      </c>
    </row>
    <row r="1263" spans="1:6" x14ac:dyDescent="0.2">
      <c r="A1263" s="30">
        <v>45948</v>
      </c>
      <c r="B1263" s="28" t="s">
        <v>227</v>
      </c>
      <c r="C1263" s="28">
        <v>42.01</v>
      </c>
      <c r="D1263" s="28" t="str">
        <f>_xlfn.XLOOKUP(B1263,'Payee Ref'!A:A,'Payee Ref'!B:B,"unassigned",0,1)</f>
        <v>Travel</v>
      </c>
      <c r="E1263" s="29" t="str">
        <f>_xlfn.XLOOKUP(B1263,'Payee Ref'!A:A,'Payee Ref'!C:C,"unassigned",0,1)</f>
        <v>Luxury</v>
      </c>
      <c r="F1263" s="28" t="s">
        <v>2207</v>
      </c>
    </row>
    <row r="1264" spans="1:6" x14ac:dyDescent="0.2">
      <c r="A1264" s="30">
        <v>45934</v>
      </c>
      <c r="B1264" s="28" t="s">
        <v>227</v>
      </c>
      <c r="C1264" s="28">
        <v>42.01</v>
      </c>
      <c r="D1264" s="28" t="str">
        <f>_xlfn.XLOOKUP(B1264,'Payee Ref'!A:A,'Payee Ref'!B:B,"unassigned",0,1)</f>
        <v>Travel</v>
      </c>
      <c r="E1264" s="29" t="str">
        <f>_xlfn.XLOOKUP(B1264,'Payee Ref'!A:A,'Payee Ref'!C:C,"unassigned",0,1)</f>
        <v>Luxury</v>
      </c>
      <c r="F1264" s="28" t="s">
        <v>2207</v>
      </c>
    </row>
    <row r="1265" spans="1:6" x14ac:dyDescent="0.2">
      <c r="A1265" s="30">
        <v>45755</v>
      </c>
      <c r="B1265" s="28" t="s">
        <v>839</v>
      </c>
      <c r="C1265" s="28">
        <v>42.48</v>
      </c>
      <c r="D1265" s="28" t="str">
        <f>_xlfn.XLOOKUP(B1265,'Payee Ref'!A:A,'Payee Ref'!B:B,"unassigned",0,1)</f>
        <v>Pets</v>
      </c>
      <c r="E1265" s="29" t="str">
        <f>_xlfn.XLOOKUP(B1265,'Payee Ref'!A:A,'Payee Ref'!C:C,"unassigned",0,1)</f>
        <v>Luxury</v>
      </c>
      <c r="F1265" s="28" t="s">
        <v>2207</v>
      </c>
    </row>
    <row r="1266" spans="1:6" x14ac:dyDescent="0.2">
      <c r="A1266" s="30">
        <v>45724</v>
      </c>
      <c r="B1266" s="28" t="s">
        <v>839</v>
      </c>
      <c r="C1266" s="28">
        <v>42.48</v>
      </c>
      <c r="D1266" s="28" t="str">
        <f>_xlfn.XLOOKUP(B1266,'Payee Ref'!A:A,'Payee Ref'!B:B,"unassigned",0,1)</f>
        <v>Pets</v>
      </c>
      <c r="E1266" s="29" t="str">
        <f>_xlfn.XLOOKUP(B1266,'Payee Ref'!A:A,'Payee Ref'!C:C,"unassigned",0,1)</f>
        <v>Luxury</v>
      </c>
      <c r="F1266" s="28" t="s">
        <v>2207</v>
      </c>
    </row>
    <row r="1267" spans="1:6" x14ac:dyDescent="0.2">
      <c r="A1267" s="30">
        <v>45695</v>
      </c>
      <c r="B1267" s="28" t="s">
        <v>839</v>
      </c>
      <c r="C1267" s="28">
        <v>42.48</v>
      </c>
      <c r="D1267" s="28" t="str">
        <f>_xlfn.XLOOKUP(B1267,'Payee Ref'!A:A,'Payee Ref'!B:B,"unassigned",0,1)</f>
        <v>Pets</v>
      </c>
      <c r="E1267" s="29" t="str">
        <f>_xlfn.XLOOKUP(B1267,'Payee Ref'!A:A,'Payee Ref'!C:C,"unassigned",0,1)</f>
        <v>Luxury</v>
      </c>
      <c r="F1267" s="28" t="s">
        <v>2207</v>
      </c>
    </row>
    <row r="1268" spans="1:6" x14ac:dyDescent="0.2">
      <c r="A1268" s="30">
        <v>45664</v>
      </c>
      <c r="B1268" s="28" t="s">
        <v>839</v>
      </c>
      <c r="C1268" s="28">
        <v>42.48</v>
      </c>
      <c r="D1268" s="28" t="str">
        <f>_xlfn.XLOOKUP(B1268,'Payee Ref'!A:A,'Payee Ref'!B:B,"unassigned",0,1)</f>
        <v>Pets</v>
      </c>
      <c r="E1268" s="29" t="str">
        <f>_xlfn.XLOOKUP(B1268,'Payee Ref'!A:A,'Payee Ref'!C:C,"unassigned",0,1)</f>
        <v>Luxury</v>
      </c>
      <c r="F1268" s="28" t="s">
        <v>2207</v>
      </c>
    </row>
    <row r="1269" spans="1:6" x14ac:dyDescent="0.2">
      <c r="A1269" s="30">
        <v>45815</v>
      </c>
      <c r="B1269" s="28" t="s">
        <v>1536</v>
      </c>
      <c r="C1269" s="28">
        <v>42.5</v>
      </c>
      <c r="D1269" s="28" t="str">
        <f>_xlfn.XLOOKUP(B1269,'Payee Ref'!A:A,'Payee Ref'!B:B,"unassigned",0,1)</f>
        <v>Groceries</v>
      </c>
      <c r="E1269" s="29" t="str">
        <f>_xlfn.XLOOKUP(B1269,'Payee Ref'!A:A,'Payee Ref'!C:C,"unassigned",0,1)</f>
        <v>Basic</v>
      </c>
      <c r="F1269" s="28" t="s">
        <v>2207</v>
      </c>
    </row>
    <row r="1270" spans="1:6" x14ac:dyDescent="0.2">
      <c r="A1270" s="30">
        <v>45889</v>
      </c>
      <c r="B1270" s="28" t="s">
        <v>1704</v>
      </c>
      <c r="C1270" s="28">
        <v>42.73</v>
      </c>
      <c r="D1270" s="28" t="str">
        <f>_xlfn.XLOOKUP(B1270,'Payee Ref'!A:A,'Payee Ref'!B:B,"unassigned",0,1)</f>
        <v>Dining</v>
      </c>
      <c r="E1270" s="29" t="str">
        <f>_xlfn.XLOOKUP(B1270,'Payee Ref'!A:A,'Payee Ref'!C:C,"unassigned",0,1)</f>
        <v>Luxury</v>
      </c>
      <c r="F1270" s="28" t="s">
        <v>2207</v>
      </c>
    </row>
    <row r="1271" spans="1:6" x14ac:dyDescent="0.2">
      <c r="A1271" s="30">
        <v>45666</v>
      </c>
      <c r="B1271" s="32" t="s">
        <v>2177</v>
      </c>
      <c r="C1271" s="28">
        <v>42.9</v>
      </c>
      <c r="D1271" s="28" t="str">
        <f>_xlfn.XLOOKUP(B1271,'Payee Ref'!A:A,'Payee Ref'!B:B,"unassigned",0,1)</f>
        <v>Home &amp; Garden</v>
      </c>
      <c r="E1271" s="29" t="str">
        <f>_xlfn.XLOOKUP(B1271,'Payee Ref'!A:A,'Payee Ref'!C:C,"unassigned",0,1)</f>
        <v>Basic</v>
      </c>
      <c r="F1271" s="28" t="s">
        <v>2207</v>
      </c>
    </row>
    <row r="1272" spans="1:6" x14ac:dyDescent="0.2">
      <c r="A1272" s="30">
        <v>45836</v>
      </c>
      <c r="B1272" s="28" t="s">
        <v>1730</v>
      </c>
      <c r="C1272" s="28">
        <v>43.44</v>
      </c>
      <c r="D1272" s="28" t="str">
        <f>_xlfn.XLOOKUP(B1272,'Payee Ref'!A:A,'Payee Ref'!B:B,"unassigned",0,1)</f>
        <v>Dining</v>
      </c>
      <c r="E1272" s="29" t="str">
        <f>_xlfn.XLOOKUP(B1272,'Payee Ref'!A:A,'Payee Ref'!C:C,"unassigned",0,1)</f>
        <v>Luxury</v>
      </c>
      <c r="F1272" s="28" t="s">
        <v>2207</v>
      </c>
    </row>
    <row r="1273" spans="1:6" x14ac:dyDescent="0.2">
      <c r="A1273" s="30">
        <v>45783</v>
      </c>
      <c r="B1273" s="28" t="s">
        <v>1539</v>
      </c>
      <c r="C1273" s="28">
        <v>43.48</v>
      </c>
      <c r="D1273" s="28" t="str">
        <f>_xlfn.XLOOKUP(B1273,'Payee Ref'!A:A,'Payee Ref'!B:B,"unassigned",0,1)</f>
        <v>Groceries</v>
      </c>
      <c r="E1273" s="29" t="str">
        <f>_xlfn.XLOOKUP(B1273,'Payee Ref'!A:A,'Payee Ref'!C:C,"unassigned",0,1)</f>
        <v>Basic</v>
      </c>
      <c r="F1273" s="28" t="s">
        <v>2207</v>
      </c>
    </row>
    <row r="1274" spans="1:6" x14ac:dyDescent="0.2">
      <c r="A1274" s="30">
        <v>45878</v>
      </c>
      <c r="B1274" s="28" t="s">
        <v>1741</v>
      </c>
      <c r="C1274" s="28">
        <v>43.48</v>
      </c>
      <c r="D1274" s="28" t="str">
        <f>_xlfn.XLOOKUP(B1274,'Payee Ref'!A:A,'Payee Ref'!B:B,"unassigned",0,1)</f>
        <v>Enrichment</v>
      </c>
      <c r="E1274" s="29" t="str">
        <f>_xlfn.XLOOKUP(B1274,'Payee Ref'!A:A,'Payee Ref'!C:C,"unassigned",0,1)</f>
        <v>Basic</v>
      </c>
      <c r="F1274" s="28" t="s">
        <v>2207</v>
      </c>
    </row>
    <row r="1275" spans="1:6" x14ac:dyDescent="0.2">
      <c r="A1275" s="30">
        <v>45856</v>
      </c>
      <c r="B1275" s="28" t="s">
        <v>1825</v>
      </c>
      <c r="C1275" s="28">
        <v>43.53</v>
      </c>
      <c r="D1275" s="28" t="str">
        <f>_xlfn.XLOOKUP(B1275,'Payee Ref'!A:A,'Payee Ref'!B:B,"unassigned",0,1)</f>
        <v>Groceries</v>
      </c>
      <c r="E1275" s="29" t="str">
        <f>_xlfn.XLOOKUP(B1275,'Payee Ref'!A:A,'Payee Ref'!C:C,"unassigned",0,1)</f>
        <v>Basic</v>
      </c>
      <c r="F1275" s="28" t="s">
        <v>2207</v>
      </c>
    </row>
    <row r="1276" spans="1:6" x14ac:dyDescent="0.2">
      <c r="A1276" s="30">
        <v>45816</v>
      </c>
      <c r="B1276" s="28" t="s">
        <v>1948</v>
      </c>
      <c r="C1276" s="28">
        <v>43.71</v>
      </c>
      <c r="D1276" s="28" t="str">
        <f>_xlfn.XLOOKUP(B1276,'Payee Ref'!A:A,'Payee Ref'!B:B,"unassigned",0,1)</f>
        <v>Insurance</v>
      </c>
      <c r="E1276" s="29" t="str">
        <f>_xlfn.XLOOKUP(B1276,'Payee Ref'!A:A,'Payee Ref'!C:C,"unassigned",0,1)</f>
        <v>Luxury</v>
      </c>
      <c r="F1276" s="28" t="s">
        <v>2207</v>
      </c>
    </row>
    <row r="1277" spans="1:6" x14ac:dyDescent="0.2">
      <c r="A1277" s="30">
        <v>45784</v>
      </c>
      <c r="B1277" s="28" t="s">
        <v>839</v>
      </c>
      <c r="C1277" s="28">
        <v>43.71</v>
      </c>
      <c r="D1277" s="28" t="str">
        <f>_xlfn.XLOOKUP(B1277,'Payee Ref'!A:A,'Payee Ref'!B:B,"unassigned",0,1)</f>
        <v>Pets</v>
      </c>
      <c r="E1277" s="29" t="str">
        <f>_xlfn.XLOOKUP(B1277,'Payee Ref'!A:A,'Payee Ref'!C:C,"unassigned",0,1)</f>
        <v>Luxury</v>
      </c>
      <c r="F1277" s="28" t="s">
        <v>2207</v>
      </c>
    </row>
    <row r="1278" spans="1:6" x14ac:dyDescent="0.2">
      <c r="A1278" s="30">
        <v>45857</v>
      </c>
      <c r="B1278" s="28" t="s">
        <v>1551</v>
      </c>
      <c r="C1278" s="28">
        <v>43.73</v>
      </c>
      <c r="D1278" s="28" t="str">
        <f>_xlfn.XLOOKUP(B1278,'Payee Ref'!A:A,'Payee Ref'!B:B,"unassigned",0,1)</f>
        <v>Groceries</v>
      </c>
      <c r="E1278" s="29" t="str">
        <f>_xlfn.XLOOKUP(B1278,'Payee Ref'!A:A,'Payee Ref'!C:C,"unassigned",0,1)</f>
        <v>Basic</v>
      </c>
      <c r="F1278" s="28" t="s">
        <v>2207</v>
      </c>
    </row>
    <row r="1279" spans="1:6" x14ac:dyDescent="0.2">
      <c r="A1279" s="30">
        <v>45949</v>
      </c>
      <c r="B1279" s="28" t="s">
        <v>712</v>
      </c>
      <c r="C1279" s="28">
        <v>44</v>
      </c>
      <c r="D1279" s="28" t="str">
        <f>_xlfn.XLOOKUP(B1279,'Payee Ref'!A:A,'Payee Ref'!B:B,"unassigned",0,1)</f>
        <v>Home &amp; Garden</v>
      </c>
      <c r="E1279" s="29" t="str">
        <f>_xlfn.XLOOKUP(B1279,'Payee Ref'!A:A,'Payee Ref'!C:C,"unassigned",0,1)</f>
        <v>Luxury</v>
      </c>
      <c r="F1279" s="28" t="s">
        <v>2207</v>
      </c>
    </row>
    <row r="1280" spans="1:6" x14ac:dyDescent="0.2">
      <c r="A1280" s="30">
        <v>45960</v>
      </c>
      <c r="B1280" s="28" t="s">
        <v>562</v>
      </c>
      <c r="C1280" s="28">
        <v>44.02</v>
      </c>
      <c r="D1280" s="28" t="str">
        <f>_xlfn.XLOOKUP(B1280,'Payee Ref'!A:A,'Payee Ref'!B:B,"unassigned",0,1)</f>
        <v>Groceries</v>
      </c>
      <c r="E1280" s="29" t="str">
        <f>_xlfn.XLOOKUP(B1280,'Payee Ref'!A:A,'Payee Ref'!C:C,"unassigned",0,1)</f>
        <v>Basic</v>
      </c>
      <c r="F1280" s="28" t="s">
        <v>2207</v>
      </c>
    </row>
    <row r="1281" spans="1:6" x14ac:dyDescent="0.2">
      <c r="A1281" s="30">
        <v>45800</v>
      </c>
      <c r="B1281" s="28" t="s">
        <v>1981</v>
      </c>
      <c r="C1281" s="28">
        <v>44.03</v>
      </c>
      <c r="D1281" s="28" t="str">
        <f>_xlfn.XLOOKUP(B1281,'Payee Ref'!A:A,'Payee Ref'!B:B,"unassigned",0,1)</f>
        <v>Home &amp; Garden</v>
      </c>
      <c r="E1281" s="29" t="str">
        <f>_xlfn.XLOOKUP(B1281,'Payee Ref'!A:A,'Payee Ref'!C:C,"unassigned",0,1)</f>
        <v>Luxury</v>
      </c>
      <c r="F1281" s="28" t="s">
        <v>2207</v>
      </c>
    </row>
    <row r="1282" spans="1:6" x14ac:dyDescent="0.2">
      <c r="A1282" s="30">
        <v>45791</v>
      </c>
      <c r="B1282" s="28" t="s">
        <v>1656</v>
      </c>
      <c r="C1282" s="28">
        <v>44.12</v>
      </c>
      <c r="D1282" s="28" t="str">
        <f>_xlfn.XLOOKUP(B1282,'Payee Ref'!A:A,'Payee Ref'!B:B,"unassigned",0,1)</f>
        <v>Home &amp; Garden</v>
      </c>
      <c r="E1282" s="29" t="str">
        <f>_xlfn.XLOOKUP(B1282,'Payee Ref'!A:A,'Payee Ref'!C:C,"unassigned",0,1)</f>
        <v>Basic</v>
      </c>
      <c r="F1282" s="28" t="s">
        <v>2207</v>
      </c>
    </row>
    <row r="1283" spans="1:6" x14ac:dyDescent="0.2">
      <c r="A1283" s="30">
        <v>45694</v>
      </c>
      <c r="B1283" s="28" t="s">
        <v>1547</v>
      </c>
      <c r="C1283" s="28">
        <v>44.12</v>
      </c>
      <c r="D1283" s="28" t="str">
        <f>_xlfn.XLOOKUP(B1283,'Payee Ref'!A:A,'Payee Ref'!B:B,"unassigned",0,1)</f>
        <v>Pharmacy</v>
      </c>
      <c r="E1283" s="29" t="str">
        <f>_xlfn.XLOOKUP(B1283,'Payee Ref'!A:A,'Payee Ref'!C:C,"unassigned",0,1)</f>
        <v>Basic</v>
      </c>
      <c r="F1283" s="28" t="s">
        <v>2207</v>
      </c>
    </row>
    <row r="1284" spans="1:6" x14ac:dyDescent="0.2">
      <c r="A1284" s="30">
        <v>45704</v>
      </c>
      <c r="B1284" s="28" t="s">
        <v>2119</v>
      </c>
      <c r="C1284" s="28">
        <v>44.13</v>
      </c>
      <c r="D1284" s="28" t="str">
        <f>_xlfn.XLOOKUP(B1284,'Payee Ref'!A:A,'Payee Ref'!B:B,"unassigned",0,1)</f>
        <v>Clothing</v>
      </c>
      <c r="E1284" s="29" t="str">
        <f>_xlfn.XLOOKUP(B1284,'Payee Ref'!A:A,'Payee Ref'!C:C,"unassigned",0,1)</f>
        <v>Luxury</v>
      </c>
      <c r="F1284" s="28" t="s">
        <v>2207</v>
      </c>
    </row>
    <row r="1285" spans="1:6" x14ac:dyDescent="0.2">
      <c r="A1285" s="30">
        <v>45920</v>
      </c>
      <c r="B1285" s="28" t="s">
        <v>1588</v>
      </c>
      <c r="C1285" s="28">
        <v>44.14</v>
      </c>
      <c r="D1285" s="28" t="str">
        <f>_xlfn.XLOOKUP(B1285,'Payee Ref'!A:A,'Payee Ref'!B:B,"unassigned",0,1)</f>
        <v>Groceries</v>
      </c>
      <c r="E1285" s="29" t="str">
        <f>_xlfn.XLOOKUP(B1285,'Payee Ref'!A:A,'Payee Ref'!C:C,"unassigned",0,1)</f>
        <v>Basic</v>
      </c>
      <c r="F1285" s="28" t="s">
        <v>2207</v>
      </c>
    </row>
    <row r="1286" spans="1:6" x14ac:dyDescent="0.2">
      <c r="A1286" s="30">
        <v>45864</v>
      </c>
      <c r="B1286" s="28" t="s">
        <v>1797</v>
      </c>
      <c r="C1286" s="28">
        <v>44.42</v>
      </c>
      <c r="D1286" s="28" t="str">
        <f>_xlfn.XLOOKUP(B1286,'Payee Ref'!A:A,'Payee Ref'!B:B,"unassigned",0,1)</f>
        <v>Clothing</v>
      </c>
      <c r="E1286" s="29" t="str">
        <f>_xlfn.XLOOKUP(B1286,'Payee Ref'!A:A,'Payee Ref'!C:C,"unassigned",0,1)</f>
        <v>Luxury</v>
      </c>
      <c r="F1286" s="28" t="s">
        <v>2207</v>
      </c>
    </row>
    <row r="1287" spans="1:6" x14ac:dyDescent="0.2">
      <c r="A1287" s="30">
        <v>45842</v>
      </c>
      <c r="B1287" s="28" t="s">
        <v>1861</v>
      </c>
      <c r="C1287" s="28">
        <v>44.44</v>
      </c>
      <c r="D1287" s="28" t="str">
        <f>_xlfn.XLOOKUP(B1287,'Payee Ref'!A:A,'Payee Ref'!B:B,"unassigned",0,1)</f>
        <v>Travel</v>
      </c>
      <c r="E1287" s="29" t="str">
        <f>_xlfn.XLOOKUP(B1287,'Payee Ref'!A:A,'Payee Ref'!C:C,"unassigned",0,1)</f>
        <v>Luxury</v>
      </c>
      <c r="F1287" s="28" t="s">
        <v>2207</v>
      </c>
    </row>
    <row r="1288" spans="1:6" x14ac:dyDescent="0.2">
      <c r="A1288" s="30">
        <v>45708</v>
      </c>
      <c r="B1288" s="28" t="s">
        <v>2113</v>
      </c>
      <c r="C1288" s="28">
        <v>44.45</v>
      </c>
      <c r="D1288" s="28" t="str">
        <f>_xlfn.XLOOKUP(B1288,'Payee Ref'!A:A,'Payee Ref'!B:B,"unassigned",0,1)</f>
        <v>Home &amp; Garden</v>
      </c>
      <c r="E1288" s="29" t="str">
        <f>_xlfn.XLOOKUP(B1288,'Payee Ref'!A:A,'Payee Ref'!C:C,"unassigned",0,1)</f>
        <v>Basic</v>
      </c>
      <c r="F1288" s="28" t="s">
        <v>2207</v>
      </c>
    </row>
    <row r="1289" spans="1:6" x14ac:dyDescent="0.2">
      <c r="A1289" s="30">
        <v>45969</v>
      </c>
      <c r="B1289" s="28" t="s">
        <v>25</v>
      </c>
      <c r="C1289" s="28">
        <v>44.72</v>
      </c>
      <c r="D1289" s="28" t="str">
        <f>_xlfn.XLOOKUP(B1289,'Payee Ref'!A:A,'Payee Ref'!B:B,"unassigned",0,1)</f>
        <v>Travel</v>
      </c>
      <c r="E1289" s="29" t="str">
        <f>_xlfn.XLOOKUP(B1289,'Payee Ref'!A:A,'Payee Ref'!C:C,"unassigned",0,1)</f>
        <v>Luxury</v>
      </c>
      <c r="F1289" s="28" t="s">
        <v>2207</v>
      </c>
    </row>
    <row r="1290" spans="1:6" x14ac:dyDescent="0.2">
      <c r="A1290" s="30">
        <v>45896</v>
      </c>
      <c r="B1290" s="28" t="s">
        <v>1690</v>
      </c>
      <c r="C1290" s="28">
        <v>44.78</v>
      </c>
      <c r="D1290" s="28" t="str">
        <f>_xlfn.XLOOKUP(B1290,'Payee Ref'!A:A,'Payee Ref'!B:B,"unassigned",0,1)</f>
        <v>Travel</v>
      </c>
      <c r="E1290" s="29" t="str">
        <f>_xlfn.XLOOKUP(B1290,'Payee Ref'!A:A,'Payee Ref'!C:C,"unassigned",0,1)</f>
        <v>Luxury</v>
      </c>
      <c r="F1290" s="28" t="s">
        <v>2207</v>
      </c>
    </row>
    <row r="1291" spans="1:6" x14ac:dyDescent="0.2">
      <c r="A1291" s="30">
        <v>45694</v>
      </c>
      <c r="B1291" s="28" t="s">
        <v>2132</v>
      </c>
      <c r="C1291" s="28">
        <v>44.81</v>
      </c>
      <c r="D1291" s="28" t="str">
        <f>_xlfn.XLOOKUP(B1291,'Payee Ref'!A:A,'Payee Ref'!B:B,"unassigned",0,1)</f>
        <v>Dining</v>
      </c>
      <c r="E1291" s="29" t="str">
        <f>_xlfn.XLOOKUP(B1291,'Payee Ref'!A:A,'Payee Ref'!C:C,"unassigned",0,1)</f>
        <v>Luxury</v>
      </c>
      <c r="F1291" s="28" t="s">
        <v>2207</v>
      </c>
    </row>
    <row r="1292" spans="1:6" x14ac:dyDescent="0.2">
      <c r="A1292" s="30">
        <v>45963</v>
      </c>
      <c r="B1292" s="28" t="s">
        <v>546</v>
      </c>
      <c r="C1292" s="28">
        <v>44.95</v>
      </c>
      <c r="D1292" s="28" t="str">
        <f>_xlfn.XLOOKUP(B1292,'Payee Ref'!A:A,'Payee Ref'!B:B,"unassigned",0,1)</f>
        <v>Groceries</v>
      </c>
      <c r="E1292" s="29" t="str">
        <f>_xlfn.XLOOKUP(B1292,'Payee Ref'!A:A,'Payee Ref'!C:C,"unassigned",0,1)</f>
        <v>Basic</v>
      </c>
      <c r="F1292" s="28" t="s">
        <v>2207</v>
      </c>
    </row>
    <row r="1293" spans="1:6" x14ac:dyDescent="0.2">
      <c r="A1293" s="30">
        <v>45908</v>
      </c>
      <c r="B1293" s="28" t="s">
        <v>1651</v>
      </c>
      <c r="C1293" s="28">
        <v>45.02</v>
      </c>
      <c r="D1293" s="28" t="str">
        <f>_xlfn.XLOOKUP(B1293,'Payee Ref'!A:A,'Payee Ref'!B:B,"unassigned",0,1)</f>
        <v>Insurance</v>
      </c>
      <c r="E1293" s="29" t="str">
        <f>_xlfn.XLOOKUP(B1293,'Payee Ref'!A:A,'Payee Ref'!C:C,"unassigned",0,1)</f>
        <v>Luxury</v>
      </c>
      <c r="F1293" s="28" t="s">
        <v>2207</v>
      </c>
    </row>
    <row r="1294" spans="1:6" x14ac:dyDescent="0.2">
      <c r="A1294" s="30">
        <v>45877</v>
      </c>
      <c r="B1294" s="28" t="s">
        <v>1651</v>
      </c>
      <c r="C1294" s="28">
        <v>45.02</v>
      </c>
      <c r="D1294" s="28" t="str">
        <f>_xlfn.XLOOKUP(B1294,'Payee Ref'!A:A,'Payee Ref'!B:B,"unassigned",0,1)</f>
        <v>Insurance</v>
      </c>
      <c r="E1294" s="29" t="str">
        <f>_xlfn.XLOOKUP(B1294,'Payee Ref'!A:A,'Payee Ref'!C:C,"unassigned",0,1)</f>
        <v>Luxury</v>
      </c>
      <c r="F1294" s="28" t="s">
        <v>2207</v>
      </c>
    </row>
    <row r="1295" spans="1:6" x14ac:dyDescent="0.2">
      <c r="A1295" s="30">
        <v>45846</v>
      </c>
      <c r="B1295" s="28" t="s">
        <v>1651</v>
      </c>
      <c r="C1295" s="28">
        <v>45.02</v>
      </c>
      <c r="D1295" s="28" t="str">
        <f>_xlfn.XLOOKUP(B1295,'Payee Ref'!A:A,'Payee Ref'!B:B,"unassigned",0,1)</f>
        <v>Insurance</v>
      </c>
      <c r="E1295" s="29" t="str">
        <f>_xlfn.XLOOKUP(B1295,'Payee Ref'!A:A,'Payee Ref'!C:C,"unassigned",0,1)</f>
        <v>Luxury</v>
      </c>
      <c r="F1295" s="28" t="s">
        <v>2207</v>
      </c>
    </row>
    <row r="1296" spans="1:6" x14ac:dyDescent="0.2">
      <c r="A1296" s="30">
        <v>45660</v>
      </c>
      <c r="B1296" s="28" t="s">
        <v>2191</v>
      </c>
      <c r="C1296" s="28">
        <v>45.17</v>
      </c>
      <c r="D1296" s="28" t="str">
        <f>_xlfn.XLOOKUP(B1296,'Payee Ref'!A:A,'Payee Ref'!B:B,"unassigned",0,1)</f>
        <v>Dining</v>
      </c>
      <c r="E1296" s="29" t="str">
        <f>_xlfn.XLOOKUP(B1296,'Payee Ref'!A:A,'Payee Ref'!C:C,"unassigned",0,1)</f>
        <v>Luxury</v>
      </c>
      <c r="F1296" s="28" t="s">
        <v>2207</v>
      </c>
    </row>
    <row r="1297" spans="1:6" x14ac:dyDescent="0.2">
      <c r="A1297" s="30">
        <v>45726</v>
      </c>
      <c r="B1297" s="32" t="s">
        <v>2091</v>
      </c>
      <c r="C1297" s="28">
        <v>45.32</v>
      </c>
      <c r="D1297" s="28" t="str">
        <f>_xlfn.XLOOKUP(B1297,'Payee Ref'!A:A,'Payee Ref'!B:B,"unassigned",0,1)</f>
        <v>Home &amp; Garden</v>
      </c>
      <c r="E1297" s="29" t="str">
        <f>_xlfn.XLOOKUP(B1297,'Payee Ref'!A:A,'Payee Ref'!C:C,"unassigned",0,1)</f>
        <v>Basic</v>
      </c>
      <c r="F1297" s="28" t="s">
        <v>2207</v>
      </c>
    </row>
    <row r="1298" spans="1:6" x14ac:dyDescent="0.2">
      <c r="A1298" s="30">
        <v>45856</v>
      </c>
      <c r="B1298" s="28" t="s">
        <v>1600</v>
      </c>
      <c r="C1298" s="28">
        <v>45.75</v>
      </c>
      <c r="D1298" s="28" t="str">
        <f>_xlfn.XLOOKUP(B1298,'Payee Ref'!A:A,'Payee Ref'!B:B,"unassigned",0,1)</f>
        <v>Pets</v>
      </c>
      <c r="E1298" s="29" t="str">
        <f>_xlfn.XLOOKUP(B1298,'Payee Ref'!A:A,'Payee Ref'!C:C,"unassigned",0,1)</f>
        <v>Luxury</v>
      </c>
      <c r="F1298" s="28" t="s">
        <v>2207</v>
      </c>
    </row>
    <row r="1299" spans="1:6" x14ac:dyDescent="0.2">
      <c r="A1299" s="30">
        <v>45986</v>
      </c>
      <c r="B1299" s="28" t="s">
        <v>1535</v>
      </c>
      <c r="C1299" s="28">
        <v>46.32</v>
      </c>
      <c r="D1299" s="28" t="str">
        <f>_xlfn.XLOOKUP(B1299,'Payee Ref'!A:A,'Payee Ref'!B:B,"unassigned",0,1)</f>
        <v>Home &amp; Garden</v>
      </c>
      <c r="E1299" s="29" t="str">
        <f>_xlfn.XLOOKUP(B1299,'Payee Ref'!A:A,'Payee Ref'!C:C,"unassigned",0,1)</f>
        <v>Basic</v>
      </c>
      <c r="F1299" s="28" t="s">
        <v>2207</v>
      </c>
    </row>
    <row r="1300" spans="1:6" x14ac:dyDescent="0.2">
      <c r="A1300" s="30">
        <v>45968</v>
      </c>
      <c r="B1300" s="28" t="s">
        <v>1576</v>
      </c>
      <c r="C1300" s="28">
        <v>46.34</v>
      </c>
      <c r="D1300" s="28" t="str">
        <f>_xlfn.XLOOKUP(B1300,'Payee Ref'!A:A,'Payee Ref'!B:B,"unassigned",0,1)</f>
        <v>Bank Fees</v>
      </c>
      <c r="E1300" s="29" t="str">
        <f>_xlfn.XLOOKUP(B1300,'Payee Ref'!A:A,'Payee Ref'!C:C,"unassigned",0,1)</f>
        <v>Luxury</v>
      </c>
      <c r="F1300" s="28" t="s">
        <v>2207</v>
      </c>
    </row>
    <row r="1301" spans="1:6" x14ac:dyDescent="0.2">
      <c r="A1301" s="30">
        <v>45863</v>
      </c>
      <c r="B1301" s="28" t="s">
        <v>1800</v>
      </c>
      <c r="C1301" s="28">
        <v>46.37</v>
      </c>
      <c r="D1301" s="28" t="str">
        <f>_xlfn.XLOOKUP(B1301,'Payee Ref'!A:A,'Payee Ref'!B:B,"unassigned",0,1)</f>
        <v>Van</v>
      </c>
      <c r="E1301" s="29" t="str">
        <f>_xlfn.XLOOKUP(B1301,'Payee Ref'!A:A,'Payee Ref'!C:C,"unassigned",0,1)</f>
        <v>Luxury</v>
      </c>
      <c r="F1301" s="28" t="s">
        <v>2207</v>
      </c>
    </row>
    <row r="1302" spans="1:6" x14ac:dyDescent="0.2">
      <c r="A1302" s="30">
        <v>45843</v>
      </c>
      <c r="B1302" s="28" t="s">
        <v>1588</v>
      </c>
      <c r="C1302" s="28">
        <v>46.47</v>
      </c>
      <c r="D1302" s="28" t="str">
        <f>_xlfn.XLOOKUP(B1302,'Payee Ref'!A:A,'Payee Ref'!B:B,"unassigned",0,1)</f>
        <v>Groceries</v>
      </c>
      <c r="E1302" s="29" t="str">
        <f>_xlfn.XLOOKUP(B1302,'Payee Ref'!A:A,'Payee Ref'!C:C,"unassigned",0,1)</f>
        <v>Basic</v>
      </c>
      <c r="F1302" s="28" t="s">
        <v>2207</v>
      </c>
    </row>
    <row r="1303" spans="1:6" x14ac:dyDescent="0.2">
      <c r="A1303" s="30">
        <v>45902</v>
      </c>
      <c r="B1303" s="28" t="s">
        <v>1574</v>
      </c>
      <c r="C1303" s="28">
        <v>46.48</v>
      </c>
      <c r="D1303" s="28" t="str">
        <f>_xlfn.XLOOKUP(B1303,'Payee Ref'!A:A,'Payee Ref'!B:B,"unassigned",0,1)</f>
        <v>Groceries</v>
      </c>
      <c r="E1303" s="29" t="str">
        <f>_xlfn.XLOOKUP(B1303,'Payee Ref'!A:A,'Payee Ref'!C:C,"unassigned",0,1)</f>
        <v>Basic</v>
      </c>
      <c r="F1303" s="28" t="s">
        <v>2207</v>
      </c>
    </row>
    <row r="1304" spans="1:6" x14ac:dyDescent="0.2">
      <c r="A1304" s="30">
        <v>45790</v>
      </c>
      <c r="B1304" s="28" t="s">
        <v>1539</v>
      </c>
      <c r="C1304" s="28">
        <v>46.5</v>
      </c>
      <c r="D1304" s="28" t="str">
        <f>_xlfn.XLOOKUP(B1304,'Payee Ref'!A:A,'Payee Ref'!B:B,"unassigned",0,1)</f>
        <v>Groceries</v>
      </c>
      <c r="E1304" s="29" t="str">
        <f>_xlfn.XLOOKUP(B1304,'Payee Ref'!A:A,'Payee Ref'!C:C,"unassigned",0,1)</f>
        <v>Basic</v>
      </c>
      <c r="F1304" s="28" t="s">
        <v>2207</v>
      </c>
    </row>
    <row r="1305" spans="1:6" x14ac:dyDescent="0.2">
      <c r="A1305" s="30">
        <v>45859</v>
      </c>
      <c r="B1305" s="28" t="s">
        <v>1815</v>
      </c>
      <c r="C1305" s="28">
        <v>46.55</v>
      </c>
      <c r="D1305" s="28" t="str">
        <f>_xlfn.XLOOKUP(B1305,'Payee Ref'!A:A,'Payee Ref'!B:B,"unassigned",0,1)</f>
        <v>Travel</v>
      </c>
      <c r="E1305" s="29" t="str">
        <f>_xlfn.XLOOKUP(B1305,'Payee Ref'!A:A,'Payee Ref'!C:C,"unassigned",0,1)</f>
        <v>Luxury</v>
      </c>
      <c r="F1305" s="28" t="s">
        <v>2207</v>
      </c>
    </row>
    <row r="1306" spans="1:6" x14ac:dyDescent="0.2">
      <c r="A1306" s="30">
        <v>45802</v>
      </c>
      <c r="B1306" s="28" t="s">
        <v>1536</v>
      </c>
      <c r="C1306" s="28">
        <v>46.56</v>
      </c>
      <c r="D1306" s="28" t="str">
        <f>_xlfn.XLOOKUP(B1306,'Payee Ref'!A:A,'Payee Ref'!B:B,"unassigned",0,1)</f>
        <v>Groceries</v>
      </c>
      <c r="E1306" s="29" t="str">
        <f>_xlfn.XLOOKUP(B1306,'Payee Ref'!A:A,'Payee Ref'!C:C,"unassigned",0,1)</f>
        <v>Basic</v>
      </c>
      <c r="F1306" s="28" t="s">
        <v>2207</v>
      </c>
    </row>
    <row r="1307" spans="1:6" x14ac:dyDescent="0.2">
      <c r="A1307" s="30">
        <v>45738</v>
      </c>
      <c r="B1307" s="28" t="s">
        <v>1965</v>
      </c>
      <c r="C1307" s="28">
        <v>46.85</v>
      </c>
      <c r="D1307" s="28" t="str">
        <f>_xlfn.XLOOKUP(B1307,'Payee Ref'!A:A,'Payee Ref'!B:B,"unassigned",0,1)</f>
        <v>Dining</v>
      </c>
      <c r="E1307" s="29" t="str">
        <f>_xlfn.XLOOKUP(B1307,'Payee Ref'!A:A,'Payee Ref'!C:C,"unassigned",0,1)</f>
        <v>Luxury</v>
      </c>
      <c r="F1307" s="28" t="s">
        <v>2207</v>
      </c>
    </row>
    <row r="1308" spans="1:6" x14ac:dyDescent="0.2">
      <c r="A1308" s="30">
        <v>45898</v>
      </c>
      <c r="B1308" s="28" t="s">
        <v>1562</v>
      </c>
      <c r="C1308" s="28">
        <v>46.98</v>
      </c>
      <c r="D1308" s="28" t="str">
        <f>_xlfn.XLOOKUP(B1308,'Payee Ref'!A:A,'Payee Ref'!B:B,"unassigned",0,1)</f>
        <v>Dining</v>
      </c>
      <c r="E1308" s="29" t="str">
        <f>_xlfn.XLOOKUP(B1308,'Payee Ref'!A:A,'Payee Ref'!C:C,"unassigned",0,1)</f>
        <v>Luxury</v>
      </c>
      <c r="F1308" s="28" t="s">
        <v>2207</v>
      </c>
    </row>
    <row r="1309" spans="1:6" x14ac:dyDescent="0.2">
      <c r="A1309" s="30">
        <v>45861</v>
      </c>
      <c r="B1309" s="28" t="s">
        <v>1810</v>
      </c>
      <c r="C1309" s="28">
        <v>47</v>
      </c>
      <c r="D1309" s="28" t="str">
        <f>_xlfn.XLOOKUP(B1309,'Payee Ref'!A:A,'Payee Ref'!B:B,"unassigned",0,1)</f>
        <v>Travel</v>
      </c>
      <c r="E1309" s="29" t="str">
        <f>_xlfn.XLOOKUP(B1309,'Payee Ref'!A:A,'Payee Ref'!C:C,"unassigned",0,1)</f>
        <v>Luxury</v>
      </c>
      <c r="F1309" s="28" t="s">
        <v>2207</v>
      </c>
    </row>
    <row r="1310" spans="1:6" x14ac:dyDescent="0.2">
      <c r="A1310" s="30">
        <v>45941</v>
      </c>
      <c r="B1310" s="28" t="s">
        <v>996</v>
      </c>
      <c r="C1310" s="28">
        <v>47</v>
      </c>
      <c r="D1310" s="28" t="str">
        <f>_xlfn.XLOOKUP(B1310,'Payee Ref'!A:A,'Payee Ref'!B:B,"unassigned",0,1)</f>
        <v>Travel</v>
      </c>
      <c r="E1310" s="29" t="str">
        <f>_xlfn.XLOOKUP(B1310,'Payee Ref'!A:A,'Payee Ref'!C:C,"unassigned",0,1)</f>
        <v>Luxury</v>
      </c>
      <c r="F1310" s="28" t="s">
        <v>2207</v>
      </c>
    </row>
    <row r="1311" spans="1:6" x14ac:dyDescent="0.2">
      <c r="A1311" s="30">
        <v>45825</v>
      </c>
      <c r="B1311" s="28" t="s">
        <v>1930</v>
      </c>
      <c r="C1311" s="28">
        <v>47.06</v>
      </c>
      <c r="D1311" s="28" t="str">
        <f>_xlfn.XLOOKUP(B1311,'Payee Ref'!A:A,'Payee Ref'!B:B,"unassigned",0,1)</f>
        <v>Travel</v>
      </c>
      <c r="E1311" s="29" t="str">
        <f>_xlfn.XLOOKUP(B1311,'Payee Ref'!A:A,'Payee Ref'!C:C,"unassigned",0,1)</f>
        <v>Luxury</v>
      </c>
      <c r="F1311" s="28" t="s">
        <v>2207</v>
      </c>
    </row>
    <row r="1312" spans="1:6" x14ac:dyDescent="0.2">
      <c r="A1312" s="30">
        <v>45903</v>
      </c>
      <c r="B1312" s="28" t="s">
        <v>1617</v>
      </c>
      <c r="C1312" s="28">
        <v>47.32</v>
      </c>
      <c r="D1312" s="28" t="str">
        <f>_xlfn.XLOOKUP(B1312,'Payee Ref'!A:A,'Payee Ref'!B:B,"unassigned",0,1)</f>
        <v>Travel</v>
      </c>
      <c r="E1312" s="29" t="str">
        <f>_xlfn.XLOOKUP(B1312,'Payee Ref'!A:A,'Payee Ref'!C:C,"unassigned",0,1)</f>
        <v>Luxury</v>
      </c>
      <c r="F1312" s="28" t="s">
        <v>2207</v>
      </c>
    </row>
    <row r="1313" spans="1:6" x14ac:dyDescent="0.2">
      <c r="A1313" s="30">
        <v>45890</v>
      </c>
      <c r="B1313" s="28" t="s">
        <v>1700</v>
      </c>
      <c r="C1313" s="28">
        <v>47.34</v>
      </c>
      <c r="D1313" s="28" t="str">
        <f>_xlfn.XLOOKUP(B1313,'Payee Ref'!A:A,'Payee Ref'!B:B,"unassigned",0,1)</f>
        <v>Dining</v>
      </c>
      <c r="E1313" s="29" t="str">
        <f>_xlfn.XLOOKUP(B1313,'Payee Ref'!A:A,'Payee Ref'!C:C,"unassigned",0,1)</f>
        <v>Luxury</v>
      </c>
      <c r="F1313" s="28" t="s">
        <v>2207</v>
      </c>
    </row>
    <row r="1314" spans="1:6" x14ac:dyDescent="0.2">
      <c r="A1314" s="30">
        <v>45748</v>
      </c>
      <c r="B1314" s="28" t="s">
        <v>1965</v>
      </c>
      <c r="C1314" s="28">
        <v>47.44</v>
      </c>
      <c r="D1314" s="28" t="str">
        <f>_xlfn.XLOOKUP(B1314,'Payee Ref'!A:A,'Payee Ref'!B:B,"unassigned",0,1)</f>
        <v>Dining</v>
      </c>
      <c r="E1314" s="29" t="str">
        <f>_xlfn.XLOOKUP(B1314,'Payee Ref'!A:A,'Payee Ref'!C:C,"unassigned",0,1)</f>
        <v>Luxury</v>
      </c>
      <c r="F1314" s="28" t="s">
        <v>2207</v>
      </c>
    </row>
    <row r="1315" spans="1:6" x14ac:dyDescent="0.2">
      <c r="A1315" s="30">
        <v>45715</v>
      </c>
      <c r="B1315" s="31" t="s">
        <v>2108</v>
      </c>
      <c r="C1315" s="28">
        <v>47.7</v>
      </c>
      <c r="D1315" s="28" t="str">
        <f>_xlfn.XLOOKUP(B1315,'Payee Ref'!A:A,'Payee Ref'!B:B,"unassigned",0,1)</f>
        <v>Travel</v>
      </c>
      <c r="E1315" s="29" t="str">
        <f>_xlfn.XLOOKUP(B1315,'Payee Ref'!A:A,'Payee Ref'!C:C,"unassigned",0,1)</f>
        <v>Luxury</v>
      </c>
      <c r="F1315" s="28" t="s">
        <v>2207</v>
      </c>
    </row>
    <row r="1316" spans="1:6" x14ac:dyDescent="0.2">
      <c r="A1316" s="30">
        <v>45870</v>
      </c>
      <c r="B1316" s="28" t="s">
        <v>1756</v>
      </c>
      <c r="C1316" s="28">
        <v>47.72</v>
      </c>
      <c r="D1316" s="28" t="str">
        <f>_xlfn.XLOOKUP(B1316,'Payee Ref'!A:A,'Payee Ref'!B:B,"unassigned",0,1)</f>
        <v>Enrichment</v>
      </c>
      <c r="E1316" s="29" t="str">
        <f>_xlfn.XLOOKUP(B1316,'Payee Ref'!A:A,'Payee Ref'!C:C,"unassigned",0,1)</f>
        <v>Luxury</v>
      </c>
      <c r="F1316" s="28" t="s">
        <v>2207</v>
      </c>
    </row>
    <row r="1317" spans="1:6" x14ac:dyDescent="0.2">
      <c r="A1317" s="30">
        <v>45665</v>
      </c>
      <c r="B1317" s="28" t="s">
        <v>72</v>
      </c>
      <c r="C1317" s="28">
        <v>47.8</v>
      </c>
      <c r="D1317" s="28" t="str">
        <f>_xlfn.XLOOKUP(B1317,'Payee Ref'!A:A,'Payee Ref'!B:B,"unassigned",0,1)</f>
        <v>Bank Fees</v>
      </c>
      <c r="E1317" s="29" t="str">
        <f>_xlfn.XLOOKUP(B1317,'Payee Ref'!A:A,'Payee Ref'!C:C,"unassigned",0,1)</f>
        <v>Luxury</v>
      </c>
      <c r="F1317" s="28" t="s">
        <v>2207</v>
      </c>
    </row>
    <row r="1318" spans="1:6" x14ac:dyDescent="0.2">
      <c r="A1318" s="30">
        <v>45913</v>
      </c>
      <c r="B1318" s="28" t="s">
        <v>1649</v>
      </c>
      <c r="C1318" s="28">
        <v>47.82</v>
      </c>
      <c r="D1318" s="28" t="str">
        <f>_xlfn.XLOOKUP(B1318,'Payee Ref'!A:A,'Payee Ref'!B:B,"unassigned",0,1)</f>
        <v>Groceries</v>
      </c>
      <c r="E1318" s="29" t="str">
        <f>_xlfn.XLOOKUP(B1318,'Payee Ref'!A:A,'Payee Ref'!C:C,"unassigned",0,1)</f>
        <v>Basic</v>
      </c>
      <c r="F1318" s="28" t="s">
        <v>2207</v>
      </c>
    </row>
    <row r="1319" spans="1:6" x14ac:dyDescent="0.2">
      <c r="A1319" s="30">
        <v>45976</v>
      </c>
      <c r="B1319" s="28" t="s">
        <v>352</v>
      </c>
      <c r="C1319" s="28">
        <v>47.97</v>
      </c>
      <c r="D1319" s="28" t="str">
        <f>_xlfn.XLOOKUP(B1319,'Payee Ref'!A:A,'Payee Ref'!B:B,"unassigned",0,1)</f>
        <v>Dining</v>
      </c>
      <c r="E1319" s="29" t="str">
        <f>_xlfn.XLOOKUP(B1319,'Payee Ref'!A:A,'Payee Ref'!C:C,"unassigned",0,1)</f>
        <v>Luxury</v>
      </c>
      <c r="F1319" s="28" t="s">
        <v>2207</v>
      </c>
    </row>
    <row r="1320" spans="1:6" x14ac:dyDescent="0.2">
      <c r="A1320" s="30">
        <v>45836</v>
      </c>
      <c r="B1320" s="28" t="s">
        <v>1883</v>
      </c>
      <c r="C1320" s="28">
        <v>48.02</v>
      </c>
      <c r="D1320" s="28" t="str">
        <f>_xlfn.XLOOKUP(B1320,'Payee Ref'!A:A,'Payee Ref'!B:B,"unassigned",0,1)</f>
        <v>Travel</v>
      </c>
      <c r="E1320" s="29" t="str">
        <f>_xlfn.XLOOKUP(B1320,'Payee Ref'!A:A,'Payee Ref'!C:C,"unassigned",0,1)</f>
        <v>Luxury</v>
      </c>
      <c r="F1320" s="28" t="s">
        <v>2207</v>
      </c>
    </row>
    <row r="1321" spans="1:6" x14ac:dyDescent="0.2">
      <c r="A1321" s="30">
        <v>45897</v>
      </c>
      <c r="B1321" s="28" t="s">
        <v>1657</v>
      </c>
      <c r="C1321" s="28">
        <v>48.45</v>
      </c>
      <c r="D1321" s="28" t="str">
        <f>_xlfn.XLOOKUP(B1321,'Payee Ref'!A:A,'Payee Ref'!B:B,"unassigned",0,1)</f>
        <v>Auto</v>
      </c>
      <c r="E1321" s="29" t="str">
        <f>_xlfn.XLOOKUP(B1321,'Payee Ref'!A:A,'Payee Ref'!C:C,"unassigned",0,1)</f>
        <v>Luxury</v>
      </c>
      <c r="F1321" s="28" t="s">
        <v>2207</v>
      </c>
    </row>
    <row r="1322" spans="1:6" x14ac:dyDescent="0.2">
      <c r="A1322" s="30">
        <v>45908</v>
      </c>
      <c r="B1322" s="28" t="s">
        <v>1657</v>
      </c>
      <c r="C1322" s="28">
        <v>48.45</v>
      </c>
      <c r="D1322" s="28" t="str">
        <f>_xlfn.XLOOKUP(B1322,'Payee Ref'!A:A,'Payee Ref'!B:B,"unassigned",0,1)</f>
        <v>Auto</v>
      </c>
      <c r="E1322" s="29" t="str">
        <f>_xlfn.XLOOKUP(B1322,'Payee Ref'!A:A,'Payee Ref'!C:C,"unassigned",0,1)</f>
        <v>Luxury</v>
      </c>
      <c r="F1322" s="28" t="s">
        <v>2207</v>
      </c>
    </row>
    <row r="1323" spans="1:6" x14ac:dyDescent="0.2">
      <c r="A1323" s="30">
        <v>45861</v>
      </c>
      <c r="B1323" s="28" t="s">
        <v>1812</v>
      </c>
      <c r="C1323" s="28">
        <v>48.53</v>
      </c>
      <c r="D1323" s="28" t="str">
        <f>_xlfn.XLOOKUP(B1323,'Payee Ref'!A:A,'Payee Ref'!B:B,"unassigned",0,1)</f>
        <v>Professional</v>
      </c>
      <c r="E1323" s="29" t="str">
        <f>_xlfn.XLOOKUP(B1323,'Payee Ref'!A:A,'Payee Ref'!C:C,"unassigned",0,1)</f>
        <v>Basic</v>
      </c>
      <c r="F1323" s="28" t="s">
        <v>2207</v>
      </c>
    </row>
    <row r="1324" spans="1:6" x14ac:dyDescent="0.2">
      <c r="A1324" s="30">
        <v>45670</v>
      </c>
      <c r="B1324" s="28" t="s">
        <v>1547</v>
      </c>
      <c r="C1324" s="28">
        <v>48.54</v>
      </c>
      <c r="D1324" s="28" t="str">
        <f>_xlfn.XLOOKUP(B1324,'Payee Ref'!A:A,'Payee Ref'!B:B,"unassigned",0,1)</f>
        <v>Pharmacy</v>
      </c>
      <c r="E1324" s="29" t="str">
        <f>_xlfn.XLOOKUP(B1324,'Payee Ref'!A:A,'Payee Ref'!C:C,"unassigned",0,1)</f>
        <v>Basic</v>
      </c>
      <c r="F1324" s="28" t="s">
        <v>2207</v>
      </c>
    </row>
    <row r="1325" spans="1:6" x14ac:dyDescent="0.2">
      <c r="A1325" s="30">
        <v>45786</v>
      </c>
      <c r="B1325" s="28" t="s">
        <v>1594</v>
      </c>
      <c r="C1325" s="28">
        <v>48.55</v>
      </c>
      <c r="D1325" s="28" t="str">
        <f>_xlfn.XLOOKUP(B1325,'Payee Ref'!A:A,'Payee Ref'!B:B,"unassigned",0,1)</f>
        <v>Groceries</v>
      </c>
      <c r="E1325" s="29" t="str">
        <f>_xlfn.XLOOKUP(B1325,'Payee Ref'!A:A,'Payee Ref'!C:C,"unassigned",0,1)</f>
        <v>Basic</v>
      </c>
      <c r="F1325" s="28" t="s">
        <v>2207</v>
      </c>
    </row>
    <row r="1326" spans="1:6" x14ac:dyDescent="0.2">
      <c r="A1326" s="30">
        <v>45729</v>
      </c>
      <c r="B1326" s="28" t="s">
        <v>1594</v>
      </c>
      <c r="C1326" s="28">
        <v>48.55</v>
      </c>
      <c r="D1326" s="28" t="str">
        <f>_xlfn.XLOOKUP(B1326,'Payee Ref'!A:A,'Payee Ref'!B:B,"unassigned",0,1)</f>
        <v>Groceries</v>
      </c>
      <c r="E1326" s="29" t="str">
        <f>_xlfn.XLOOKUP(B1326,'Payee Ref'!A:A,'Payee Ref'!C:C,"unassigned",0,1)</f>
        <v>Basic</v>
      </c>
      <c r="F1326" s="28" t="s">
        <v>2207</v>
      </c>
    </row>
    <row r="1327" spans="1:6" x14ac:dyDescent="0.2">
      <c r="A1327" s="30">
        <v>45673</v>
      </c>
      <c r="B1327" s="28" t="s">
        <v>1594</v>
      </c>
      <c r="C1327" s="28">
        <v>48.55</v>
      </c>
      <c r="D1327" s="28" t="str">
        <f>_xlfn.XLOOKUP(B1327,'Payee Ref'!A:A,'Payee Ref'!B:B,"unassigned",0,1)</f>
        <v>Groceries</v>
      </c>
      <c r="E1327" s="29" t="str">
        <f>_xlfn.XLOOKUP(B1327,'Payee Ref'!A:A,'Payee Ref'!C:C,"unassigned",0,1)</f>
        <v>Basic</v>
      </c>
      <c r="F1327" s="28" t="s">
        <v>2207</v>
      </c>
    </row>
    <row r="1328" spans="1:6" x14ac:dyDescent="0.2">
      <c r="A1328" s="30">
        <v>45884</v>
      </c>
      <c r="B1328" s="28" t="s">
        <v>1603</v>
      </c>
      <c r="C1328" s="28">
        <v>48.61</v>
      </c>
      <c r="D1328" s="28" t="str">
        <f>_xlfn.XLOOKUP(B1328,'Payee Ref'!A:A,'Payee Ref'!B:B,"unassigned",0,1)</f>
        <v>Auto</v>
      </c>
      <c r="E1328" s="29" t="str">
        <f>_xlfn.XLOOKUP(B1328,'Payee Ref'!A:A,'Payee Ref'!C:C,"unassigned",0,1)</f>
        <v>Basic</v>
      </c>
      <c r="F1328" s="28" t="s">
        <v>2207</v>
      </c>
    </row>
    <row r="1329" spans="1:6" x14ac:dyDescent="0.2">
      <c r="A1329" s="30">
        <v>45675</v>
      </c>
      <c r="B1329" s="28" t="s">
        <v>2162</v>
      </c>
      <c r="C1329" s="28">
        <v>48.64</v>
      </c>
      <c r="D1329" s="28" t="str">
        <f>_xlfn.XLOOKUP(B1329,'Payee Ref'!A:A,'Payee Ref'!B:B,"unassigned",0,1)</f>
        <v>Pharmacy</v>
      </c>
      <c r="E1329" s="29" t="str">
        <f>_xlfn.XLOOKUP(B1329,'Payee Ref'!A:A,'Payee Ref'!C:C,"unassigned",0,1)</f>
        <v>Basic</v>
      </c>
      <c r="F1329" s="28" t="s">
        <v>2207</v>
      </c>
    </row>
    <row r="1330" spans="1:6" x14ac:dyDescent="0.2">
      <c r="A1330" s="30">
        <v>45772</v>
      </c>
      <c r="B1330" s="28" t="s">
        <v>1538</v>
      </c>
      <c r="C1330" s="28">
        <v>49</v>
      </c>
      <c r="D1330" s="28" t="str">
        <f>_xlfn.XLOOKUP(B1330,'Payee Ref'!A:A,'Payee Ref'!B:B,"unassigned",0,1)</f>
        <v>Clothing</v>
      </c>
      <c r="E1330" s="29" t="str">
        <f>_xlfn.XLOOKUP(B1330,'Payee Ref'!A:A,'Payee Ref'!C:C,"unassigned",0,1)</f>
        <v>Basic</v>
      </c>
      <c r="F1330" s="28" t="s">
        <v>2207</v>
      </c>
    </row>
    <row r="1331" spans="1:6" x14ac:dyDescent="0.2">
      <c r="A1331" s="30">
        <v>45839</v>
      </c>
      <c r="B1331" s="28" t="s">
        <v>797</v>
      </c>
      <c r="C1331" s="28">
        <v>49</v>
      </c>
      <c r="D1331" s="28" t="str">
        <f>_xlfn.XLOOKUP(B1331,'Payee Ref'!A:A,'Payee Ref'!B:B,"unassigned",0,1)</f>
        <v>Membership</v>
      </c>
      <c r="E1331" s="29" t="str">
        <f>_xlfn.XLOOKUP(B1331,'Payee Ref'!A:A,'Payee Ref'!C:C,"unassigned",0,1)</f>
        <v>Basic</v>
      </c>
      <c r="F1331" s="28" t="s">
        <v>2207</v>
      </c>
    </row>
    <row r="1332" spans="1:6" x14ac:dyDescent="0.2">
      <c r="A1332" s="30">
        <v>45989</v>
      </c>
      <c r="B1332" s="28" t="s">
        <v>1519</v>
      </c>
      <c r="C1332" s="28">
        <v>49.13</v>
      </c>
      <c r="D1332" s="28" t="str">
        <f>_xlfn.XLOOKUP(B1332,'Payee Ref'!A:A,'Payee Ref'!B:B,"unassigned",0,1)</f>
        <v>Enrichment</v>
      </c>
      <c r="E1332" s="29" t="str">
        <f>_xlfn.XLOOKUP(B1332,'Payee Ref'!A:A,'Payee Ref'!C:C,"unassigned",0,1)</f>
        <v>Basic</v>
      </c>
      <c r="F1332" s="28" t="s">
        <v>2207</v>
      </c>
    </row>
    <row r="1333" spans="1:6" x14ac:dyDescent="0.2">
      <c r="A1333" s="30">
        <v>45965</v>
      </c>
      <c r="B1333" s="28" t="s">
        <v>227</v>
      </c>
      <c r="C1333" s="28">
        <v>49.22</v>
      </c>
      <c r="D1333" s="28" t="str">
        <f>_xlfn.XLOOKUP(B1333,'Payee Ref'!A:A,'Payee Ref'!B:B,"unassigned",0,1)</f>
        <v>Travel</v>
      </c>
      <c r="E1333" s="29" t="str">
        <f>_xlfn.XLOOKUP(B1333,'Payee Ref'!A:A,'Payee Ref'!C:C,"unassigned",0,1)</f>
        <v>Luxury</v>
      </c>
      <c r="F1333" s="28" t="s">
        <v>2207</v>
      </c>
    </row>
    <row r="1334" spans="1:6" x14ac:dyDescent="0.2">
      <c r="A1334" s="30">
        <v>45878</v>
      </c>
      <c r="B1334" s="28" t="s">
        <v>1739</v>
      </c>
      <c r="C1334" s="28">
        <v>49.32</v>
      </c>
      <c r="D1334" s="28" t="str">
        <f>_xlfn.XLOOKUP(B1334,'Payee Ref'!A:A,'Payee Ref'!B:B,"unassigned",0,1)</f>
        <v>Travel</v>
      </c>
      <c r="E1334" s="29" t="str">
        <f>_xlfn.XLOOKUP(B1334,'Payee Ref'!A:A,'Payee Ref'!C:C,"unassigned",0,1)</f>
        <v>Luxury</v>
      </c>
      <c r="F1334" s="28" t="s">
        <v>2207</v>
      </c>
    </row>
    <row r="1335" spans="1:6" x14ac:dyDescent="0.2">
      <c r="A1335" s="30">
        <v>45854</v>
      </c>
      <c r="B1335" s="28" t="s">
        <v>1654</v>
      </c>
      <c r="C1335" s="28">
        <v>49.66</v>
      </c>
      <c r="D1335" s="28" t="str">
        <f>_xlfn.XLOOKUP(B1335,'Payee Ref'!A:A,'Payee Ref'!B:B,"unassigned",0,1)</f>
        <v>Clothing</v>
      </c>
      <c r="E1335" s="29" t="str">
        <f>_xlfn.XLOOKUP(B1335,'Payee Ref'!A:A,'Payee Ref'!C:C,"unassigned",0,1)</f>
        <v>Basic</v>
      </c>
      <c r="F1335" s="28" t="s">
        <v>2207</v>
      </c>
    </row>
    <row r="1336" spans="1:6" x14ac:dyDescent="0.2">
      <c r="A1336" s="30">
        <v>45836</v>
      </c>
      <c r="B1336" s="28" t="s">
        <v>1885</v>
      </c>
      <c r="C1336" s="28">
        <v>49.9</v>
      </c>
      <c r="D1336" s="28" t="str">
        <f>_xlfn.XLOOKUP(B1336,'Payee Ref'!A:A,'Payee Ref'!B:B,"unassigned",0,1)</f>
        <v>Travel</v>
      </c>
      <c r="E1336" s="29" t="str">
        <f>_xlfn.XLOOKUP(B1336,'Payee Ref'!A:A,'Payee Ref'!C:C,"unassigned",0,1)</f>
        <v>Luxury</v>
      </c>
      <c r="F1336" s="28" t="s">
        <v>2207</v>
      </c>
    </row>
    <row r="1337" spans="1:6" x14ac:dyDescent="0.2">
      <c r="A1337" s="30">
        <v>45867</v>
      </c>
      <c r="B1337" s="28" t="s">
        <v>1781</v>
      </c>
      <c r="C1337" s="28">
        <v>49.96</v>
      </c>
      <c r="D1337" s="28" t="str">
        <f>_xlfn.XLOOKUP(B1337,'Payee Ref'!A:A,'Payee Ref'!B:B,"unassigned",0,1)</f>
        <v>Groceries</v>
      </c>
      <c r="E1337" s="29" t="str">
        <f>_xlfn.XLOOKUP(B1337,'Payee Ref'!A:A,'Payee Ref'!C:C,"unassigned",0,1)</f>
        <v>Basic</v>
      </c>
      <c r="F1337" s="28" t="s">
        <v>2207</v>
      </c>
    </row>
    <row r="1338" spans="1:6" x14ac:dyDescent="0.2">
      <c r="A1338" s="30">
        <v>45717</v>
      </c>
      <c r="B1338" s="28" t="s">
        <v>1810</v>
      </c>
      <c r="C1338" s="28">
        <v>50</v>
      </c>
      <c r="D1338" s="28" t="str">
        <f>_xlfn.XLOOKUP(B1338,'Payee Ref'!A:A,'Payee Ref'!B:B,"unassigned",0,1)</f>
        <v>Travel</v>
      </c>
      <c r="E1338" s="29" t="str">
        <f>_xlfn.XLOOKUP(B1338,'Payee Ref'!A:A,'Payee Ref'!C:C,"unassigned",0,1)</f>
        <v>Luxury</v>
      </c>
      <c r="F1338" s="28" t="s">
        <v>2207</v>
      </c>
    </row>
    <row r="1339" spans="1:6" x14ac:dyDescent="0.2">
      <c r="A1339" s="30">
        <v>45925</v>
      </c>
      <c r="B1339" s="28" t="s">
        <v>1624</v>
      </c>
      <c r="C1339" s="28">
        <v>50</v>
      </c>
      <c r="D1339" s="28" t="str">
        <f>_xlfn.XLOOKUP(B1339,'Payee Ref'!A:A,'Payee Ref'!B:B,"unassigned",0,1)</f>
        <v>Auto</v>
      </c>
      <c r="E1339" s="29" t="str">
        <f>_xlfn.XLOOKUP(B1339,'Payee Ref'!A:A,'Payee Ref'!C:C,"unassigned",0,1)</f>
        <v>Basic</v>
      </c>
      <c r="F1339" s="28" t="s">
        <v>2207</v>
      </c>
    </row>
    <row r="1340" spans="1:6" x14ac:dyDescent="0.2">
      <c r="A1340" s="30">
        <v>45987</v>
      </c>
      <c r="B1340" s="28" t="s">
        <v>1530</v>
      </c>
      <c r="C1340" s="28">
        <v>50</v>
      </c>
      <c r="D1340" s="28" t="str">
        <f>_xlfn.XLOOKUP(B1340,'Payee Ref'!A:A,'Payee Ref'!B:B,"unassigned",0,1)</f>
        <v>Subscriptions / Digital</v>
      </c>
      <c r="E1340" s="29" t="str">
        <f>_xlfn.XLOOKUP(B1340,'Payee Ref'!A:A,'Payee Ref'!C:C,"unassigned",0,1)</f>
        <v>Luxury</v>
      </c>
      <c r="F1340" s="28" t="s">
        <v>2207</v>
      </c>
    </row>
    <row r="1341" spans="1:6" x14ac:dyDescent="0.2">
      <c r="A1341" s="30">
        <v>45852</v>
      </c>
      <c r="B1341" s="28" t="s">
        <v>1567</v>
      </c>
      <c r="C1341" s="28">
        <v>50</v>
      </c>
      <c r="D1341" s="28" t="str">
        <f>_xlfn.XLOOKUP(B1341,'Payee Ref'!A:A,'Payee Ref'!B:B,"unassigned",0,1)</f>
        <v>Van</v>
      </c>
      <c r="E1341" s="29" t="str">
        <f>_xlfn.XLOOKUP(B1341,'Payee Ref'!A:A,'Payee Ref'!C:C,"unassigned",0,1)</f>
        <v>Luxury</v>
      </c>
      <c r="F1341" s="28" t="s">
        <v>2207</v>
      </c>
    </row>
    <row r="1342" spans="1:6" x14ac:dyDescent="0.2">
      <c r="A1342" s="30">
        <v>45841</v>
      </c>
      <c r="B1342" s="28" t="s">
        <v>1862</v>
      </c>
      <c r="C1342" s="28">
        <v>50.04</v>
      </c>
      <c r="D1342" s="28" t="str">
        <f>_xlfn.XLOOKUP(B1342,'Payee Ref'!A:A,'Payee Ref'!B:B,"unassigned",0,1)</f>
        <v>Dining</v>
      </c>
      <c r="E1342" s="29" t="str">
        <f>_xlfn.XLOOKUP(B1342,'Payee Ref'!A:A,'Payee Ref'!C:C,"unassigned",0,1)</f>
        <v>Luxury</v>
      </c>
      <c r="F1342" s="28" t="s">
        <v>2207</v>
      </c>
    </row>
    <row r="1343" spans="1:6" x14ac:dyDescent="0.2">
      <c r="A1343" s="30">
        <v>45836</v>
      </c>
      <c r="B1343" s="28" t="s">
        <v>1882</v>
      </c>
      <c r="C1343" s="28">
        <v>50.54</v>
      </c>
      <c r="D1343" s="28" t="str">
        <f>_xlfn.XLOOKUP(B1343,'Payee Ref'!A:A,'Payee Ref'!B:B,"unassigned",0,1)</f>
        <v>Travel</v>
      </c>
      <c r="E1343" s="29" t="str">
        <f>_xlfn.XLOOKUP(B1343,'Payee Ref'!A:A,'Payee Ref'!C:C,"unassigned",0,1)</f>
        <v>Luxury</v>
      </c>
      <c r="F1343" s="28" t="s">
        <v>2207</v>
      </c>
    </row>
    <row r="1344" spans="1:6" x14ac:dyDescent="0.2">
      <c r="A1344" s="30">
        <v>45861</v>
      </c>
      <c r="B1344" s="28" t="s">
        <v>1813</v>
      </c>
      <c r="C1344" s="28">
        <v>50.74</v>
      </c>
      <c r="D1344" s="28" t="str">
        <f>_xlfn.XLOOKUP(B1344,'Payee Ref'!A:A,'Payee Ref'!B:B,"unassigned",0,1)</f>
        <v>Pets</v>
      </c>
      <c r="E1344" s="29" t="str">
        <f>_xlfn.XLOOKUP(B1344,'Payee Ref'!A:A,'Payee Ref'!C:C,"unassigned",0,1)</f>
        <v>Basic</v>
      </c>
      <c r="F1344" s="28" t="s">
        <v>2207</v>
      </c>
    </row>
    <row r="1345" spans="1:6" x14ac:dyDescent="0.2">
      <c r="A1345" s="30">
        <v>45788</v>
      </c>
      <c r="B1345" s="28" t="s">
        <v>2001</v>
      </c>
      <c r="C1345" s="28">
        <v>50.91</v>
      </c>
      <c r="D1345" s="28" t="str">
        <f>_xlfn.XLOOKUP(B1345,'Payee Ref'!A:A,'Payee Ref'!B:B,"unassigned",0,1)</f>
        <v>Home &amp; Garden</v>
      </c>
      <c r="E1345" s="29" t="str">
        <f>_xlfn.XLOOKUP(B1345,'Payee Ref'!A:A,'Payee Ref'!C:C,"unassigned",0,1)</f>
        <v>Basic</v>
      </c>
      <c r="F1345" s="28" t="s">
        <v>2207</v>
      </c>
    </row>
    <row r="1346" spans="1:6" x14ac:dyDescent="0.2">
      <c r="A1346" s="30">
        <v>45941</v>
      </c>
      <c r="B1346" s="28" t="s">
        <v>562</v>
      </c>
      <c r="C1346" s="28">
        <v>51.17</v>
      </c>
      <c r="D1346" s="28" t="str">
        <f>_xlfn.XLOOKUP(B1346,'Payee Ref'!A:A,'Payee Ref'!B:B,"unassigned",0,1)</f>
        <v>Groceries</v>
      </c>
      <c r="E1346" s="29" t="str">
        <f>_xlfn.XLOOKUP(B1346,'Payee Ref'!A:A,'Payee Ref'!C:C,"unassigned",0,1)</f>
        <v>Basic</v>
      </c>
      <c r="F1346" s="28" t="s">
        <v>2207</v>
      </c>
    </row>
    <row r="1347" spans="1:6" x14ac:dyDescent="0.2">
      <c r="A1347" s="30">
        <v>45914</v>
      </c>
      <c r="B1347" s="28" t="s">
        <v>1529</v>
      </c>
      <c r="C1347" s="28">
        <v>51.31</v>
      </c>
      <c r="D1347" s="28" t="str">
        <f>_xlfn.XLOOKUP(B1347,'Payee Ref'!A:A,'Payee Ref'!B:B,"unassigned",0,1)</f>
        <v>Dining</v>
      </c>
      <c r="E1347" s="29" t="str">
        <f>_xlfn.XLOOKUP(B1347,'Payee Ref'!A:A,'Payee Ref'!C:C,"unassigned",0,1)</f>
        <v>Luxury</v>
      </c>
      <c r="F1347" s="28" t="s">
        <v>2207</v>
      </c>
    </row>
    <row r="1348" spans="1:6" x14ac:dyDescent="0.2">
      <c r="A1348" s="30">
        <v>45933</v>
      </c>
      <c r="B1348" s="28" t="s">
        <v>546</v>
      </c>
      <c r="C1348" s="28">
        <v>51.4</v>
      </c>
      <c r="D1348" s="28" t="str">
        <f>_xlfn.XLOOKUP(B1348,'Payee Ref'!A:A,'Payee Ref'!B:B,"unassigned",0,1)</f>
        <v>Groceries</v>
      </c>
      <c r="E1348" s="29" t="str">
        <f>_xlfn.XLOOKUP(B1348,'Payee Ref'!A:A,'Payee Ref'!C:C,"unassigned",0,1)</f>
        <v>Basic</v>
      </c>
      <c r="F1348" s="28" t="s">
        <v>2207</v>
      </c>
    </row>
    <row r="1349" spans="1:6" x14ac:dyDescent="0.2">
      <c r="A1349" s="30">
        <v>45887</v>
      </c>
      <c r="B1349" s="28" t="s">
        <v>1709</v>
      </c>
      <c r="C1349" s="28">
        <v>51.58</v>
      </c>
      <c r="D1349" s="28" t="str">
        <f>_xlfn.XLOOKUP(B1349,'Payee Ref'!A:A,'Payee Ref'!B:B,"unassigned",0,1)</f>
        <v>Dining</v>
      </c>
      <c r="E1349" s="29" t="str">
        <f>_xlfn.XLOOKUP(B1349,'Payee Ref'!A:A,'Payee Ref'!C:C,"unassigned",0,1)</f>
        <v>Luxury</v>
      </c>
      <c r="F1349" s="28" t="s">
        <v>2207</v>
      </c>
    </row>
    <row r="1350" spans="1:6" x14ac:dyDescent="0.2">
      <c r="A1350" s="30">
        <v>45894</v>
      </c>
      <c r="B1350" s="28" t="s">
        <v>1536</v>
      </c>
      <c r="C1350" s="28">
        <v>51.91</v>
      </c>
      <c r="D1350" s="28" t="str">
        <f>_xlfn.XLOOKUP(B1350,'Payee Ref'!A:A,'Payee Ref'!B:B,"unassigned",0,1)</f>
        <v>Groceries</v>
      </c>
      <c r="E1350" s="29" t="str">
        <f>_xlfn.XLOOKUP(B1350,'Payee Ref'!A:A,'Payee Ref'!C:C,"unassigned",0,1)</f>
        <v>Basic</v>
      </c>
      <c r="F1350" s="28" t="s">
        <v>2207</v>
      </c>
    </row>
    <row r="1351" spans="1:6" x14ac:dyDescent="0.2">
      <c r="A1351" s="30">
        <v>45856</v>
      </c>
      <c r="B1351" s="28" t="s">
        <v>1536</v>
      </c>
      <c r="C1351" s="28">
        <v>51.98</v>
      </c>
      <c r="D1351" s="28" t="str">
        <f>_xlfn.XLOOKUP(B1351,'Payee Ref'!A:A,'Payee Ref'!B:B,"unassigned",0,1)</f>
        <v>Groceries</v>
      </c>
      <c r="E1351" s="29" t="str">
        <f>_xlfn.XLOOKUP(B1351,'Payee Ref'!A:A,'Payee Ref'!C:C,"unassigned",0,1)</f>
        <v>Basic</v>
      </c>
      <c r="F1351" s="28" t="s">
        <v>2207</v>
      </c>
    </row>
    <row r="1352" spans="1:6" x14ac:dyDescent="0.2">
      <c r="A1352" s="30">
        <v>45969</v>
      </c>
      <c r="B1352" s="28" t="s">
        <v>1225</v>
      </c>
      <c r="C1352" s="28">
        <v>52</v>
      </c>
      <c r="D1352" s="28" t="str">
        <f>_xlfn.XLOOKUP(B1352,'Payee Ref'!A:A,'Payee Ref'!B:B,"unassigned",0,1)</f>
        <v>Dining</v>
      </c>
      <c r="E1352" s="29" t="str">
        <f>_xlfn.XLOOKUP(B1352,'Payee Ref'!A:A,'Payee Ref'!C:C,"unassigned",0,1)</f>
        <v>Luxury</v>
      </c>
      <c r="F1352" s="28" t="s">
        <v>2207</v>
      </c>
    </row>
    <row r="1353" spans="1:6" x14ac:dyDescent="0.2">
      <c r="A1353" s="30">
        <v>45861</v>
      </c>
      <c r="B1353" s="28" t="s">
        <v>1809</v>
      </c>
      <c r="C1353" s="28">
        <v>52.43</v>
      </c>
      <c r="D1353" s="28" t="str">
        <f>_xlfn.XLOOKUP(B1353,'Payee Ref'!A:A,'Payee Ref'!B:B,"unassigned",0,1)</f>
        <v>Travel</v>
      </c>
      <c r="E1353" s="29" t="str">
        <f>_xlfn.XLOOKUP(B1353,'Payee Ref'!A:A,'Payee Ref'!C:C,"unassigned",0,1)</f>
        <v>Luxury</v>
      </c>
      <c r="F1353" s="28" t="s">
        <v>2207</v>
      </c>
    </row>
    <row r="1354" spans="1:6" x14ac:dyDescent="0.2">
      <c r="A1354" s="30">
        <v>45850</v>
      </c>
      <c r="B1354" s="28" t="s">
        <v>1536</v>
      </c>
      <c r="C1354" s="28">
        <v>52.63</v>
      </c>
      <c r="D1354" s="28" t="str">
        <f>_xlfn.XLOOKUP(B1354,'Payee Ref'!A:A,'Payee Ref'!B:B,"unassigned",0,1)</f>
        <v>Groceries</v>
      </c>
      <c r="E1354" s="29" t="str">
        <f>_xlfn.XLOOKUP(B1354,'Payee Ref'!A:A,'Payee Ref'!C:C,"unassigned",0,1)</f>
        <v>Basic</v>
      </c>
      <c r="F1354" s="28" t="s">
        <v>2207</v>
      </c>
    </row>
    <row r="1355" spans="1:6" x14ac:dyDescent="0.2">
      <c r="A1355" s="30">
        <v>45792</v>
      </c>
      <c r="B1355" s="28" t="s">
        <v>1965</v>
      </c>
      <c r="C1355" s="28">
        <v>52.91</v>
      </c>
      <c r="D1355" s="28" t="str">
        <f>_xlfn.XLOOKUP(B1355,'Payee Ref'!A:A,'Payee Ref'!B:B,"unassigned",0,1)</f>
        <v>Dining</v>
      </c>
      <c r="E1355" s="29" t="str">
        <f>_xlfn.XLOOKUP(B1355,'Payee Ref'!A:A,'Payee Ref'!C:C,"unassigned",0,1)</f>
        <v>Luxury</v>
      </c>
      <c r="F1355" s="28" t="s">
        <v>2207</v>
      </c>
    </row>
    <row r="1356" spans="1:6" x14ac:dyDescent="0.2">
      <c r="A1356" s="30">
        <v>45922</v>
      </c>
      <c r="B1356" s="28" t="s">
        <v>1562</v>
      </c>
      <c r="C1356" s="28">
        <v>52.99</v>
      </c>
      <c r="D1356" s="28" t="str">
        <f>_xlfn.XLOOKUP(B1356,'Payee Ref'!A:A,'Payee Ref'!B:B,"unassigned",0,1)</f>
        <v>Dining</v>
      </c>
      <c r="E1356" s="29" t="str">
        <f>_xlfn.XLOOKUP(B1356,'Payee Ref'!A:A,'Payee Ref'!C:C,"unassigned",0,1)</f>
        <v>Luxury</v>
      </c>
      <c r="F1356" s="28" t="s">
        <v>2207</v>
      </c>
    </row>
    <row r="1357" spans="1:6" x14ac:dyDescent="0.2">
      <c r="A1357" s="30">
        <v>45774</v>
      </c>
      <c r="B1357" s="28" t="s">
        <v>1603</v>
      </c>
      <c r="C1357" s="28">
        <v>53.88</v>
      </c>
      <c r="D1357" s="28" t="str">
        <f>_xlfn.XLOOKUP(B1357,'Payee Ref'!A:A,'Payee Ref'!B:B,"unassigned",0,1)</f>
        <v>Auto</v>
      </c>
      <c r="E1357" s="29" t="str">
        <f>_xlfn.XLOOKUP(B1357,'Payee Ref'!A:A,'Payee Ref'!C:C,"unassigned",0,1)</f>
        <v>Basic</v>
      </c>
      <c r="F1357" s="28" t="s">
        <v>2207</v>
      </c>
    </row>
    <row r="1358" spans="1:6" x14ac:dyDescent="0.2">
      <c r="A1358" s="30">
        <v>45886</v>
      </c>
      <c r="B1358" s="28" t="s">
        <v>1711</v>
      </c>
      <c r="C1358" s="28">
        <v>53.94</v>
      </c>
      <c r="D1358" s="28" t="str">
        <f>_xlfn.XLOOKUP(B1358,'Payee Ref'!A:A,'Payee Ref'!B:B,"unassigned",0,1)</f>
        <v>Home &amp; Garden</v>
      </c>
      <c r="E1358" s="29" t="str">
        <f>_xlfn.XLOOKUP(B1358,'Payee Ref'!A:A,'Payee Ref'!C:C,"unassigned",0,1)</f>
        <v>Basic</v>
      </c>
      <c r="F1358" s="28" t="s">
        <v>2207</v>
      </c>
    </row>
    <row r="1359" spans="1:6" x14ac:dyDescent="0.2">
      <c r="A1359" s="30">
        <v>45902</v>
      </c>
      <c r="B1359" s="28" t="s">
        <v>1529</v>
      </c>
      <c r="C1359" s="28">
        <v>53.97</v>
      </c>
      <c r="D1359" s="28" t="str">
        <f>_xlfn.XLOOKUP(B1359,'Payee Ref'!A:A,'Payee Ref'!B:B,"unassigned",0,1)</f>
        <v>Dining</v>
      </c>
      <c r="E1359" s="29" t="str">
        <f>_xlfn.XLOOKUP(B1359,'Payee Ref'!A:A,'Payee Ref'!C:C,"unassigned",0,1)</f>
        <v>Luxury</v>
      </c>
      <c r="F1359" s="28" t="s">
        <v>2207</v>
      </c>
    </row>
    <row r="1360" spans="1:6" x14ac:dyDescent="0.2">
      <c r="A1360" s="30">
        <v>45897</v>
      </c>
      <c r="B1360" s="28" t="s">
        <v>1594</v>
      </c>
      <c r="C1360" s="28">
        <v>54.08</v>
      </c>
      <c r="D1360" s="28" t="str">
        <f>_xlfn.XLOOKUP(B1360,'Payee Ref'!A:A,'Payee Ref'!B:B,"unassigned",0,1)</f>
        <v>Groceries</v>
      </c>
      <c r="E1360" s="29" t="str">
        <f>_xlfn.XLOOKUP(B1360,'Payee Ref'!A:A,'Payee Ref'!C:C,"unassigned",0,1)</f>
        <v>Basic</v>
      </c>
      <c r="F1360" s="28" t="s">
        <v>2207</v>
      </c>
    </row>
    <row r="1361" spans="1:6" x14ac:dyDescent="0.2">
      <c r="A1361" s="30">
        <v>45841</v>
      </c>
      <c r="B1361" s="28" t="s">
        <v>1594</v>
      </c>
      <c r="C1361" s="28">
        <v>54.08</v>
      </c>
      <c r="D1361" s="28" t="str">
        <f>_xlfn.XLOOKUP(B1361,'Payee Ref'!A:A,'Payee Ref'!B:B,"unassigned",0,1)</f>
        <v>Groceries</v>
      </c>
      <c r="E1361" s="29" t="str">
        <f>_xlfn.XLOOKUP(B1361,'Payee Ref'!A:A,'Payee Ref'!C:C,"unassigned",0,1)</f>
        <v>Basic</v>
      </c>
      <c r="F1361" s="28" t="s">
        <v>2207</v>
      </c>
    </row>
    <row r="1362" spans="1:6" x14ac:dyDescent="0.2">
      <c r="A1362" s="30">
        <v>45953</v>
      </c>
      <c r="B1362" s="28" t="s">
        <v>760</v>
      </c>
      <c r="C1362" s="28">
        <v>54.08</v>
      </c>
      <c r="D1362" s="28" t="str">
        <f>_xlfn.XLOOKUP(B1362,'Payee Ref'!A:A,'Payee Ref'!B:B,"unassigned",0,1)</f>
        <v>Home &amp; Garden</v>
      </c>
      <c r="E1362" s="29" t="str">
        <f>_xlfn.XLOOKUP(B1362,'Payee Ref'!A:A,'Payee Ref'!C:C,"unassigned",0,1)</f>
        <v>Basic</v>
      </c>
      <c r="F1362" s="28" t="s">
        <v>2207</v>
      </c>
    </row>
    <row r="1363" spans="1:6" x14ac:dyDescent="0.2">
      <c r="A1363" s="30">
        <v>45848</v>
      </c>
      <c r="B1363" s="28" t="s">
        <v>1843</v>
      </c>
      <c r="C1363" s="28">
        <v>54.53</v>
      </c>
      <c r="D1363" s="28" t="str">
        <f>_xlfn.XLOOKUP(B1363,'Payee Ref'!A:A,'Payee Ref'!B:B,"unassigned",0,1)</f>
        <v>Home &amp; Garden</v>
      </c>
      <c r="E1363" s="29" t="str">
        <f>_xlfn.XLOOKUP(B1363,'Payee Ref'!A:A,'Payee Ref'!C:C,"unassigned",0,1)</f>
        <v>Basic</v>
      </c>
      <c r="F1363" s="28" t="s">
        <v>2207</v>
      </c>
    </row>
    <row r="1364" spans="1:6" x14ac:dyDescent="0.2">
      <c r="A1364" s="30">
        <v>45987</v>
      </c>
      <c r="B1364" s="28" t="s">
        <v>1531</v>
      </c>
      <c r="C1364" s="28">
        <v>54.56</v>
      </c>
      <c r="D1364" s="28" t="str">
        <f>_xlfn.XLOOKUP(B1364,'Payee Ref'!A:A,'Payee Ref'!B:B,"unassigned",0,1)</f>
        <v>Home &amp; Garden</v>
      </c>
      <c r="E1364" s="29" t="str">
        <f>_xlfn.XLOOKUP(B1364,'Payee Ref'!A:A,'Payee Ref'!C:C,"unassigned",0,1)</f>
        <v>Basic</v>
      </c>
      <c r="F1364" s="28" t="s">
        <v>2207</v>
      </c>
    </row>
    <row r="1365" spans="1:6" x14ac:dyDescent="0.2">
      <c r="A1365" s="30">
        <v>45914</v>
      </c>
      <c r="B1365" s="28" t="s">
        <v>1646</v>
      </c>
      <c r="C1365" s="28">
        <v>54.9</v>
      </c>
      <c r="D1365" s="28" t="str">
        <f>_xlfn.XLOOKUP(B1365,'Payee Ref'!A:A,'Payee Ref'!B:B,"unassigned",0,1)</f>
        <v>Travel</v>
      </c>
      <c r="E1365" s="29" t="str">
        <f>_xlfn.XLOOKUP(B1365,'Payee Ref'!A:A,'Payee Ref'!C:C,"unassigned",0,1)</f>
        <v>Luxury</v>
      </c>
      <c r="F1365" s="28" t="s">
        <v>2207</v>
      </c>
    </row>
    <row r="1366" spans="1:6" x14ac:dyDescent="0.2">
      <c r="A1366" s="30">
        <v>45809</v>
      </c>
      <c r="B1366" s="28" t="s">
        <v>1969</v>
      </c>
      <c r="C1366" s="28">
        <v>54.95</v>
      </c>
      <c r="D1366" s="28" t="str">
        <f>_xlfn.XLOOKUP(B1366,'Payee Ref'!A:A,'Payee Ref'!B:B,"unassigned",0,1)</f>
        <v>Dining</v>
      </c>
      <c r="E1366" s="29" t="str">
        <f>_xlfn.XLOOKUP(B1366,'Payee Ref'!A:A,'Payee Ref'!C:C,"unassigned",0,1)</f>
        <v>Luxury</v>
      </c>
      <c r="F1366" s="28" t="s">
        <v>2207</v>
      </c>
    </row>
    <row r="1367" spans="1:6" x14ac:dyDescent="0.2">
      <c r="A1367" s="30">
        <v>45878</v>
      </c>
      <c r="B1367" s="28" t="s">
        <v>1745</v>
      </c>
      <c r="C1367" s="28">
        <v>55</v>
      </c>
      <c r="D1367" s="28">
        <f>_xlfn.XLOOKUP(B1367,'Payee Ref'!A:A,'Payee Ref'!B:B,"unassigned",0,1)</f>
        <v>0</v>
      </c>
      <c r="E1367" s="29">
        <f>_xlfn.XLOOKUP(B1367,'Payee Ref'!A:A,'Payee Ref'!C:C,"unassigned",0,1)</f>
        <v>0</v>
      </c>
      <c r="F1367" s="28" t="s">
        <v>2207</v>
      </c>
    </row>
    <row r="1368" spans="1:6" x14ac:dyDescent="0.2">
      <c r="A1368" s="30">
        <v>45843</v>
      </c>
      <c r="B1368" s="28" t="s">
        <v>1857</v>
      </c>
      <c r="C1368" s="28">
        <v>55.06</v>
      </c>
      <c r="D1368" s="28" t="str">
        <f>_xlfn.XLOOKUP(B1368,'Payee Ref'!A:A,'Payee Ref'!B:B,"unassigned",0,1)</f>
        <v>Auto</v>
      </c>
      <c r="E1368" s="29" t="str">
        <f>_xlfn.XLOOKUP(B1368,'Payee Ref'!A:A,'Payee Ref'!C:C,"unassigned",0,1)</f>
        <v>Basic</v>
      </c>
      <c r="F1368" s="28" t="s">
        <v>2207</v>
      </c>
    </row>
    <row r="1369" spans="1:6" x14ac:dyDescent="0.2">
      <c r="A1369" s="30">
        <v>45798</v>
      </c>
      <c r="B1369" s="28" t="s">
        <v>1636</v>
      </c>
      <c r="C1369" s="28">
        <v>55.13</v>
      </c>
      <c r="D1369" s="28" t="str">
        <f>_xlfn.XLOOKUP(B1369,'Payee Ref'!A:A,'Payee Ref'!B:B,"unassigned",0,1)</f>
        <v>Home &amp; Garden</v>
      </c>
      <c r="E1369" s="29" t="str">
        <f>_xlfn.XLOOKUP(B1369,'Payee Ref'!A:A,'Payee Ref'!C:C,"unassigned",0,1)</f>
        <v>Basic</v>
      </c>
      <c r="F1369" s="28" t="s">
        <v>2207</v>
      </c>
    </row>
    <row r="1370" spans="1:6" x14ac:dyDescent="0.2">
      <c r="A1370" s="30">
        <v>45662</v>
      </c>
      <c r="B1370" s="28" t="s">
        <v>2189</v>
      </c>
      <c r="C1370" s="28">
        <v>55.16</v>
      </c>
      <c r="D1370" s="28" t="str">
        <f>_xlfn.XLOOKUP(B1370,'Payee Ref'!A:A,'Payee Ref'!B:B,"unassigned",0,1)</f>
        <v>Home &amp; Garden</v>
      </c>
      <c r="E1370" s="29" t="str">
        <f>_xlfn.XLOOKUP(B1370,'Payee Ref'!A:A,'Payee Ref'!C:C,"unassigned",0,1)</f>
        <v>Basic</v>
      </c>
      <c r="F1370" s="28" t="s">
        <v>2207</v>
      </c>
    </row>
    <row r="1371" spans="1:6" x14ac:dyDescent="0.2">
      <c r="A1371" s="30">
        <v>45934</v>
      </c>
      <c r="B1371" s="28" t="s">
        <v>473</v>
      </c>
      <c r="C1371" s="28">
        <v>55.18</v>
      </c>
      <c r="D1371" s="28" t="str">
        <f>_xlfn.XLOOKUP(B1371,'Payee Ref'!A:A,'Payee Ref'!B:B,"unassigned",0,1)</f>
        <v>Enrichment</v>
      </c>
      <c r="E1371" s="29" t="str">
        <f>_xlfn.XLOOKUP(B1371,'Payee Ref'!A:A,'Payee Ref'!C:C,"unassigned",0,1)</f>
        <v>Luxury</v>
      </c>
      <c r="F1371" s="28" t="s">
        <v>2207</v>
      </c>
    </row>
    <row r="1372" spans="1:6" x14ac:dyDescent="0.2">
      <c r="A1372" s="30">
        <v>45903</v>
      </c>
      <c r="B1372" s="28" t="s">
        <v>1663</v>
      </c>
      <c r="C1372" s="28">
        <v>55.26</v>
      </c>
      <c r="D1372" s="28" t="str">
        <f>_xlfn.XLOOKUP(B1372,'Payee Ref'!A:A,'Payee Ref'!B:B,"unassigned",0,1)</f>
        <v>Clothing</v>
      </c>
      <c r="E1372" s="29" t="str">
        <f>_xlfn.XLOOKUP(B1372,'Payee Ref'!A:A,'Payee Ref'!C:C,"unassigned",0,1)</f>
        <v>Basic</v>
      </c>
      <c r="F1372" s="28" t="s">
        <v>2207</v>
      </c>
    </row>
    <row r="1373" spans="1:6" x14ac:dyDescent="0.2">
      <c r="A1373" s="30">
        <v>45668</v>
      </c>
      <c r="B1373" s="28" t="s">
        <v>1536</v>
      </c>
      <c r="C1373" s="28">
        <v>55.43</v>
      </c>
      <c r="D1373" s="28" t="str">
        <f>_xlfn.XLOOKUP(B1373,'Payee Ref'!A:A,'Payee Ref'!B:B,"unassigned",0,1)</f>
        <v>Groceries</v>
      </c>
      <c r="E1373" s="29" t="str">
        <f>_xlfn.XLOOKUP(B1373,'Payee Ref'!A:A,'Payee Ref'!C:C,"unassigned",0,1)</f>
        <v>Basic</v>
      </c>
      <c r="F1373" s="28" t="s">
        <v>2207</v>
      </c>
    </row>
    <row r="1374" spans="1:6" x14ac:dyDescent="0.2">
      <c r="A1374" s="30">
        <v>45687</v>
      </c>
      <c r="B1374" s="28" t="s">
        <v>2147</v>
      </c>
      <c r="C1374" s="28">
        <v>55.76</v>
      </c>
      <c r="D1374" s="28" t="str">
        <f>_xlfn.XLOOKUP(B1374,'Payee Ref'!A:A,'Payee Ref'!B:B,"unassigned",0,1)</f>
        <v>Travel</v>
      </c>
      <c r="E1374" s="29" t="str">
        <f>_xlfn.XLOOKUP(B1374,'Payee Ref'!A:A,'Payee Ref'!C:C,"unassigned",0,1)</f>
        <v>Luxury</v>
      </c>
      <c r="F1374" s="28" t="s">
        <v>2207</v>
      </c>
    </row>
    <row r="1375" spans="1:6" x14ac:dyDescent="0.2">
      <c r="A1375" s="30">
        <v>45669</v>
      </c>
      <c r="B1375" s="28" t="s">
        <v>1649</v>
      </c>
      <c r="C1375" s="28">
        <v>55.92</v>
      </c>
      <c r="D1375" s="28" t="str">
        <f>_xlfn.XLOOKUP(B1375,'Payee Ref'!A:A,'Payee Ref'!B:B,"unassigned",0,1)</f>
        <v>Groceries</v>
      </c>
      <c r="E1375" s="29" t="str">
        <f>_xlfn.XLOOKUP(B1375,'Payee Ref'!A:A,'Payee Ref'!C:C,"unassigned",0,1)</f>
        <v>Basic</v>
      </c>
      <c r="F1375" s="28" t="s">
        <v>2207</v>
      </c>
    </row>
    <row r="1376" spans="1:6" x14ac:dyDescent="0.2">
      <c r="A1376" s="30">
        <v>45768</v>
      </c>
      <c r="B1376" s="28" t="s">
        <v>2030</v>
      </c>
      <c r="C1376" s="28">
        <v>55.96</v>
      </c>
      <c r="D1376" s="28" t="str">
        <f>_xlfn.XLOOKUP(B1376,'Payee Ref'!A:A,'Payee Ref'!B:B,"unassigned",0,1)</f>
        <v>Travel</v>
      </c>
      <c r="E1376" s="29" t="str">
        <f>_xlfn.XLOOKUP(B1376,'Payee Ref'!A:A,'Payee Ref'!C:C,"unassigned",0,1)</f>
        <v>Luxury</v>
      </c>
      <c r="F1376" s="28" t="s">
        <v>2207</v>
      </c>
    </row>
    <row r="1377" spans="1:6" x14ac:dyDescent="0.2">
      <c r="A1377" s="30">
        <v>45911</v>
      </c>
      <c r="B1377" s="28" t="s">
        <v>1653</v>
      </c>
      <c r="C1377" s="28">
        <v>56.18</v>
      </c>
      <c r="D1377" s="28" t="str">
        <f>_xlfn.XLOOKUP(B1377,'Payee Ref'!A:A,'Payee Ref'!B:B,"unassigned",0,1)</f>
        <v>Groceries</v>
      </c>
      <c r="E1377" s="29" t="str">
        <f>_xlfn.XLOOKUP(B1377,'Payee Ref'!A:A,'Payee Ref'!C:C,"unassigned",0,1)</f>
        <v>Luxury</v>
      </c>
      <c r="F1377" s="28" t="s">
        <v>2207</v>
      </c>
    </row>
    <row r="1378" spans="1:6" x14ac:dyDescent="0.2">
      <c r="A1378" s="30">
        <v>45708</v>
      </c>
      <c r="B1378" s="28" t="s">
        <v>1846</v>
      </c>
      <c r="C1378" s="28">
        <v>56.89</v>
      </c>
      <c r="D1378" s="28" t="str">
        <f>_xlfn.XLOOKUP(B1378,'Payee Ref'!A:A,'Payee Ref'!B:B,"unassigned",0,1)</f>
        <v>Auto</v>
      </c>
      <c r="E1378" s="29" t="str">
        <f>_xlfn.XLOOKUP(B1378,'Payee Ref'!A:A,'Payee Ref'!C:C,"unassigned",0,1)</f>
        <v>Basic</v>
      </c>
      <c r="F1378" s="28" t="s">
        <v>2207</v>
      </c>
    </row>
    <row r="1379" spans="1:6" x14ac:dyDescent="0.2">
      <c r="A1379" s="30">
        <v>45886</v>
      </c>
      <c r="B1379" s="28" t="s">
        <v>1715</v>
      </c>
      <c r="C1379" s="28">
        <v>57</v>
      </c>
      <c r="D1379" s="28" t="str">
        <f>_xlfn.XLOOKUP(B1379,'Payee Ref'!A:A,'Payee Ref'!B:B,"unassigned",0,1)</f>
        <v>Dining</v>
      </c>
      <c r="E1379" s="29" t="str">
        <f>_xlfn.XLOOKUP(B1379,'Payee Ref'!A:A,'Payee Ref'!C:C,"unassigned",0,1)</f>
        <v>Luxury</v>
      </c>
      <c r="F1379" s="28" t="s">
        <v>2207</v>
      </c>
    </row>
    <row r="1380" spans="1:6" x14ac:dyDescent="0.2">
      <c r="A1380" s="30">
        <v>45920</v>
      </c>
      <c r="B1380" s="28" t="s">
        <v>1637</v>
      </c>
      <c r="C1380" s="28">
        <v>57.39</v>
      </c>
      <c r="D1380" s="28" t="str">
        <f>_xlfn.XLOOKUP(B1380,'Payee Ref'!A:A,'Payee Ref'!B:B,"unassigned",0,1)</f>
        <v>Travel</v>
      </c>
      <c r="E1380" s="29" t="str">
        <f>_xlfn.XLOOKUP(B1380,'Payee Ref'!A:A,'Payee Ref'!C:C,"unassigned",0,1)</f>
        <v>Luxury</v>
      </c>
      <c r="F1380" s="28" t="s">
        <v>2207</v>
      </c>
    </row>
    <row r="1381" spans="1:6" x14ac:dyDescent="0.2">
      <c r="A1381" s="30">
        <v>45682</v>
      </c>
      <c r="B1381" s="31" t="s">
        <v>2153</v>
      </c>
      <c r="C1381" s="28">
        <v>57.42</v>
      </c>
      <c r="D1381" s="28" t="str">
        <f>_xlfn.XLOOKUP(B1381,'Payee Ref'!A:A,'Payee Ref'!B:B,"unassigned",0,1)</f>
        <v>Travel</v>
      </c>
      <c r="E1381" s="29" t="str">
        <f>_xlfn.XLOOKUP(B1381,'Payee Ref'!A:A,'Payee Ref'!C:C,"unassigned",0,1)</f>
        <v>Luxury</v>
      </c>
      <c r="F1381" s="28" t="s">
        <v>2207</v>
      </c>
    </row>
    <row r="1382" spans="1:6" x14ac:dyDescent="0.2">
      <c r="A1382" s="30">
        <v>45790</v>
      </c>
      <c r="B1382" s="28" t="s">
        <v>1999</v>
      </c>
      <c r="C1382" s="28">
        <v>57.46</v>
      </c>
      <c r="D1382" s="28" t="str">
        <f>_xlfn.XLOOKUP(B1382,'Payee Ref'!A:A,'Payee Ref'!B:B,"unassigned",0,1)</f>
        <v>Clothing</v>
      </c>
      <c r="E1382" s="29" t="str">
        <f>_xlfn.XLOOKUP(B1382,'Payee Ref'!A:A,'Payee Ref'!C:C,"unassigned",0,1)</f>
        <v>Luxury</v>
      </c>
      <c r="F1382" s="28" t="s">
        <v>2207</v>
      </c>
    </row>
    <row r="1383" spans="1:6" x14ac:dyDescent="0.2">
      <c r="A1383" s="30">
        <v>45909</v>
      </c>
      <c r="B1383" s="28" t="s">
        <v>1536</v>
      </c>
      <c r="C1383" s="28">
        <v>58.53</v>
      </c>
      <c r="D1383" s="28" t="str">
        <f>_xlfn.XLOOKUP(B1383,'Payee Ref'!A:A,'Payee Ref'!B:B,"unassigned",0,1)</f>
        <v>Groceries</v>
      </c>
      <c r="E1383" s="29" t="str">
        <f>_xlfn.XLOOKUP(B1383,'Payee Ref'!A:A,'Payee Ref'!C:C,"unassigned",0,1)</f>
        <v>Basic</v>
      </c>
      <c r="F1383" s="28" t="s">
        <v>2207</v>
      </c>
    </row>
    <row r="1384" spans="1:6" x14ac:dyDescent="0.2">
      <c r="A1384" s="30">
        <v>45975</v>
      </c>
      <c r="B1384" s="31" t="s">
        <v>471</v>
      </c>
      <c r="C1384" s="28">
        <v>58.96</v>
      </c>
      <c r="D1384" s="28" t="str">
        <f>_xlfn.XLOOKUP(B1384,'Payee Ref'!A:A,'Payee Ref'!B:B,"unassigned",0,1)</f>
        <v>Enrichment</v>
      </c>
      <c r="E1384" s="29" t="str">
        <f>_xlfn.XLOOKUP(B1384,'Payee Ref'!A:A,'Payee Ref'!C:C,"unassigned",0,1)</f>
        <v>Luxury</v>
      </c>
      <c r="F1384" s="28" t="s">
        <v>2207</v>
      </c>
    </row>
    <row r="1385" spans="1:6" x14ac:dyDescent="0.2">
      <c r="A1385" s="30">
        <v>45902</v>
      </c>
      <c r="B1385" s="28" t="s">
        <v>1607</v>
      </c>
      <c r="C1385" s="28">
        <v>59.17</v>
      </c>
      <c r="D1385" s="28" t="str">
        <f>_xlfn.XLOOKUP(B1385,'Payee Ref'!A:A,'Payee Ref'!B:B,"unassigned",0,1)</f>
        <v>Dining</v>
      </c>
      <c r="E1385" s="29" t="str">
        <f>_xlfn.XLOOKUP(B1385,'Payee Ref'!A:A,'Payee Ref'!C:C,"unassigned",0,1)</f>
        <v>Luxury</v>
      </c>
      <c r="F1385" s="28" t="s">
        <v>2207</v>
      </c>
    </row>
    <row r="1386" spans="1:6" x14ac:dyDescent="0.2">
      <c r="A1386" s="30">
        <v>45987</v>
      </c>
      <c r="B1386" s="28" t="s">
        <v>1527</v>
      </c>
      <c r="C1386" s="28">
        <v>59.17</v>
      </c>
      <c r="D1386" s="28">
        <f>_xlfn.XLOOKUP(B1386,'Payee Ref'!A:A,'Payee Ref'!B:B,"unassigned",0,1)</f>
        <v>0</v>
      </c>
      <c r="E1386" s="29">
        <f>_xlfn.XLOOKUP(B1386,'Payee Ref'!A:A,'Payee Ref'!C:C,"unassigned",0,1)</f>
        <v>0</v>
      </c>
      <c r="F1386" s="28" t="s">
        <v>2207</v>
      </c>
    </row>
    <row r="1387" spans="1:6" x14ac:dyDescent="0.2">
      <c r="A1387" s="30">
        <v>45868</v>
      </c>
      <c r="B1387" s="28" t="s">
        <v>1776</v>
      </c>
      <c r="C1387" s="28">
        <v>59.41</v>
      </c>
      <c r="D1387" s="28" t="str">
        <f>_xlfn.XLOOKUP(B1387,'Payee Ref'!A:A,'Payee Ref'!B:B,"unassigned",0,1)</f>
        <v>Travel</v>
      </c>
      <c r="E1387" s="29" t="str">
        <f>_xlfn.XLOOKUP(B1387,'Payee Ref'!A:A,'Payee Ref'!C:C,"unassigned",0,1)</f>
        <v>Luxury</v>
      </c>
      <c r="F1387" s="28" t="s">
        <v>2207</v>
      </c>
    </row>
    <row r="1388" spans="1:6" x14ac:dyDescent="0.2">
      <c r="A1388" s="30">
        <v>45659</v>
      </c>
      <c r="B1388" s="32" t="s">
        <v>2198</v>
      </c>
      <c r="C1388" s="28">
        <v>59.53</v>
      </c>
      <c r="D1388" s="28" t="str">
        <f>_xlfn.XLOOKUP(B1388,'Payee Ref'!A:A,'Payee Ref'!B:B,"unassigned",0,1)</f>
        <v>Home &amp; Garden</v>
      </c>
      <c r="E1388" s="29" t="str">
        <f>_xlfn.XLOOKUP(B1388,'Payee Ref'!A:A,'Payee Ref'!C:C,"unassigned",0,1)</f>
        <v>Basic</v>
      </c>
      <c r="F1388" s="28" t="s">
        <v>2207</v>
      </c>
    </row>
    <row r="1389" spans="1:6" x14ac:dyDescent="0.2">
      <c r="A1389" s="30">
        <v>45663</v>
      </c>
      <c r="B1389" s="28" t="s">
        <v>2179</v>
      </c>
      <c r="C1389" s="28">
        <v>59.57</v>
      </c>
      <c r="D1389" s="28" t="str">
        <f>_xlfn.XLOOKUP(B1389,'Payee Ref'!A:A,'Payee Ref'!B:B,"unassigned",0,1)</f>
        <v>Home &amp; Garden</v>
      </c>
      <c r="E1389" s="29" t="str">
        <f>_xlfn.XLOOKUP(B1389,'Payee Ref'!A:A,'Payee Ref'!C:C,"unassigned",0,1)</f>
        <v>Basic</v>
      </c>
      <c r="F1389" s="28" t="s">
        <v>2207</v>
      </c>
    </row>
    <row r="1390" spans="1:6" x14ac:dyDescent="0.2">
      <c r="A1390" s="30">
        <v>45897</v>
      </c>
      <c r="B1390" s="28" t="s">
        <v>1529</v>
      </c>
      <c r="C1390" s="28">
        <v>59.69</v>
      </c>
      <c r="D1390" s="28" t="str">
        <f>_xlfn.XLOOKUP(B1390,'Payee Ref'!A:A,'Payee Ref'!B:B,"unassigned",0,1)</f>
        <v>Dining</v>
      </c>
      <c r="E1390" s="29" t="str">
        <f>_xlfn.XLOOKUP(B1390,'Payee Ref'!A:A,'Payee Ref'!C:C,"unassigned",0,1)</f>
        <v>Luxury</v>
      </c>
      <c r="F1390" s="28" t="s">
        <v>2207</v>
      </c>
    </row>
    <row r="1391" spans="1:6" x14ac:dyDescent="0.2">
      <c r="A1391" s="30">
        <v>45836</v>
      </c>
      <c r="B1391" s="28" t="s">
        <v>1877</v>
      </c>
      <c r="C1391" s="28">
        <v>59.83</v>
      </c>
      <c r="D1391" s="28" t="str">
        <f>_xlfn.XLOOKUP(B1391,'Payee Ref'!A:A,'Payee Ref'!B:B,"unassigned",0,1)</f>
        <v>Travel</v>
      </c>
      <c r="E1391" s="29" t="str">
        <f>_xlfn.XLOOKUP(B1391,'Payee Ref'!A:A,'Payee Ref'!C:C,"unassigned",0,1)</f>
        <v>Luxury</v>
      </c>
      <c r="F1391" s="28" t="s">
        <v>2207</v>
      </c>
    </row>
    <row r="1392" spans="1:6" x14ac:dyDescent="0.2">
      <c r="A1392" s="30">
        <v>45889</v>
      </c>
      <c r="B1392" s="28" t="s">
        <v>1603</v>
      </c>
      <c r="C1392" s="28">
        <v>59.91</v>
      </c>
      <c r="D1392" s="28" t="str">
        <f>_xlfn.XLOOKUP(B1392,'Payee Ref'!A:A,'Payee Ref'!B:B,"unassigned",0,1)</f>
        <v>Auto</v>
      </c>
      <c r="E1392" s="29" t="str">
        <f>_xlfn.XLOOKUP(B1392,'Payee Ref'!A:A,'Payee Ref'!C:C,"unassigned",0,1)</f>
        <v>Basic</v>
      </c>
      <c r="F1392" s="28" t="s">
        <v>2207</v>
      </c>
    </row>
    <row r="1393" spans="1:6" x14ac:dyDescent="0.2">
      <c r="A1393" s="30">
        <v>45974</v>
      </c>
      <c r="B1393" s="28" t="s">
        <v>46</v>
      </c>
      <c r="C1393" s="28">
        <v>60</v>
      </c>
      <c r="D1393" s="28" t="str">
        <f>_xlfn.XLOOKUP(B1393,'Payee Ref'!A:A,'Payee Ref'!B:B,"unassigned",0,1)</f>
        <v>Auto</v>
      </c>
      <c r="E1393" s="29" t="str">
        <f>_xlfn.XLOOKUP(B1393,'Payee Ref'!A:A,'Payee Ref'!C:C,"unassigned",0,1)</f>
        <v>Basic</v>
      </c>
      <c r="F1393" s="28" t="s">
        <v>2207</v>
      </c>
    </row>
    <row r="1394" spans="1:6" x14ac:dyDescent="0.2">
      <c r="A1394" s="30">
        <v>45748</v>
      </c>
      <c r="B1394" s="28" t="s">
        <v>1582</v>
      </c>
      <c r="C1394" s="28">
        <v>60</v>
      </c>
      <c r="D1394" s="28" t="str">
        <f>_xlfn.XLOOKUP(B1394,'Payee Ref'!A:A,'Payee Ref'!B:B,"unassigned",0,1)</f>
        <v>Boat</v>
      </c>
      <c r="E1394" s="29" t="str">
        <f>_xlfn.XLOOKUP(B1394,'Payee Ref'!A:A,'Payee Ref'!C:C,"unassigned",0,1)</f>
        <v>Luxury</v>
      </c>
      <c r="F1394" s="28" t="s">
        <v>2207</v>
      </c>
    </row>
    <row r="1395" spans="1:6" x14ac:dyDescent="0.2">
      <c r="A1395" s="30">
        <v>45719</v>
      </c>
      <c r="B1395" s="28" t="s">
        <v>1582</v>
      </c>
      <c r="C1395" s="28">
        <v>60</v>
      </c>
      <c r="D1395" s="28" t="str">
        <f>_xlfn.XLOOKUP(B1395,'Payee Ref'!A:A,'Payee Ref'!B:B,"unassigned",0,1)</f>
        <v>Boat</v>
      </c>
      <c r="E1395" s="29" t="str">
        <f>_xlfn.XLOOKUP(B1395,'Payee Ref'!A:A,'Payee Ref'!C:C,"unassigned",0,1)</f>
        <v>Luxury</v>
      </c>
      <c r="F1395" s="28" t="s">
        <v>2207</v>
      </c>
    </row>
    <row r="1396" spans="1:6" x14ac:dyDescent="0.2">
      <c r="A1396" s="30">
        <v>45694</v>
      </c>
      <c r="B1396" s="28" t="s">
        <v>1582</v>
      </c>
      <c r="C1396" s="28">
        <v>60</v>
      </c>
      <c r="D1396" s="28" t="str">
        <f>_xlfn.XLOOKUP(B1396,'Payee Ref'!A:A,'Payee Ref'!B:B,"unassigned",0,1)</f>
        <v>Boat</v>
      </c>
      <c r="E1396" s="29" t="str">
        <f>_xlfn.XLOOKUP(B1396,'Payee Ref'!A:A,'Payee Ref'!C:C,"unassigned",0,1)</f>
        <v>Luxury</v>
      </c>
      <c r="F1396" s="28" t="s">
        <v>2207</v>
      </c>
    </row>
    <row r="1397" spans="1:6" x14ac:dyDescent="0.2">
      <c r="A1397" s="30">
        <v>45663</v>
      </c>
      <c r="B1397" s="28" t="s">
        <v>1582</v>
      </c>
      <c r="C1397" s="28">
        <v>60</v>
      </c>
      <c r="D1397" s="28" t="str">
        <f>_xlfn.XLOOKUP(B1397,'Payee Ref'!A:A,'Payee Ref'!B:B,"unassigned",0,1)</f>
        <v>Boat</v>
      </c>
      <c r="E1397" s="29" t="str">
        <f>_xlfn.XLOOKUP(B1397,'Payee Ref'!A:A,'Payee Ref'!C:C,"unassigned",0,1)</f>
        <v>Luxury</v>
      </c>
      <c r="F1397" s="28" t="s">
        <v>2207</v>
      </c>
    </row>
    <row r="1398" spans="1:6" x14ac:dyDescent="0.2">
      <c r="A1398" s="30">
        <v>45870</v>
      </c>
      <c r="B1398" s="28" t="s">
        <v>1760</v>
      </c>
      <c r="C1398" s="28">
        <v>60</v>
      </c>
      <c r="D1398" s="28" t="str">
        <f>_xlfn.XLOOKUP(B1398,'Payee Ref'!A:A,'Payee Ref'!B:B,"unassigned",0,1)</f>
        <v>Auto</v>
      </c>
      <c r="E1398" s="29" t="str">
        <f>_xlfn.XLOOKUP(B1398,'Payee Ref'!A:A,'Payee Ref'!C:C,"unassigned",0,1)</f>
        <v>Basic</v>
      </c>
      <c r="F1398" s="28" t="s">
        <v>2207</v>
      </c>
    </row>
    <row r="1399" spans="1:6" x14ac:dyDescent="0.2">
      <c r="A1399" s="30">
        <v>45857</v>
      </c>
      <c r="B1399" s="28" t="s">
        <v>1536</v>
      </c>
      <c r="C1399" s="28">
        <v>60.07</v>
      </c>
      <c r="D1399" s="28" t="str">
        <f>_xlfn.XLOOKUP(B1399,'Payee Ref'!A:A,'Payee Ref'!B:B,"unassigned",0,1)</f>
        <v>Groceries</v>
      </c>
      <c r="E1399" s="29" t="str">
        <f>_xlfn.XLOOKUP(B1399,'Payee Ref'!A:A,'Payee Ref'!C:C,"unassigned",0,1)</f>
        <v>Basic</v>
      </c>
      <c r="F1399" s="28" t="s">
        <v>2207</v>
      </c>
    </row>
    <row r="1400" spans="1:6" x14ac:dyDescent="0.2">
      <c r="A1400" s="30">
        <v>45897</v>
      </c>
      <c r="B1400" s="28" t="s">
        <v>1603</v>
      </c>
      <c r="C1400" s="28">
        <v>60.13</v>
      </c>
      <c r="D1400" s="28" t="str">
        <f>_xlfn.XLOOKUP(B1400,'Payee Ref'!A:A,'Payee Ref'!B:B,"unassigned",0,1)</f>
        <v>Auto</v>
      </c>
      <c r="E1400" s="29" t="str">
        <f>_xlfn.XLOOKUP(B1400,'Payee Ref'!A:A,'Payee Ref'!C:C,"unassigned",0,1)</f>
        <v>Basic</v>
      </c>
      <c r="F1400" s="28" t="s">
        <v>2207</v>
      </c>
    </row>
    <row r="1401" spans="1:6" x14ac:dyDescent="0.2">
      <c r="A1401" s="30">
        <v>45821</v>
      </c>
      <c r="B1401" s="28" t="s">
        <v>1946</v>
      </c>
      <c r="C1401" s="28">
        <v>60.13</v>
      </c>
      <c r="D1401" s="28" t="str">
        <f>_xlfn.XLOOKUP(B1401,'Payee Ref'!A:A,'Payee Ref'!B:B,"unassigned",0,1)</f>
        <v>Dining</v>
      </c>
      <c r="E1401" s="29" t="str">
        <f>_xlfn.XLOOKUP(B1401,'Payee Ref'!A:A,'Payee Ref'!C:C,"unassigned",0,1)</f>
        <v>Luxury</v>
      </c>
      <c r="F1401" s="28" t="s">
        <v>2207</v>
      </c>
    </row>
    <row r="1402" spans="1:6" x14ac:dyDescent="0.2">
      <c r="A1402" s="30">
        <v>45915</v>
      </c>
      <c r="B1402" s="28" t="s">
        <v>1562</v>
      </c>
      <c r="C1402" s="28">
        <v>60.18</v>
      </c>
      <c r="D1402" s="28" t="str">
        <f>_xlfn.XLOOKUP(B1402,'Payee Ref'!A:A,'Payee Ref'!B:B,"unassigned",0,1)</f>
        <v>Dining</v>
      </c>
      <c r="E1402" s="29" t="str">
        <f>_xlfn.XLOOKUP(B1402,'Payee Ref'!A:A,'Payee Ref'!C:C,"unassigned",0,1)</f>
        <v>Luxury</v>
      </c>
      <c r="F1402" s="28" t="s">
        <v>2207</v>
      </c>
    </row>
    <row r="1403" spans="1:6" x14ac:dyDescent="0.2">
      <c r="A1403" s="30">
        <v>45862</v>
      </c>
      <c r="B1403" s="28" t="s">
        <v>1804</v>
      </c>
      <c r="C1403" s="28">
        <v>60.24</v>
      </c>
      <c r="D1403" s="28" t="str">
        <f>_xlfn.XLOOKUP(B1403,'Payee Ref'!A:A,'Payee Ref'!B:B,"unassigned",0,1)</f>
        <v>Travel</v>
      </c>
      <c r="E1403" s="29" t="str">
        <f>_xlfn.XLOOKUP(B1403,'Payee Ref'!A:A,'Payee Ref'!C:C,"unassigned",0,1)</f>
        <v>Luxury</v>
      </c>
      <c r="F1403" s="28" t="s">
        <v>2207</v>
      </c>
    </row>
    <row r="1404" spans="1:6" x14ac:dyDescent="0.2">
      <c r="A1404" s="30">
        <v>45910</v>
      </c>
      <c r="B1404" s="28" t="s">
        <v>1655</v>
      </c>
      <c r="C1404" s="28">
        <v>60.6</v>
      </c>
      <c r="D1404" s="28" t="str">
        <f>_xlfn.XLOOKUP(B1404,'Payee Ref'!A:A,'Payee Ref'!B:B,"unassigned",0,1)</f>
        <v>Dining</v>
      </c>
      <c r="E1404" s="29" t="str">
        <f>_xlfn.XLOOKUP(B1404,'Payee Ref'!A:A,'Payee Ref'!C:C,"unassigned",0,1)</f>
        <v>Luxury</v>
      </c>
      <c r="F1404" s="28" t="s">
        <v>2207</v>
      </c>
    </row>
    <row r="1405" spans="1:6" x14ac:dyDescent="0.2">
      <c r="A1405" s="30">
        <v>45858</v>
      </c>
      <c r="B1405" s="28" t="s">
        <v>1656</v>
      </c>
      <c r="C1405" s="28">
        <v>60.66</v>
      </c>
      <c r="D1405" s="28" t="str">
        <f>_xlfn.XLOOKUP(B1405,'Payee Ref'!A:A,'Payee Ref'!B:B,"unassigned",0,1)</f>
        <v>Home &amp; Garden</v>
      </c>
      <c r="E1405" s="29" t="str">
        <f>_xlfn.XLOOKUP(B1405,'Payee Ref'!A:A,'Payee Ref'!C:C,"unassigned",0,1)</f>
        <v>Basic</v>
      </c>
      <c r="F1405" s="28" t="s">
        <v>2207</v>
      </c>
    </row>
    <row r="1406" spans="1:6" x14ac:dyDescent="0.2">
      <c r="A1406" s="30">
        <v>45762</v>
      </c>
      <c r="B1406" s="28" t="s">
        <v>1600</v>
      </c>
      <c r="C1406" s="28">
        <v>60.68</v>
      </c>
      <c r="D1406" s="28" t="str">
        <f>_xlfn.XLOOKUP(B1406,'Payee Ref'!A:A,'Payee Ref'!B:B,"unassigned",0,1)</f>
        <v>Pets</v>
      </c>
      <c r="E1406" s="29" t="str">
        <f>_xlfn.XLOOKUP(B1406,'Payee Ref'!A:A,'Payee Ref'!C:C,"unassigned",0,1)</f>
        <v>Luxury</v>
      </c>
      <c r="F1406" s="28" t="s">
        <v>2207</v>
      </c>
    </row>
    <row r="1407" spans="1:6" x14ac:dyDescent="0.2">
      <c r="A1407" s="30">
        <v>45891</v>
      </c>
      <c r="B1407" s="31" t="s">
        <v>1699</v>
      </c>
      <c r="C1407" s="28">
        <v>60.69</v>
      </c>
      <c r="D1407" s="28" t="str">
        <f>_xlfn.XLOOKUP(B1407,'Payee Ref'!A:A,'Payee Ref'!B:B,"unassigned",0,1)</f>
        <v>Travel</v>
      </c>
      <c r="E1407" s="29" t="str">
        <f>_xlfn.XLOOKUP(B1407,'Payee Ref'!A:A,'Payee Ref'!C:C,"unassigned",0,1)</f>
        <v>Luxury</v>
      </c>
      <c r="F1407" s="28" t="s">
        <v>2207</v>
      </c>
    </row>
    <row r="1408" spans="1:6" x14ac:dyDescent="0.2">
      <c r="A1408" s="30">
        <v>45758</v>
      </c>
      <c r="B1408" s="28" t="s">
        <v>1574</v>
      </c>
      <c r="C1408" s="28">
        <v>61.52</v>
      </c>
      <c r="D1408" s="28" t="str">
        <f>_xlfn.XLOOKUP(B1408,'Payee Ref'!A:A,'Payee Ref'!B:B,"unassigned",0,1)</f>
        <v>Groceries</v>
      </c>
      <c r="E1408" s="29" t="str">
        <f>_xlfn.XLOOKUP(B1408,'Payee Ref'!A:A,'Payee Ref'!C:C,"unassigned",0,1)</f>
        <v>Basic</v>
      </c>
      <c r="F1408" s="28" t="s">
        <v>2207</v>
      </c>
    </row>
    <row r="1409" spans="1:6" x14ac:dyDescent="0.2">
      <c r="A1409" s="30">
        <v>45835</v>
      </c>
      <c r="B1409" s="28" t="s">
        <v>1891</v>
      </c>
      <c r="C1409" s="28">
        <v>61.78</v>
      </c>
      <c r="D1409" s="28" t="str">
        <f>_xlfn.XLOOKUP(B1409,'Payee Ref'!A:A,'Payee Ref'!B:B,"unassigned",0,1)</f>
        <v>Travel</v>
      </c>
      <c r="E1409" s="29" t="str">
        <f>_xlfn.XLOOKUP(B1409,'Payee Ref'!A:A,'Payee Ref'!C:C,"unassigned",0,1)</f>
        <v>Luxury</v>
      </c>
      <c r="F1409" s="28" t="s">
        <v>2207</v>
      </c>
    </row>
    <row r="1410" spans="1:6" x14ac:dyDescent="0.2">
      <c r="A1410" s="30">
        <v>45839</v>
      </c>
      <c r="B1410" s="28" t="s">
        <v>489</v>
      </c>
      <c r="C1410" s="28">
        <v>61.8</v>
      </c>
      <c r="D1410" s="28" t="str">
        <f>_xlfn.XLOOKUP(B1410,'Payee Ref'!A:A,'Payee Ref'!B:B,"unassigned",0,1)</f>
        <v>Enrichment</v>
      </c>
      <c r="E1410" s="29" t="str">
        <f>_xlfn.XLOOKUP(B1410,'Payee Ref'!A:A,'Payee Ref'!C:C,"unassigned",0,1)</f>
        <v>Luxury</v>
      </c>
      <c r="F1410" s="28" t="s">
        <v>2207</v>
      </c>
    </row>
    <row r="1411" spans="1:6" x14ac:dyDescent="0.2">
      <c r="A1411" s="30">
        <v>45937</v>
      </c>
      <c r="B1411" s="28" t="s">
        <v>570</v>
      </c>
      <c r="C1411" s="28">
        <v>62.48</v>
      </c>
      <c r="D1411" s="28" t="str">
        <f>_xlfn.XLOOKUP(B1411,'Payee Ref'!A:A,'Payee Ref'!B:B,"unassigned",0,1)</f>
        <v>Groceries</v>
      </c>
      <c r="E1411" s="29" t="str">
        <f>_xlfn.XLOOKUP(B1411,'Payee Ref'!A:A,'Payee Ref'!C:C,"unassigned",0,1)</f>
        <v>Basic</v>
      </c>
      <c r="F1411" s="28" t="s">
        <v>2207</v>
      </c>
    </row>
    <row r="1412" spans="1:6" x14ac:dyDescent="0.2">
      <c r="A1412" s="30">
        <v>45732</v>
      </c>
      <c r="B1412" s="28" t="s">
        <v>1603</v>
      </c>
      <c r="C1412" s="28">
        <v>63.26</v>
      </c>
      <c r="D1412" s="28" t="str">
        <f>_xlfn.XLOOKUP(B1412,'Payee Ref'!A:A,'Payee Ref'!B:B,"unassigned",0,1)</f>
        <v>Auto</v>
      </c>
      <c r="E1412" s="29" t="str">
        <f>_xlfn.XLOOKUP(B1412,'Payee Ref'!A:A,'Payee Ref'!C:C,"unassigned",0,1)</f>
        <v>Basic</v>
      </c>
      <c r="F1412" s="28" t="s">
        <v>2207</v>
      </c>
    </row>
    <row r="1413" spans="1:6" x14ac:dyDescent="0.2">
      <c r="A1413" s="30">
        <v>45895</v>
      </c>
      <c r="B1413" s="28" t="s">
        <v>1562</v>
      </c>
      <c r="C1413" s="28">
        <v>63.32</v>
      </c>
      <c r="D1413" s="28" t="str">
        <f>_xlfn.XLOOKUP(B1413,'Payee Ref'!A:A,'Payee Ref'!B:B,"unassigned",0,1)</f>
        <v>Dining</v>
      </c>
      <c r="E1413" s="29" t="str">
        <f>_xlfn.XLOOKUP(B1413,'Payee Ref'!A:A,'Payee Ref'!C:C,"unassigned",0,1)</f>
        <v>Luxury</v>
      </c>
      <c r="F1413" s="28" t="s">
        <v>2207</v>
      </c>
    </row>
    <row r="1414" spans="1:6" x14ac:dyDescent="0.2">
      <c r="A1414" s="30">
        <v>45705</v>
      </c>
      <c r="B1414" s="28" t="s">
        <v>2117</v>
      </c>
      <c r="C1414" s="28">
        <v>63.76</v>
      </c>
      <c r="D1414" s="28" t="str">
        <f>_xlfn.XLOOKUP(B1414,'Payee Ref'!A:A,'Payee Ref'!B:B,"unassigned",0,1)</f>
        <v>Groceries</v>
      </c>
      <c r="E1414" s="29" t="str">
        <f>_xlfn.XLOOKUP(B1414,'Payee Ref'!A:A,'Payee Ref'!C:C,"unassigned",0,1)</f>
        <v>Basic</v>
      </c>
      <c r="F1414" s="28" t="s">
        <v>2207</v>
      </c>
    </row>
    <row r="1415" spans="1:6" x14ac:dyDescent="0.2">
      <c r="A1415" s="30">
        <v>45796</v>
      </c>
      <c r="B1415" s="28" t="s">
        <v>1536</v>
      </c>
      <c r="C1415" s="28">
        <v>64.290000000000006</v>
      </c>
      <c r="D1415" s="28" t="str">
        <f>_xlfn.XLOOKUP(B1415,'Payee Ref'!A:A,'Payee Ref'!B:B,"unassigned",0,1)</f>
        <v>Groceries</v>
      </c>
      <c r="E1415" s="29" t="str">
        <f>_xlfn.XLOOKUP(B1415,'Payee Ref'!A:A,'Payee Ref'!C:C,"unassigned",0,1)</f>
        <v>Basic</v>
      </c>
      <c r="F1415" s="28" t="s">
        <v>2207</v>
      </c>
    </row>
    <row r="1416" spans="1:6" x14ac:dyDescent="0.2">
      <c r="A1416" s="30">
        <v>45788</v>
      </c>
      <c r="B1416" s="28" t="s">
        <v>2002</v>
      </c>
      <c r="C1416" s="28">
        <v>64.42</v>
      </c>
      <c r="D1416" s="28" t="str">
        <f>_xlfn.XLOOKUP(B1416,'Payee Ref'!A:A,'Payee Ref'!B:B,"unassigned",0,1)</f>
        <v>Groceries</v>
      </c>
      <c r="E1416" s="29" t="str">
        <f>_xlfn.XLOOKUP(B1416,'Payee Ref'!A:A,'Payee Ref'!C:C,"unassigned",0,1)</f>
        <v>Basic</v>
      </c>
      <c r="F1416" s="28" t="s">
        <v>2207</v>
      </c>
    </row>
    <row r="1417" spans="1:6" x14ac:dyDescent="0.2">
      <c r="A1417" s="30">
        <v>45882</v>
      </c>
      <c r="B1417" s="28" t="s">
        <v>1731</v>
      </c>
      <c r="C1417" s="28">
        <v>64.959999999999994</v>
      </c>
      <c r="D1417" s="28" t="str">
        <f>_xlfn.XLOOKUP(B1417,'Payee Ref'!A:A,'Payee Ref'!B:B,"unassigned",0,1)</f>
        <v>Auto</v>
      </c>
      <c r="E1417" s="29" t="str">
        <f>_xlfn.XLOOKUP(B1417,'Payee Ref'!A:A,'Payee Ref'!C:C,"unassigned",0,1)</f>
        <v>Basic</v>
      </c>
      <c r="F1417" s="28" t="s">
        <v>2207</v>
      </c>
    </row>
    <row r="1418" spans="1:6" x14ac:dyDescent="0.2">
      <c r="A1418" s="30">
        <v>45724</v>
      </c>
      <c r="B1418" s="28" t="s">
        <v>2096</v>
      </c>
      <c r="C1418" s="28">
        <v>64.97</v>
      </c>
      <c r="D1418" s="28" t="str">
        <f>_xlfn.XLOOKUP(B1418,'Payee Ref'!A:A,'Payee Ref'!B:B,"unassigned",0,1)</f>
        <v>Auto</v>
      </c>
      <c r="E1418" s="29" t="str">
        <f>_xlfn.XLOOKUP(B1418,'Payee Ref'!A:A,'Payee Ref'!C:C,"unassigned",0,1)</f>
        <v>Basic</v>
      </c>
      <c r="F1418" s="28" t="s">
        <v>2207</v>
      </c>
    </row>
    <row r="1419" spans="1:6" x14ac:dyDescent="0.2">
      <c r="A1419" s="30">
        <v>45911</v>
      </c>
      <c r="B1419" s="28" t="s">
        <v>1652</v>
      </c>
      <c r="C1419" s="28">
        <v>65.010000000000005</v>
      </c>
      <c r="D1419" s="28" t="str">
        <f>_xlfn.XLOOKUP(B1419,'Payee Ref'!A:A,'Payee Ref'!B:B,"unassigned",0,1)</f>
        <v>Groceries</v>
      </c>
      <c r="E1419" s="29" t="str">
        <f>_xlfn.XLOOKUP(B1419,'Payee Ref'!A:A,'Payee Ref'!C:C,"unassigned",0,1)</f>
        <v>Basic</v>
      </c>
      <c r="F1419" s="28" t="s">
        <v>2207</v>
      </c>
    </row>
    <row r="1420" spans="1:6" x14ac:dyDescent="0.2">
      <c r="A1420" s="30">
        <v>45664</v>
      </c>
      <c r="B1420" s="28" t="s">
        <v>2178</v>
      </c>
      <c r="C1420" s="28">
        <v>65.099999999999994</v>
      </c>
      <c r="D1420" s="28" t="str">
        <f>_xlfn.XLOOKUP(B1420,'Payee Ref'!A:A,'Payee Ref'!B:B,"unassigned",0,1)</f>
        <v>Dining</v>
      </c>
      <c r="E1420" s="29" t="str">
        <f>_xlfn.XLOOKUP(B1420,'Payee Ref'!A:A,'Payee Ref'!C:C,"unassigned",0,1)</f>
        <v>Luxury</v>
      </c>
      <c r="F1420" s="28" t="s">
        <v>2207</v>
      </c>
    </row>
    <row r="1421" spans="1:6" x14ac:dyDescent="0.2">
      <c r="A1421" s="30">
        <v>45666</v>
      </c>
      <c r="B1421" s="28" t="s">
        <v>2176</v>
      </c>
      <c r="C1421" s="28">
        <v>65.11</v>
      </c>
      <c r="D1421" s="28" t="str">
        <f>_xlfn.XLOOKUP(B1421,'Payee Ref'!A:A,'Payee Ref'!B:B,"unassigned",0,1)</f>
        <v>Pets</v>
      </c>
      <c r="E1421" s="29" t="str">
        <f>_xlfn.XLOOKUP(B1421,'Payee Ref'!A:A,'Payee Ref'!C:C,"unassigned",0,1)</f>
        <v>Luxury</v>
      </c>
      <c r="F1421" s="28" t="s">
        <v>2207</v>
      </c>
    </row>
    <row r="1422" spans="1:6" x14ac:dyDescent="0.2">
      <c r="A1422" s="30">
        <v>45871</v>
      </c>
      <c r="B1422" s="28" t="s">
        <v>1536</v>
      </c>
      <c r="C1422" s="28">
        <v>65.47</v>
      </c>
      <c r="D1422" s="28" t="str">
        <f>_xlfn.XLOOKUP(B1422,'Payee Ref'!A:A,'Payee Ref'!B:B,"unassigned",0,1)</f>
        <v>Groceries</v>
      </c>
      <c r="E1422" s="29" t="str">
        <f>_xlfn.XLOOKUP(B1422,'Payee Ref'!A:A,'Payee Ref'!C:C,"unassigned",0,1)</f>
        <v>Basic</v>
      </c>
      <c r="F1422" s="28" t="s">
        <v>2207</v>
      </c>
    </row>
    <row r="1423" spans="1:6" x14ac:dyDescent="0.2">
      <c r="A1423" s="30">
        <v>45931</v>
      </c>
      <c r="B1423" s="28" t="s">
        <v>1607</v>
      </c>
      <c r="C1423" s="28">
        <v>65.98</v>
      </c>
      <c r="D1423" s="28" t="str">
        <f>_xlfn.XLOOKUP(B1423,'Payee Ref'!A:A,'Payee Ref'!B:B,"unassigned",0,1)</f>
        <v>Dining</v>
      </c>
      <c r="E1423" s="29" t="str">
        <f>_xlfn.XLOOKUP(B1423,'Payee Ref'!A:A,'Payee Ref'!C:C,"unassigned",0,1)</f>
        <v>Luxury</v>
      </c>
      <c r="F1423" s="28" t="s">
        <v>2207</v>
      </c>
    </row>
    <row r="1424" spans="1:6" x14ac:dyDescent="0.2">
      <c r="A1424" s="30">
        <v>45721</v>
      </c>
      <c r="B1424" s="31" t="s">
        <v>2101</v>
      </c>
      <c r="C1424" s="28">
        <v>66.099999999999994</v>
      </c>
      <c r="D1424" s="28" t="str">
        <f>_xlfn.XLOOKUP(B1424,'Payee Ref'!A:A,'Payee Ref'!B:B,"unassigned",0,1)</f>
        <v>Home &amp; Garden</v>
      </c>
      <c r="E1424" s="29" t="str">
        <f>_xlfn.XLOOKUP(B1424,'Payee Ref'!A:A,'Payee Ref'!C:C,"unassigned",0,1)</f>
        <v>Basic</v>
      </c>
      <c r="F1424" s="28" t="s">
        <v>2207</v>
      </c>
    </row>
    <row r="1425" spans="1:6" x14ac:dyDescent="0.2">
      <c r="A1425" s="30">
        <v>45922</v>
      </c>
      <c r="B1425" s="31" t="s">
        <v>1548</v>
      </c>
      <c r="C1425" s="28">
        <v>66.150000000000006</v>
      </c>
      <c r="D1425" s="28" t="str">
        <f>_xlfn.XLOOKUP(B1425,'Payee Ref'!A:A,'Payee Ref'!B:B,"unassigned",0,1)</f>
        <v>Membership</v>
      </c>
      <c r="E1425" s="29" t="str">
        <f>_xlfn.XLOOKUP(B1425,'Payee Ref'!A:A,'Payee Ref'!C:C,"unassigned",0,1)</f>
        <v>Luxury</v>
      </c>
      <c r="F1425" s="28" t="s">
        <v>2207</v>
      </c>
    </row>
    <row r="1426" spans="1:6" x14ac:dyDescent="0.2">
      <c r="A1426" s="30">
        <v>45891</v>
      </c>
      <c r="B1426" s="31" t="s">
        <v>1548</v>
      </c>
      <c r="C1426" s="28">
        <v>66.150000000000006</v>
      </c>
      <c r="D1426" s="28" t="str">
        <f>_xlfn.XLOOKUP(B1426,'Payee Ref'!A:A,'Payee Ref'!B:B,"unassigned",0,1)</f>
        <v>Membership</v>
      </c>
      <c r="E1426" s="29" t="str">
        <f>_xlfn.XLOOKUP(B1426,'Payee Ref'!A:A,'Payee Ref'!C:C,"unassigned",0,1)</f>
        <v>Luxury</v>
      </c>
      <c r="F1426" s="28" t="s">
        <v>2207</v>
      </c>
    </row>
    <row r="1427" spans="1:6" x14ac:dyDescent="0.2">
      <c r="A1427" s="30">
        <v>45860</v>
      </c>
      <c r="B1427" s="31" t="s">
        <v>1548</v>
      </c>
      <c r="C1427" s="28">
        <v>66.150000000000006</v>
      </c>
      <c r="D1427" s="28" t="str">
        <f>_xlfn.XLOOKUP(B1427,'Payee Ref'!A:A,'Payee Ref'!B:B,"unassigned",0,1)</f>
        <v>Membership</v>
      </c>
      <c r="E1427" s="29" t="str">
        <f>_xlfn.XLOOKUP(B1427,'Payee Ref'!A:A,'Payee Ref'!C:C,"unassigned",0,1)</f>
        <v>Luxury</v>
      </c>
      <c r="F1427" s="28" t="s">
        <v>2207</v>
      </c>
    </row>
    <row r="1428" spans="1:6" x14ac:dyDescent="0.2">
      <c r="A1428" s="30">
        <v>45830</v>
      </c>
      <c r="B1428" s="31" t="s">
        <v>1548</v>
      </c>
      <c r="C1428" s="28">
        <v>66.150000000000006</v>
      </c>
      <c r="D1428" s="28" t="str">
        <f>_xlfn.XLOOKUP(B1428,'Payee Ref'!A:A,'Payee Ref'!B:B,"unassigned",0,1)</f>
        <v>Membership</v>
      </c>
      <c r="E1428" s="29" t="str">
        <f>_xlfn.XLOOKUP(B1428,'Payee Ref'!A:A,'Payee Ref'!C:C,"unassigned",0,1)</f>
        <v>Luxury</v>
      </c>
      <c r="F1428" s="28" t="s">
        <v>2207</v>
      </c>
    </row>
    <row r="1429" spans="1:6" x14ac:dyDescent="0.2">
      <c r="A1429" s="30">
        <v>45799</v>
      </c>
      <c r="B1429" s="31" t="s">
        <v>1548</v>
      </c>
      <c r="C1429" s="28">
        <v>66.150000000000006</v>
      </c>
      <c r="D1429" s="28" t="str">
        <f>_xlfn.XLOOKUP(B1429,'Payee Ref'!A:A,'Payee Ref'!B:B,"unassigned",0,1)</f>
        <v>Membership</v>
      </c>
      <c r="E1429" s="29" t="str">
        <f>_xlfn.XLOOKUP(B1429,'Payee Ref'!A:A,'Payee Ref'!C:C,"unassigned",0,1)</f>
        <v>Luxury</v>
      </c>
      <c r="F1429" s="28" t="s">
        <v>2207</v>
      </c>
    </row>
    <row r="1430" spans="1:6" x14ac:dyDescent="0.2">
      <c r="A1430" s="30">
        <v>45769</v>
      </c>
      <c r="B1430" s="31" t="s">
        <v>1548</v>
      </c>
      <c r="C1430" s="28">
        <v>66.150000000000006</v>
      </c>
      <c r="D1430" s="28" t="str">
        <f>_xlfn.XLOOKUP(B1430,'Payee Ref'!A:A,'Payee Ref'!B:B,"unassigned",0,1)</f>
        <v>Membership</v>
      </c>
      <c r="E1430" s="29" t="str">
        <f>_xlfn.XLOOKUP(B1430,'Payee Ref'!A:A,'Payee Ref'!C:C,"unassigned",0,1)</f>
        <v>Luxury</v>
      </c>
      <c r="F1430" s="28" t="s">
        <v>2207</v>
      </c>
    </row>
    <row r="1431" spans="1:6" x14ac:dyDescent="0.2">
      <c r="A1431" s="30">
        <v>45738</v>
      </c>
      <c r="B1431" s="31" t="s">
        <v>1548</v>
      </c>
      <c r="C1431" s="28">
        <v>66.150000000000006</v>
      </c>
      <c r="D1431" s="28" t="str">
        <f>_xlfn.XLOOKUP(B1431,'Payee Ref'!A:A,'Payee Ref'!B:B,"unassigned",0,1)</f>
        <v>Membership</v>
      </c>
      <c r="E1431" s="29" t="str">
        <f>_xlfn.XLOOKUP(B1431,'Payee Ref'!A:A,'Payee Ref'!C:C,"unassigned",0,1)</f>
        <v>Luxury</v>
      </c>
      <c r="F1431" s="28" t="s">
        <v>2207</v>
      </c>
    </row>
    <row r="1432" spans="1:6" x14ac:dyDescent="0.2">
      <c r="A1432" s="30">
        <v>45710</v>
      </c>
      <c r="B1432" s="31" t="s">
        <v>1548</v>
      </c>
      <c r="C1432" s="28">
        <v>66.150000000000006</v>
      </c>
      <c r="D1432" s="28" t="str">
        <f>_xlfn.XLOOKUP(B1432,'Payee Ref'!A:A,'Payee Ref'!B:B,"unassigned",0,1)</f>
        <v>Membership</v>
      </c>
      <c r="E1432" s="29" t="str">
        <f>_xlfn.XLOOKUP(B1432,'Payee Ref'!A:A,'Payee Ref'!C:C,"unassigned",0,1)</f>
        <v>Luxury</v>
      </c>
      <c r="F1432" s="28" t="s">
        <v>2207</v>
      </c>
    </row>
    <row r="1433" spans="1:6" x14ac:dyDescent="0.2">
      <c r="A1433" s="30">
        <v>45679</v>
      </c>
      <c r="B1433" s="31" t="s">
        <v>1548</v>
      </c>
      <c r="C1433" s="28">
        <v>66.150000000000006</v>
      </c>
      <c r="D1433" s="28" t="str">
        <f>_xlfn.XLOOKUP(B1433,'Payee Ref'!A:A,'Payee Ref'!B:B,"unassigned",0,1)</f>
        <v>Membership</v>
      </c>
      <c r="E1433" s="29" t="str">
        <f>_xlfn.XLOOKUP(B1433,'Payee Ref'!A:A,'Payee Ref'!C:C,"unassigned",0,1)</f>
        <v>Luxury</v>
      </c>
      <c r="F1433" s="28" t="s">
        <v>2207</v>
      </c>
    </row>
    <row r="1434" spans="1:6" x14ac:dyDescent="0.2">
      <c r="A1434" s="30">
        <v>45983</v>
      </c>
      <c r="B1434" s="31" t="s">
        <v>936</v>
      </c>
      <c r="C1434" s="28">
        <v>66.150000000000006</v>
      </c>
      <c r="D1434" s="28" t="str">
        <f>_xlfn.XLOOKUP(B1434,'Payee Ref'!A:A,'Payee Ref'!B:B,"unassigned",0,1)</f>
        <v>Subscriptions / Digital</v>
      </c>
      <c r="E1434" s="29" t="str">
        <f>_xlfn.XLOOKUP(B1434,'Payee Ref'!A:A,'Payee Ref'!C:C,"unassigned",0,1)</f>
        <v>Luxury</v>
      </c>
      <c r="F1434" s="28" t="s">
        <v>2207</v>
      </c>
    </row>
    <row r="1435" spans="1:6" x14ac:dyDescent="0.2">
      <c r="A1435" s="30">
        <v>45952</v>
      </c>
      <c r="B1435" s="31" t="s">
        <v>936</v>
      </c>
      <c r="C1435" s="28">
        <v>66.150000000000006</v>
      </c>
      <c r="D1435" s="28" t="str">
        <f>_xlfn.XLOOKUP(B1435,'Payee Ref'!A:A,'Payee Ref'!B:B,"unassigned",0,1)</f>
        <v>Subscriptions / Digital</v>
      </c>
      <c r="E1435" s="29" t="str">
        <f>_xlfn.XLOOKUP(B1435,'Payee Ref'!A:A,'Payee Ref'!C:C,"unassigned",0,1)</f>
        <v>Luxury</v>
      </c>
      <c r="F1435" s="28" t="s">
        <v>2207</v>
      </c>
    </row>
    <row r="1436" spans="1:6" x14ac:dyDescent="0.2">
      <c r="A1436" s="30">
        <v>45833</v>
      </c>
      <c r="B1436" s="28" t="s">
        <v>1901</v>
      </c>
      <c r="C1436" s="28">
        <v>66.209999999999994</v>
      </c>
      <c r="D1436" s="28" t="str">
        <f>_xlfn.XLOOKUP(B1436,'Payee Ref'!A:A,'Payee Ref'!B:B,"unassigned",0,1)</f>
        <v>Home &amp; Garden</v>
      </c>
      <c r="E1436" s="29" t="str">
        <f>_xlfn.XLOOKUP(B1436,'Payee Ref'!A:A,'Payee Ref'!C:C,"unassigned",0,1)</f>
        <v>Luxury</v>
      </c>
      <c r="F1436" s="28" t="s">
        <v>2207</v>
      </c>
    </row>
    <row r="1437" spans="1:6" x14ac:dyDescent="0.2">
      <c r="A1437" s="30">
        <v>45847</v>
      </c>
      <c r="B1437" s="28" t="s">
        <v>1845</v>
      </c>
      <c r="C1437" s="28">
        <v>67.06</v>
      </c>
      <c r="D1437" s="28" t="str">
        <f>_xlfn.XLOOKUP(B1437,'Payee Ref'!A:A,'Payee Ref'!B:B,"unassigned",0,1)</f>
        <v>Dining</v>
      </c>
      <c r="E1437" s="29" t="str">
        <f>_xlfn.XLOOKUP(B1437,'Payee Ref'!A:A,'Payee Ref'!C:C,"unassigned",0,1)</f>
        <v>Luxury</v>
      </c>
      <c r="F1437" s="28" t="s">
        <v>2207</v>
      </c>
    </row>
    <row r="1438" spans="1:6" x14ac:dyDescent="0.2">
      <c r="A1438" s="30">
        <v>45751</v>
      </c>
      <c r="B1438" s="28" t="s">
        <v>1586</v>
      </c>
      <c r="C1438" s="28">
        <v>67.180000000000007</v>
      </c>
      <c r="D1438" s="28" t="str">
        <f>_xlfn.XLOOKUP(B1438,'Payee Ref'!A:A,'Payee Ref'!B:B,"unassigned",0,1)</f>
        <v>Travel</v>
      </c>
      <c r="E1438" s="29" t="str">
        <f>_xlfn.XLOOKUP(B1438,'Payee Ref'!A:A,'Payee Ref'!C:C,"unassigned",0,1)</f>
        <v>Luxury</v>
      </c>
      <c r="F1438" s="28" t="s">
        <v>2207</v>
      </c>
    </row>
    <row r="1439" spans="1:6" x14ac:dyDescent="0.2">
      <c r="A1439" s="30">
        <v>45760</v>
      </c>
      <c r="B1439" s="28" t="s">
        <v>2006</v>
      </c>
      <c r="C1439" s="28">
        <v>67.48</v>
      </c>
      <c r="D1439" s="28" t="str">
        <f>_xlfn.XLOOKUP(B1439,'Payee Ref'!A:A,'Payee Ref'!B:B,"unassigned",0,1)</f>
        <v>Dining</v>
      </c>
      <c r="E1439" s="29" t="str">
        <f>_xlfn.XLOOKUP(B1439,'Payee Ref'!A:A,'Payee Ref'!C:C,"unassigned",0,1)</f>
        <v>Luxury</v>
      </c>
      <c r="F1439" s="28" t="s">
        <v>2207</v>
      </c>
    </row>
    <row r="1440" spans="1:6" x14ac:dyDescent="0.2">
      <c r="A1440" s="30">
        <v>45884</v>
      </c>
      <c r="B1440" s="28" t="s">
        <v>1720</v>
      </c>
      <c r="C1440" s="28">
        <v>67.680000000000007</v>
      </c>
      <c r="D1440" s="28" t="str">
        <f>_xlfn.XLOOKUP(B1440,'Payee Ref'!A:A,'Payee Ref'!B:B,"unassigned",0,1)</f>
        <v>Dining</v>
      </c>
      <c r="E1440" s="29" t="str">
        <f>_xlfn.XLOOKUP(B1440,'Payee Ref'!A:A,'Payee Ref'!C:C,"unassigned",0,1)</f>
        <v>Luxury</v>
      </c>
      <c r="F1440" s="28" t="s">
        <v>2207</v>
      </c>
    </row>
    <row r="1441" spans="1:6" x14ac:dyDescent="0.2">
      <c r="A1441" s="30">
        <v>45726</v>
      </c>
      <c r="B1441" s="28" t="s">
        <v>2089</v>
      </c>
      <c r="C1441" s="28">
        <v>68</v>
      </c>
      <c r="D1441" s="28" t="str">
        <f>_xlfn.XLOOKUP(B1441,'Payee Ref'!A:A,'Payee Ref'!B:B,"unassigned",0,1)</f>
        <v>Travel</v>
      </c>
      <c r="E1441" s="29" t="str">
        <f>_xlfn.XLOOKUP(B1441,'Payee Ref'!A:A,'Payee Ref'!C:C,"unassigned",0,1)</f>
        <v>Luxury</v>
      </c>
      <c r="F1441" s="28" t="s">
        <v>2207</v>
      </c>
    </row>
    <row r="1442" spans="1:6" x14ac:dyDescent="0.2">
      <c r="A1442" s="30">
        <v>45759</v>
      </c>
      <c r="B1442" s="28" t="s">
        <v>2038</v>
      </c>
      <c r="C1442" s="28">
        <v>68.5</v>
      </c>
      <c r="D1442" s="28" t="str">
        <f>_xlfn.XLOOKUP(B1442,'Payee Ref'!A:A,'Payee Ref'!B:B,"unassigned",0,1)</f>
        <v>Dining</v>
      </c>
      <c r="E1442" s="29" t="str">
        <f>_xlfn.XLOOKUP(B1442,'Payee Ref'!A:A,'Payee Ref'!C:C,"unassigned",0,1)</f>
        <v>Luxury</v>
      </c>
      <c r="F1442" s="28" t="s">
        <v>2207</v>
      </c>
    </row>
    <row r="1443" spans="1:6" x14ac:dyDescent="0.2">
      <c r="A1443" s="30">
        <v>45849</v>
      </c>
      <c r="B1443" s="31" t="s">
        <v>1841</v>
      </c>
      <c r="C1443" s="28">
        <v>68.83</v>
      </c>
      <c r="D1443" s="28" t="str">
        <f>_xlfn.XLOOKUP(B1443,'Payee Ref'!A:A,'Payee Ref'!B:B,"unassigned",0,1)</f>
        <v>Home &amp; Garden</v>
      </c>
      <c r="E1443" s="29" t="str">
        <f>_xlfn.XLOOKUP(B1443,'Payee Ref'!A:A,'Payee Ref'!C:C,"unassigned",0,1)</f>
        <v>Basic</v>
      </c>
      <c r="F1443" s="28" t="s">
        <v>2207</v>
      </c>
    </row>
    <row r="1444" spans="1:6" x14ac:dyDescent="0.2">
      <c r="A1444" s="30">
        <v>45675</v>
      </c>
      <c r="B1444" s="28" t="s">
        <v>1730</v>
      </c>
      <c r="C1444" s="28">
        <v>68.92</v>
      </c>
      <c r="D1444" s="28" t="str">
        <f>_xlfn.XLOOKUP(B1444,'Payee Ref'!A:A,'Payee Ref'!B:B,"unassigned",0,1)</f>
        <v>Dining</v>
      </c>
      <c r="E1444" s="29" t="str">
        <f>_xlfn.XLOOKUP(B1444,'Payee Ref'!A:A,'Payee Ref'!C:C,"unassigned",0,1)</f>
        <v>Luxury</v>
      </c>
      <c r="F1444" s="28" t="s">
        <v>2207</v>
      </c>
    </row>
    <row r="1445" spans="1:6" x14ac:dyDescent="0.2">
      <c r="A1445" s="30">
        <v>45948</v>
      </c>
      <c r="B1445" s="28" t="s">
        <v>1217</v>
      </c>
      <c r="C1445" s="28">
        <v>69.11</v>
      </c>
      <c r="D1445" s="28" t="str">
        <f>_xlfn.XLOOKUP(B1445,'Payee Ref'!A:A,'Payee Ref'!B:B,"unassigned",0,1)</f>
        <v>Personal Care</v>
      </c>
      <c r="E1445" s="29" t="str">
        <f>_xlfn.XLOOKUP(B1445,'Payee Ref'!A:A,'Payee Ref'!C:C,"unassigned",0,1)</f>
        <v>Basic</v>
      </c>
      <c r="F1445" s="28" t="s">
        <v>2207</v>
      </c>
    </row>
    <row r="1446" spans="1:6" x14ac:dyDescent="0.2">
      <c r="A1446" s="30">
        <v>45914</v>
      </c>
      <c r="B1446" s="28" t="s">
        <v>1595</v>
      </c>
      <c r="C1446" s="28">
        <v>69.11</v>
      </c>
      <c r="D1446" s="28" t="str">
        <f>_xlfn.XLOOKUP(B1446,'Payee Ref'!A:A,'Payee Ref'!B:B,"unassigned",0,1)</f>
        <v>Personal Care</v>
      </c>
      <c r="E1446" s="29" t="str">
        <f>_xlfn.XLOOKUP(B1446,'Payee Ref'!A:A,'Payee Ref'!C:C,"unassigned",0,1)</f>
        <v>Basic</v>
      </c>
      <c r="F1446" s="28" t="s">
        <v>2207</v>
      </c>
    </row>
    <row r="1447" spans="1:6" x14ac:dyDescent="0.2">
      <c r="A1447" s="30">
        <v>45810</v>
      </c>
      <c r="B1447" s="31" t="s">
        <v>1963</v>
      </c>
      <c r="C1447" s="28">
        <v>69.290000000000006</v>
      </c>
      <c r="D1447" s="28" t="str">
        <f>_xlfn.XLOOKUP(B1447,'Payee Ref'!A:A,'Payee Ref'!B:B,"unassigned",0,1)</f>
        <v>Travel</v>
      </c>
      <c r="E1447" s="29" t="str">
        <f>_xlfn.XLOOKUP(B1447,'Payee Ref'!A:A,'Payee Ref'!C:C,"unassigned",0,1)</f>
        <v>Luxury</v>
      </c>
      <c r="F1447" s="28" t="s">
        <v>2207</v>
      </c>
    </row>
    <row r="1448" spans="1:6" x14ac:dyDescent="0.2">
      <c r="A1448" s="30">
        <v>45953</v>
      </c>
      <c r="B1448" s="28" t="s">
        <v>25</v>
      </c>
      <c r="C1448" s="28">
        <v>69.62</v>
      </c>
      <c r="D1448" s="28" t="str">
        <f>_xlfn.XLOOKUP(B1448,'Payee Ref'!A:A,'Payee Ref'!B:B,"unassigned",0,1)</f>
        <v>Travel</v>
      </c>
      <c r="E1448" s="29" t="str">
        <f>_xlfn.XLOOKUP(B1448,'Payee Ref'!A:A,'Payee Ref'!C:C,"unassigned",0,1)</f>
        <v>Luxury</v>
      </c>
      <c r="F1448" s="28" t="s">
        <v>2207</v>
      </c>
    </row>
    <row r="1449" spans="1:6" x14ac:dyDescent="0.2">
      <c r="A1449" s="30">
        <v>45983</v>
      </c>
      <c r="B1449" s="28" t="s">
        <v>25</v>
      </c>
      <c r="C1449" s="28">
        <v>69.83</v>
      </c>
      <c r="D1449" s="28" t="str">
        <f>_xlfn.XLOOKUP(B1449,'Payee Ref'!A:A,'Payee Ref'!B:B,"unassigned",0,1)</f>
        <v>Travel</v>
      </c>
      <c r="E1449" s="29" t="str">
        <f>_xlfn.XLOOKUP(B1449,'Payee Ref'!A:A,'Payee Ref'!C:C,"unassigned",0,1)</f>
        <v>Luxury</v>
      </c>
      <c r="F1449" s="28" t="s">
        <v>2207</v>
      </c>
    </row>
    <row r="1450" spans="1:6" x14ac:dyDescent="0.2">
      <c r="A1450" s="30">
        <v>45768</v>
      </c>
      <c r="B1450" s="28" t="s">
        <v>2010</v>
      </c>
      <c r="C1450" s="28">
        <v>69.97</v>
      </c>
      <c r="D1450" s="28" t="str">
        <f>_xlfn.XLOOKUP(B1450,'Payee Ref'!A:A,'Payee Ref'!B:B,"unassigned",0,1)</f>
        <v>Auto</v>
      </c>
      <c r="E1450" s="29" t="str">
        <f>_xlfn.XLOOKUP(B1450,'Payee Ref'!A:A,'Payee Ref'!C:C,"unassigned",0,1)</f>
        <v>Basic</v>
      </c>
      <c r="F1450" s="28" t="s">
        <v>2207</v>
      </c>
    </row>
    <row r="1451" spans="1:6" x14ac:dyDescent="0.2">
      <c r="A1451" s="30">
        <v>45902</v>
      </c>
      <c r="B1451" s="28" t="s">
        <v>1582</v>
      </c>
      <c r="C1451" s="28">
        <v>70</v>
      </c>
      <c r="D1451" s="28" t="str">
        <f>_xlfn.XLOOKUP(B1451,'Payee Ref'!A:A,'Payee Ref'!B:B,"unassigned",0,1)</f>
        <v>Boat</v>
      </c>
      <c r="E1451" s="29" t="str">
        <f>_xlfn.XLOOKUP(B1451,'Payee Ref'!A:A,'Payee Ref'!C:C,"unassigned",0,1)</f>
        <v>Luxury</v>
      </c>
      <c r="F1451" s="28" t="s">
        <v>2207</v>
      </c>
    </row>
    <row r="1452" spans="1:6" x14ac:dyDescent="0.2">
      <c r="A1452" s="30">
        <v>45870</v>
      </c>
      <c r="B1452" s="28" t="s">
        <v>1582</v>
      </c>
      <c r="C1452" s="28">
        <v>70</v>
      </c>
      <c r="D1452" s="28" t="str">
        <f>_xlfn.XLOOKUP(B1452,'Payee Ref'!A:A,'Payee Ref'!B:B,"unassigned",0,1)</f>
        <v>Boat</v>
      </c>
      <c r="E1452" s="29" t="str">
        <f>_xlfn.XLOOKUP(B1452,'Payee Ref'!A:A,'Payee Ref'!C:C,"unassigned",0,1)</f>
        <v>Luxury</v>
      </c>
      <c r="F1452" s="28" t="s">
        <v>2207</v>
      </c>
    </row>
    <row r="1453" spans="1:6" x14ac:dyDescent="0.2">
      <c r="A1453" s="30">
        <v>45839</v>
      </c>
      <c r="B1453" s="28" t="s">
        <v>1582</v>
      </c>
      <c r="C1453" s="28">
        <v>70</v>
      </c>
      <c r="D1453" s="28" t="str">
        <f>_xlfn.XLOOKUP(B1453,'Payee Ref'!A:A,'Payee Ref'!B:B,"unassigned",0,1)</f>
        <v>Boat</v>
      </c>
      <c r="E1453" s="29" t="str">
        <f>_xlfn.XLOOKUP(B1453,'Payee Ref'!A:A,'Payee Ref'!C:C,"unassigned",0,1)</f>
        <v>Luxury</v>
      </c>
      <c r="F1453" s="28" t="s">
        <v>2207</v>
      </c>
    </row>
    <row r="1454" spans="1:6" x14ac:dyDescent="0.2">
      <c r="A1454" s="30">
        <v>45810</v>
      </c>
      <c r="B1454" s="28" t="s">
        <v>1582</v>
      </c>
      <c r="C1454" s="28">
        <v>70</v>
      </c>
      <c r="D1454" s="28" t="str">
        <f>_xlfn.XLOOKUP(B1454,'Payee Ref'!A:A,'Payee Ref'!B:B,"unassigned",0,1)</f>
        <v>Boat</v>
      </c>
      <c r="E1454" s="29" t="str">
        <f>_xlfn.XLOOKUP(B1454,'Payee Ref'!A:A,'Payee Ref'!C:C,"unassigned",0,1)</f>
        <v>Luxury</v>
      </c>
      <c r="F1454" s="28" t="s">
        <v>2207</v>
      </c>
    </row>
    <row r="1455" spans="1:6" x14ac:dyDescent="0.2">
      <c r="A1455" s="30">
        <v>45793</v>
      </c>
      <c r="B1455" s="28" t="s">
        <v>1582</v>
      </c>
      <c r="C1455" s="28">
        <v>70</v>
      </c>
      <c r="D1455" s="28" t="str">
        <f>_xlfn.XLOOKUP(B1455,'Payee Ref'!A:A,'Payee Ref'!B:B,"unassigned",0,1)</f>
        <v>Boat</v>
      </c>
      <c r="E1455" s="29" t="str">
        <f>_xlfn.XLOOKUP(B1455,'Payee Ref'!A:A,'Payee Ref'!C:C,"unassigned",0,1)</f>
        <v>Luxury</v>
      </c>
      <c r="F1455" s="28" t="s">
        <v>2207</v>
      </c>
    </row>
    <row r="1456" spans="1:6" x14ac:dyDescent="0.2">
      <c r="A1456" s="30">
        <v>45964</v>
      </c>
      <c r="B1456" s="28" t="s">
        <v>939</v>
      </c>
      <c r="C1456" s="28">
        <v>70</v>
      </c>
      <c r="D1456" s="28" t="str">
        <f>_xlfn.XLOOKUP(B1456,'Payee Ref'!A:A,'Payee Ref'!B:B,"unassigned",0,1)</f>
        <v>Syc</v>
      </c>
      <c r="E1456" s="29" t="str">
        <f>_xlfn.XLOOKUP(B1456,'Payee Ref'!A:A,'Payee Ref'!C:C,"unassigned",0,1)</f>
        <v>Luxury</v>
      </c>
      <c r="F1456" s="28" t="s">
        <v>2207</v>
      </c>
    </row>
    <row r="1457" spans="1:6" x14ac:dyDescent="0.2">
      <c r="A1457" s="30">
        <v>45932</v>
      </c>
      <c r="B1457" s="28" t="s">
        <v>939</v>
      </c>
      <c r="C1457" s="28">
        <v>70</v>
      </c>
      <c r="D1457" s="28" t="str">
        <f>_xlfn.XLOOKUP(B1457,'Payee Ref'!A:A,'Payee Ref'!B:B,"unassigned",0,1)</f>
        <v>Syc</v>
      </c>
      <c r="E1457" s="29" t="str">
        <f>_xlfn.XLOOKUP(B1457,'Payee Ref'!A:A,'Payee Ref'!C:C,"unassigned",0,1)</f>
        <v>Luxury</v>
      </c>
      <c r="F1457" s="28" t="s">
        <v>2207</v>
      </c>
    </row>
    <row r="1458" spans="1:6" x14ac:dyDescent="0.2">
      <c r="A1458" s="30">
        <v>45669</v>
      </c>
      <c r="B1458" s="28" t="s">
        <v>2171</v>
      </c>
      <c r="C1458" s="28">
        <v>70.27</v>
      </c>
      <c r="D1458" s="28" t="str">
        <f>_xlfn.XLOOKUP(B1458,'Payee Ref'!A:A,'Payee Ref'!B:B,"unassigned",0,1)</f>
        <v>Dining</v>
      </c>
      <c r="E1458" s="29" t="str">
        <f>_xlfn.XLOOKUP(B1458,'Payee Ref'!A:A,'Payee Ref'!C:C,"unassigned",0,1)</f>
        <v>Luxury</v>
      </c>
      <c r="F1458" s="28" t="s">
        <v>2207</v>
      </c>
    </row>
    <row r="1459" spans="1:6" x14ac:dyDescent="0.2">
      <c r="A1459" s="30">
        <v>45862</v>
      </c>
      <c r="B1459" s="28" t="s">
        <v>1805</v>
      </c>
      <c r="C1459" s="28">
        <v>71.290000000000006</v>
      </c>
      <c r="D1459" s="28" t="str">
        <f>_xlfn.XLOOKUP(B1459,'Payee Ref'!A:A,'Payee Ref'!B:B,"unassigned",0,1)</f>
        <v>Travel</v>
      </c>
      <c r="E1459" s="29" t="str">
        <f>_xlfn.XLOOKUP(B1459,'Payee Ref'!A:A,'Payee Ref'!C:C,"unassigned",0,1)</f>
        <v>Luxury</v>
      </c>
      <c r="F1459" s="28" t="s">
        <v>2207</v>
      </c>
    </row>
    <row r="1460" spans="1:6" x14ac:dyDescent="0.2">
      <c r="A1460" s="30">
        <v>45683</v>
      </c>
      <c r="B1460" s="28" t="s">
        <v>2149</v>
      </c>
      <c r="C1460" s="28">
        <v>71.45</v>
      </c>
      <c r="D1460" s="28" t="str">
        <f>_xlfn.XLOOKUP(B1460,'Payee Ref'!A:A,'Payee Ref'!B:B,"unassigned",0,1)</f>
        <v>Dining</v>
      </c>
      <c r="E1460" s="29" t="str">
        <f>_xlfn.XLOOKUP(B1460,'Payee Ref'!A:A,'Payee Ref'!C:C,"unassigned",0,1)</f>
        <v>Luxury</v>
      </c>
      <c r="F1460" s="28" t="s">
        <v>2207</v>
      </c>
    </row>
    <row r="1461" spans="1:6" x14ac:dyDescent="0.2">
      <c r="A1461" s="30">
        <v>45931</v>
      </c>
      <c r="B1461" s="28" t="s">
        <v>618</v>
      </c>
      <c r="C1461" s="28">
        <v>71.739999999999995</v>
      </c>
      <c r="D1461" s="28" t="str">
        <f>_xlfn.XLOOKUP(B1461,'Payee Ref'!A:A,'Payee Ref'!B:B,"unassigned",0,1)</f>
        <v>Health &amp; Medical</v>
      </c>
      <c r="E1461" s="29" t="str">
        <f>_xlfn.XLOOKUP(B1461,'Payee Ref'!A:A,'Payee Ref'!C:C,"unassigned",0,1)</f>
        <v>Luxury</v>
      </c>
      <c r="F1461" s="28" t="s">
        <v>2207</v>
      </c>
    </row>
    <row r="1462" spans="1:6" x14ac:dyDescent="0.2">
      <c r="A1462" s="30">
        <v>45690</v>
      </c>
      <c r="B1462" s="31" t="s">
        <v>2085</v>
      </c>
      <c r="C1462" s="28">
        <v>71.86</v>
      </c>
      <c r="D1462" s="28" t="str">
        <f>_xlfn.XLOOKUP(B1462,'Payee Ref'!A:A,'Payee Ref'!B:B,"unassigned",0,1)</f>
        <v>Travel</v>
      </c>
      <c r="E1462" s="29" t="str">
        <f>_xlfn.XLOOKUP(B1462,'Payee Ref'!A:A,'Payee Ref'!C:C,"unassigned",0,1)</f>
        <v>Luxury</v>
      </c>
      <c r="F1462" s="28" t="s">
        <v>2207</v>
      </c>
    </row>
    <row r="1463" spans="1:6" x14ac:dyDescent="0.2">
      <c r="A1463" s="30">
        <v>45957</v>
      </c>
      <c r="B1463" s="28" t="s">
        <v>708</v>
      </c>
      <c r="C1463" s="28">
        <v>72.27</v>
      </c>
      <c r="D1463" s="28" t="str">
        <f>_xlfn.XLOOKUP(B1463,'Payee Ref'!A:A,'Payee Ref'!B:B,"unassigned",0,1)</f>
        <v>Travel</v>
      </c>
      <c r="E1463" s="29" t="str">
        <f>_xlfn.XLOOKUP(B1463,'Payee Ref'!A:A,'Payee Ref'!C:C,"unassigned",0,1)</f>
        <v>Luxury</v>
      </c>
      <c r="F1463" s="28" t="s">
        <v>2207</v>
      </c>
    </row>
    <row r="1464" spans="1:6" x14ac:dyDescent="0.2">
      <c r="A1464" s="30">
        <v>45820</v>
      </c>
      <c r="B1464" s="28" t="s">
        <v>1947</v>
      </c>
      <c r="C1464" s="28">
        <v>72.38</v>
      </c>
      <c r="D1464" s="28" t="str">
        <f>_xlfn.XLOOKUP(B1464,'Payee Ref'!A:A,'Payee Ref'!B:B,"unassigned",0,1)</f>
        <v>Home &amp; Garden</v>
      </c>
      <c r="E1464" s="29" t="str">
        <f>_xlfn.XLOOKUP(B1464,'Payee Ref'!A:A,'Payee Ref'!C:C,"unassigned",0,1)</f>
        <v>Basic</v>
      </c>
      <c r="F1464" s="28" t="s">
        <v>2207</v>
      </c>
    </row>
    <row r="1465" spans="1:6" x14ac:dyDescent="0.2">
      <c r="A1465" s="30">
        <v>45886</v>
      </c>
      <c r="B1465" s="28" t="s">
        <v>1689</v>
      </c>
      <c r="C1465" s="28">
        <v>72.540000000000006</v>
      </c>
      <c r="D1465" s="28" t="str">
        <f>_xlfn.XLOOKUP(B1465,'Payee Ref'!A:A,'Payee Ref'!B:B,"unassigned",0,1)</f>
        <v>Groceries</v>
      </c>
      <c r="E1465" s="29" t="str">
        <f>_xlfn.XLOOKUP(B1465,'Payee Ref'!A:A,'Payee Ref'!C:C,"unassigned",0,1)</f>
        <v>Basic</v>
      </c>
      <c r="F1465" s="28" t="s">
        <v>2207</v>
      </c>
    </row>
    <row r="1466" spans="1:6" x14ac:dyDescent="0.2">
      <c r="A1466" s="30">
        <v>45739</v>
      </c>
      <c r="B1466" s="28" t="s">
        <v>1603</v>
      </c>
      <c r="C1466" s="28">
        <v>72.709999999999994</v>
      </c>
      <c r="D1466" s="28" t="str">
        <f>_xlfn.XLOOKUP(B1466,'Payee Ref'!A:A,'Payee Ref'!B:B,"unassigned",0,1)</f>
        <v>Auto</v>
      </c>
      <c r="E1466" s="29" t="str">
        <f>_xlfn.XLOOKUP(B1466,'Payee Ref'!A:A,'Payee Ref'!C:C,"unassigned",0,1)</f>
        <v>Basic</v>
      </c>
      <c r="F1466" s="28" t="s">
        <v>2207</v>
      </c>
    </row>
    <row r="1467" spans="1:6" x14ac:dyDescent="0.2">
      <c r="A1467" s="30">
        <v>45888</v>
      </c>
      <c r="B1467" s="28" t="s">
        <v>1581</v>
      </c>
      <c r="C1467" s="28">
        <v>72.81</v>
      </c>
      <c r="D1467" s="28" t="str">
        <f>_xlfn.XLOOKUP(B1467,'Payee Ref'!A:A,'Payee Ref'!B:B,"unassigned",0,1)</f>
        <v>Groceries</v>
      </c>
      <c r="E1467" s="29" t="str">
        <f>_xlfn.XLOOKUP(B1467,'Payee Ref'!A:A,'Payee Ref'!C:C,"unassigned",0,1)</f>
        <v>Basic</v>
      </c>
      <c r="F1467" s="28" t="s">
        <v>2207</v>
      </c>
    </row>
    <row r="1468" spans="1:6" x14ac:dyDescent="0.2">
      <c r="A1468" s="30">
        <v>45863</v>
      </c>
      <c r="B1468" s="31" t="s">
        <v>1801</v>
      </c>
      <c r="C1468" s="28">
        <v>72.84</v>
      </c>
      <c r="D1468" s="28" t="str">
        <f>_xlfn.XLOOKUP(B1468,'Payee Ref'!A:A,'Payee Ref'!B:B,"unassigned",0,1)</f>
        <v>Clothing</v>
      </c>
      <c r="E1468" s="29" t="str">
        <f>_xlfn.XLOOKUP(B1468,'Payee Ref'!A:A,'Payee Ref'!C:C,"unassigned",0,1)</f>
        <v>Basic</v>
      </c>
      <c r="F1468" s="28" t="s">
        <v>2207</v>
      </c>
    </row>
    <row r="1469" spans="1:6" x14ac:dyDescent="0.2">
      <c r="A1469" s="30">
        <v>45924</v>
      </c>
      <c r="B1469" s="28" t="s">
        <v>1603</v>
      </c>
      <c r="C1469" s="28">
        <v>72.91</v>
      </c>
      <c r="D1469" s="28" t="str">
        <f>_xlfn.XLOOKUP(B1469,'Payee Ref'!A:A,'Payee Ref'!B:B,"unassigned",0,1)</f>
        <v>Auto</v>
      </c>
      <c r="E1469" s="29" t="str">
        <f>_xlfn.XLOOKUP(B1469,'Payee Ref'!A:A,'Payee Ref'!C:C,"unassigned",0,1)</f>
        <v>Basic</v>
      </c>
      <c r="F1469" s="28" t="s">
        <v>2207</v>
      </c>
    </row>
    <row r="1470" spans="1:6" x14ac:dyDescent="0.2">
      <c r="A1470" s="30">
        <v>45824</v>
      </c>
      <c r="B1470" s="28" t="s">
        <v>1546</v>
      </c>
      <c r="C1470" s="28">
        <v>73.03</v>
      </c>
      <c r="D1470" s="28" t="str">
        <f>_xlfn.XLOOKUP(B1470,'Payee Ref'!A:A,'Payee Ref'!B:B,"unassigned",0,1)</f>
        <v>Travel</v>
      </c>
      <c r="E1470" s="29" t="str">
        <f>_xlfn.XLOOKUP(B1470,'Payee Ref'!A:A,'Payee Ref'!C:C,"unassigned",0,1)</f>
        <v>Luxury</v>
      </c>
      <c r="F1470" s="28" t="s">
        <v>2207</v>
      </c>
    </row>
    <row r="1471" spans="1:6" x14ac:dyDescent="0.2">
      <c r="A1471" s="30">
        <v>45942</v>
      </c>
      <c r="B1471" s="28" t="s">
        <v>11</v>
      </c>
      <c r="C1471" s="28">
        <v>73.349999999999994</v>
      </c>
      <c r="D1471" s="28" t="str">
        <f>_xlfn.XLOOKUP(B1471,'Payee Ref'!A:A,'Payee Ref'!B:B,"unassigned",0,1)</f>
        <v>Auto</v>
      </c>
      <c r="E1471" s="29" t="str">
        <f>_xlfn.XLOOKUP(B1471,'Payee Ref'!A:A,'Payee Ref'!C:C,"unassigned",0,1)</f>
        <v>Basic</v>
      </c>
      <c r="F1471" s="28" t="s">
        <v>2207</v>
      </c>
    </row>
    <row r="1472" spans="1:6" x14ac:dyDescent="0.2">
      <c r="A1472" s="30">
        <v>45727</v>
      </c>
      <c r="B1472" s="31" t="s">
        <v>1801</v>
      </c>
      <c r="C1472" s="28">
        <v>73.430000000000007</v>
      </c>
      <c r="D1472" s="28" t="str">
        <f>_xlfn.XLOOKUP(B1472,'Payee Ref'!A:A,'Payee Ref'!B:B,"unassigned",0,1)</f>
        <v>Clothing</v>
      </c>
      <c r="E1472" s="29" t="str">
        <f>_xlfn.XLOOKUP(B1472,'Payee Ref'!A:A,'Payee Ref'!C:C,"unassigned",0,1)</f>
        <v>Basic</v>
      </c>
      <c r="F1472" s="28" t="s">
        <v>2207</v>
      </c>
    </row>
    <row r="1473" spans="1:6" x14ac:dyDescent="0.2">
      <c r="A1473" s="30">
        <v>45823</v>
      </c>
      <c r="B1473" s="28" t="s">
        <v>1932</v>
      </c>
      <c r="C1473" s="28">
        <v>74.34</v>
      </c>
      <c r="D1473" s="28" t="str">
        <f>_xlfn.XLOOKUP(B1473,'Payee Ref'!A:A,'Payee Ref'!B:B,"unassigned",0,1)</f>
        <v>Dining</v>
      </c>
      <c r="E1473" s="29" t="str">
        <f>_xlfn.XLOOKUP(B1473,'Payee Ref'!A:A,'Payee Ref'!C:C,"unassigned",0,1)</f>
        <v>Luxury</v>
      </c>
      <c r="F1473" s="28" t="s">
        <v>2207</v>
      </c>
    </row>
    <row r="1474" spans="1:6" x14ac:dyDescent="0.2">
      <c r="A1474" s="30">
        <v>45826</v>
      </c>
      <c r="B1474" s="28" t="s">
        <v>1536</v>
      </c>
      <c r="C1474" s="28">
        <v>74.41</v>
      </c>
      <c r="D1474" s="28" t="str">
        <f>_xlfn.XLOOKUP(B1474,'Payee Ref'!A:A,'Payee Ref'!B:B,"unassigned",0,1)</f>
        <v>Groceries</v>
      </c>
      <c r="E1474" s="29" t="str">
        <f>_xlfn.XLOOKUP(B1474,'Payee Ref'!A:A,'Payee Ref'!C:C,"unassigned",0,1)</f>
        <v>Basic</v>
      </c>
      <c r="F1474" s="28" t="s">
        <v>2207</v>
      </c>
    </row>
    <row r="1475" spans="1:6" x14ac:dyDescent="0.2">
      <c r="A1475" s="30">
        <v>45758</v>
      </c>
      <c r="B1475" s="28" t="s">
        <v>1603</v>
      </c>
      <c r="C1475" s="28">
        <v>74.48</v>
      </c>
      <c r="D1475" s="28" t="str">
        <f>_xlfn.XLOOKUP(B1475,'Payee Ref'!A:A,'Payee Ref'!B:B,"unassigned",0,1)</f>
        <v>Auto</v>
      </c>
      <c r="E1475" s="29" t="str">
        <f>_xlfn.XLOOKUP(B1475,'Payee Ref'!A:A,'Payee Ref'!C:C,"unassigned",0,1)</f>
        <v>Basic</v>
      </c>
      <c r="F1475" s="28" t="s">
        <v>2207</v>
      </c>
    </row>
    <row r="1476" spans="1:6" x14ac:dyDescent="0.2">
      <c r="A1476" s="30">
        <v>45901</v>
      </c>
      <c r="B1476" s="28" t="s">
        <v>1671</v>
      </c>
      <c r="C1476" s="28">
        <v>75</v>
      </c>
      <c r="D1476" s="28" t="str">
        <f>_xlfn.XLOOKUP(B1476,'Payee Ref'!A:A,'Payee Ref'!B:B,"unassigned",0,1)</f>
        <v>Dining</v>
      </c>
      <c r="E1476" s="29" t="str">
        <f>_xlfn.XLOOKUP(B1476,'Payee Ref'!A:A,'Payee Ref'!C:C,"unassigned",0,1)</f>
        <v>Luxury</v>
      </c>
      <c r="F1476" s="28" t="s">
        <v>2207</v>
      </c>
    </row>
    <row r="1477" spans="1:6" x14ac:dyDescent="0.2">
      <c r="A1477" s="30">
        <v>45837</v>
      </c>
      <c r="B1477" s="28" t="s">
        <v>1590</v>
      </c>
      <c r="C1477" s="28">
        <v>75</v>
      </c>
      <c r="D1477" s="28" t="str">
        <f>_xlfn.XLOOKUP(B1477,'Payee Ref'!A:A,'Payee Ref'!B:B,"unassigned",0,1)</f>
        <v>Utilities</v>
      </c>
      <c r="E1477" s="29" t="str">
        <f>_xlfn.XLOOKUP(B1477,'Payee Ref'!A:A,'Payee Ref'!C:C,"unassigned",0,1)</f>
        <v>Basic</v>
      </c>
      <c r="F1477" s="28" t="s">
        <v>2207</v>
      </c>
    </row>
    <row r="1478" spans="1:6" x14ac:dyDescent="0.2">
      <c r="A1478" s="30">
        <v>45806</v>
      </c>
      <c r="B1478" s="28" t="s">
        <v>1590</v>
      </c>
      <c r="C1478" s="28">
        <v>75</v>
      </c>
      <c r="D1478" s="28" t="str">
        <f>_xlfn.XLOOKUP(B1478,'Payee Ref'!A:A,'Payee Ref'!B:B,"unassigned",0,1)</f>
        <v>Utilities</v>
      </c>
      <c r="E1478" s="29" t="str">
        <f>_xlfn.XLOOKUP(B1478,'Payee Ref'!A:A,'Payee Ref'!C:C,"unassigned",0,1)</f>
        <v>Basic</v>
      </c>
      <c r="F1478" s="28" t="s">
        <v>2207</v>
      </c>
    </row>
    <row r="1479" spans="1:6" x14ac:dyDescent="0.2">
      <c r="A1479" s="30">
        <v>45776</v>
      </c>
      <c r="B1479" s="28" t="s">
        <v>1590</v>
      </c>
      <c r="C1479" s="28">
        <v>75</v>
      </c>
      <c r="D1479" s="28" t="str">
        <f>_xlfn.XLOOKUP(B1479,'Payee Ref'!A:A,'Payee Ref'!B:B,"unassigned",0,1)</f>
        <v>Utilities</v>
      </c>
      <c r="E1479" s="29" t="str">
        <f>_xlfn.XLOOKUP(B1479,'Payee Ref'!A:A,'Payee Ref'!C:C,"unassigned",0,1)</f>
        <v>Basic</v>
      </c>
      <c r="F1479" s="28" t="s">
        <v>2207</v>
      </c>
    </row>
    <row r="1480" spans="1:6" x14ac:dyDescent="0.2">
      <c r="A1480" s="30">
        <v>45745</v>
      </c>
      <c r="B1480" s="28" t="s">
        <v>1590</v>
      </c>
      <c r="C1480" s="28">
        <v>75</v>
      </c>
      <c r="D1480" s="28" t="str">
        <f>_xlfn.XLOOKUP(B1480,'Payee Ref'!A:A,'Payee Ref'!B:B,"unassigned",0,1)</f>
        <v>Utilities</v>
      </c>
      <c r="E1480" s="29" t="str">
        <f>_xlfn.XLOOKUP(B1480,'Payee Ref'!A:A,'Payee Ref'!C:C,"unassigned",0,1)</f>
        <v>Basic</v>
      </c>
      <c r="F1480" s="28" t="s">
        <v>2207</v>
      </c>
    </row>
    <row r="1481" spans="1:6" x14ac:dyDescent="0.2">
      <c r="A1481" s="30">
        <v>45717</v>
      </c>
      <c r="B1481" s="28" t="s">
        <v>1590</v>
      </c>
      <c r="C1481" s="28">
        <v>75</v>
      </c>
      <c r="D1481" s="28" t="str">
        <f>_xlfn.XLOOKUP(B1481,'Payee Ref'!A:A,'Payee Ref'!B:B,"unassigned",0,1)</f>
        <v>Utilities</v>
      </c>
      <c r="E1481" s="29" t="str">
        <f>_xlfn.XLOOKUP(B1481,'Payee Ref'!A:A,'Payee Ref'!C:C,"unassigned",0,1)</f>
        <v>Basic</v>
      </c>
      <c r="F1481" s="28" t="s">
        <v>2207</v>
      </c>
    </row>
    <row r="1482" spans="1:6" x14ac:dyDescent="0.2">
      <c r="A1482" s="30">
        <v>45686</v>
      </c>
      <c r="B1482" s="28" t="s">
        <v>1590</v>
      </c>
      <c r="C1482" s="28">
        <v>75</v>
      </c>
      <c r="D1482" s="28" t="str">
        <f>_xlfn.XLOOKUP(B1482,'Payee Ref'!A:A,'Payee Ref'!B:B,"unassigned",0,1)</f>
        <v>Utilities</v>
      </c>
      <c r="E1482" s="29" t="str">
        <f>_xlfn.XLOOKUP(B1482,'Payee Ref'!A:A,'Payee Ref'!C:C,"unassigned",0,1)</f>
        <v>Basic</v>
      </c>
      <c r="F1482" s="28" t="s">
        <v>2207</v>
      </c>
    </row>
    <row r="1483" spans="1:6" x14ac:dyDescent="0.2">
      <c r="A1483" s="30">
        <v>45843</v>
      </c>
      <c r="B1483" s="28" t="s">
        <v>1601</v>
      </c>
      <c r="C1483" s="28">
        <v>75.349999999999994</v>
      </c>
      <c r="D1483" s="28" t="str">
        <f>_xlfn.XLOOKUP(B1483,'Payee Ref'!A:A,'Payee Ref'!B:B,"unassigned",0,1)</f>
        <v>Dining</v>
      </c>
      <c r="E1483" s="29" t="str">
        <f>_xlfn.XLOOKUP(B1483,'Payee Ref'!A:A,'Payee Ref'!C:C,"unassigned",0,1)</f>
        <v>Luxury</v>
      </c>
      <c r="F1483" s="28" t="s">
        <v>2207</v>
      </c>
    </row>
    <row r="1484" spans="1:6" x14ac:dyDescent="0.2">
      <c r="A1484" s="30">
        <v>45835</v>
      </c>
      <c r="B1484" s="28" t="s">
        <v>1889</v>
      </c>
      <c r="C1484" s="28">
        <v>75.459999999999994</v>
      </c>
      <c r="D1484" s="28" t="str">
        <f>_xlfn.XLOOKUP(B1484,'Payee Ref'!A:A,'Payee Ref'!B:B,"unassigned",0,1)</f>
        <v>Travel</v>
      </c>
      <c r="E1484" s="29" t="str">
        <f>_xlfn.XLOOKUP(B1484,'Payee Ref'!A:A,'Payee Ref'!C:C,"unassigned",0,1)</f>
        <v>Luxury</v>
      </c>
      <c r="F1484" s="28" t="s">
        <v>2207</v>
      </c>
    </row>
    <row r="1485" spans="1:6" x14ac:dyDescent="0.2">
      <c r="A1485" s="30">
        <v>45765</v>
      </c>
      <c r="B1485" s="28" t="s">
        <v>1781</v>
      </c>
      <c r="C1485" s="28">
        <v>75.48</v>
      </c>
      <c r="D1485" s="28" t="str">
        <f>_xlfn.XLOOKUP(B1485,'Payee Ref'!A:A,'Payee Ref'!B:B,"unassigned",0,1)</f>
        <v>Groceries</v>
      </c>
      <c r="E1485" s="29" t="str">
        <f>_xlfn.XLOOKUP(B1485,'Payee Ref'!A:A,'Payee Ref'!C:C,"unassigned",0,1)</f>
        <v>Basic</v>
      </c>
      <c r="F1485" s="28" t="s">
        <v>2207</v>
      </c>
    </row>
    <row r="1486" spans="1:6" x14ac:dyDescent="0.2">
      <c r="A1486" s="30">
        <v>45826</v>
      </c>
      <c r="B1486" s="28" t="s">
        <v>1927</v>
      </c>
      <c r="C1486" s="28">
        <v>75.64</v>
      </c>
      <c r="D1486" s="28" t="str">
        <f>_xlfn.XLOOKUP(B1486,'Payee Ref'!A:A,'Payee Ref'!B:B,"unassigned",0,1)</f>
        <v>Travel</v>
      </c>
      <c r="E1486" s="29" t="str">
        <f>_xlfn.XLOOKUP(B1486,'Payee Ref'!A:A,'Payee Ref'!C:C,"unassigned",0,1)</f>
        <v>Basic</v>
      </c>
      <c r="F1486" s="28" t="s">
        <v>2207</v>
      </c>
    </row>
    <row r="1487" spans="1:6" x14ac:dyDescent="0.2">
      <c r="A1487" s="30">
        <v>45847</v>
      </c>
      <c r="B1487" s="28" t="s">
        <v>1843</v>
      </c>
      <c r="C1487" s="28">
        <v>75.66</v>
      </c>
      <c r="D1487" s="28" t="str">
        <f>_xlfn.XLOOKUP(B1487,'Payee Ref'!A:A,'Payee Ref'!B:B,"unassigned",0,1)</f>
        <v>Home &amp; Garden</v>
      </c>
      <c r="E1487" s="29" t="str">
        <f>_xlfn.XLOOKUP(B1487,'Payee Ref'!A:A,'Payee Ref'!C:C,"unassigned",0,1)</f>
        <v>Basic</v>
      </c>
      <c r="F1487" s="28" t="s">
        <v>2207</v>
      </c>
    </row>
    <row r="1488" spans="1:6" x14ac:dyDescent="0.2">
      <c r="A1488" s="30">
        <v>45836</v>
      </c>
      <c r="B1488" s="28" t="s">
        <v>1879</v>
      </c>
      <c r="C1488" s="28">
        <v>75.78</v>
      </c>
      <c r="D1488" s="28" t="str">
        <f>_xlfn.XLOOKUP(B1488,'Payee Ref'!A:A,'Payee Ref'!B:B,"unassigned",0,1)</f>
        <v>Travel</v>
      </c>
      <c r="E1488" s="29" t="str">
        <f>_xlfn.XLOOKUP(B1488,'Payee Ref'!A:A,'Payee Ref'!C:C,"unassigned",0,1)</f>
        <v>Luxury</v>
      </c>
      <c r="F1488" s="28" t="s">
        <v>2207</v>
      </c>
    </row>
    <row r="1489" spans="1:6" x14ac:dyDescent="0.2">
      <c r="A1489" s="30">
        <v>45719</v>
      </c>
      <c r="B1489" s="28" t="s">
        <v>1603</v>
      </c>
      <c r="C1489" s="28">
        <v>75.790000000000006</v>
      </c>
      <c r="D1489" s="28" t="str">
        <f>_xlfn.XLOOKUP(B1489,'Payee Ref'!A:A,'Payee Ref'!B:B,"unassigned",0,1)</f>
        <v>Auto</v>
      </c>
      <c r="E1489" s="29" t="str">
        <f>_xlfn.XLOOKUP(B1489,'Payee Ref'!A:A,'Payee Ref'!C:C,"unassigned",0,1)</f>
        <v>Basic</v>
      </c>
      <c r="F1489" s="28" t="s">
        <v>2207</v>
      </c>
    </row>
    <row r="1490" spans="1:6" x14ac:dyDescent="0.2">
      <c r="A1490" s="30">
        <v>45899</v>
      </c>
      <c r="B1490" s="28" t="s">
        <v>1677</v>
      </c>
      <c r="C1490" s="28">
        <v>75.97</v>
      </c>
      <c r="D1490" s="28" t="str">
        <f>_xlfn.XLOOKUP(B1490,'Payee Ref'!A:A,'Payee Ref'!B:B,"unassigned",0,1)</f>
        <v>Groceries</v>
      </c>
      <c r="E1490" s="29" t="str">
        <f>_xlfn.XLOOKUP(B1490,'Payee Ref'!A:A,'Payee Ref'!C:C,"unassigned",0,1)</f>
        <v>Basic</v>
      </c>
      <c r="F1490" s="28" t="s">
        <v>2207</v>
      </c>
    </row>
    <row r="1491" spans="1:6" x14ac:dyDescent="0.2">
      <c r="A1491" s="30">
        <v>45943</v>
      </c>
      <c r="B1491" s="28" t="s">
        <v>173</v>
      </c>
      <c r="C1491" s="28">
        <v>76.09</v>
      </c>
      <c r="D1491" s="28" t="str">
        <f>_xlfn.XLOOKUP(B1491,'Payee Ref'!A:A,'Payee Ref'!B:B,"unassigned",0,1)</f>
        <v>Dining</v>
      </c>
      <c r="E1491" s="29" t="str">
        <f>_xlfn.XLOOKUP(B1491,'Payee Ref'!A:A,'Payee Ref'!C:C,"unassigned",0,1)</f>
        <v>Luxury</v>
      </c>
      <c r="F1491" s="28" t="s">
        <v>2207</v>
      </c>
    </row>
    <row r="1492" spans="1:6" x14ac:dyDescent="0.2">
      <c r="A1492" s="30">
        <v>45807</v>
      </c>
      <c r="B1492" s="28" t="s">
        <v>1972</v>
      </c>
      <c r="C1492" s="28">
        <v>76.34</v>
      </c>
      <c r="D1492" s="28" t="str">
        <f>_xlfn.XLOOKUP(B1492,'Payee Ref'!A:A,'Payee Ref'!B:B,"unassigned",0,1)</f>
        <v>Travel</v>
      </c>
      <c r="E1492" s="29" t="str">
        <f>_xlfn.XLOOKUP(B1492,'Payee Ref'!A:A,'Payee Ref'!C:C,"unassigned",0,1)</f>
        <v>Luxury</v>
      </c>
      <c r="F1492" s="28" t="s">
        <v>2207</v>
      </c>
    </row>
    <row r="1493" spans="1:6" x14ac:dyDescent="0.2">
      <c r="A1493" s="30">
        <v>45798</v>
      </c>
      <c r="B1493" s="28" t="s">
        <v>811</v>
      </c>
      <c r="C1493" s="28">
        <v>76.5</v>
      </c>
      <c r="D1493" s="28" t="str">
        <f>_xlfn.XLOOKUP(B1493,'Payee Ref'!A:A,'Payee Ref'!B:B,"unassigned",0,1)</f>
        <v>Travel</v>
      </c>
      <c r="E1493" s="29" t="str">
        <f>_xlfn.XLOOKUP(B1493,'Payee Ref'!A:A,'Payee Ref'!C:C,"unassigned",0,1)</f>
        <v>Luxury</v>
      </c>
      <c r="F1493" s="28" t="s">
        <v>2207</v>
      </c>
    </row>
    <row r="1494" spans="1:6" x14ac:dyDescent="0.2">
      <c r="A1494" s="30">
        <v>45787</v>
      </c>
      <c r="B1494" s="28" t="s">
        <v>811</v>
      </c>
      <c r="C1494" s="28">
        <v>76.5</v>
      </c>
      <c r="D1494" s="28" t="str">
        <f>_xlfn.XLOOKUP(B1494,'Payee Ref'!A:A,'Payee Ref'!B:B,"unassigned",0,1)</f>
        <v>Travel</v>
      </c>
      <c r="E1494" s="29" t="str">
        <f>_xlfn.XLOOKUP(B1494,'Payee Ref'!A:A,'Payee Ref'!C:C,"unassigned",0,1)</f>
        <v>Luxury</v>
      </c>
      <c r="F1494" s="28" t="s">
        <v>2207</v>
      </c>
    </row>
    <row r="1495" spans="1:6" x14ac:dyDescent="0.2">
      <c r="A1495" s="30">
        <v>45963</v>
      </c>
      <c r="B1495" s="28" t="s">
        <v>25</v>
      </c>
      <c r="C1495" s="28">
        <v>76.63</v>
      </c>
      <c r="D1495" s="28" t="str">
        <f>_xlfn.XLOOKUP(B1495,'Payee Ref'!A:A,'Payee Ref'!B:B,"unassigned",0,1)</f>
        <v>Travel</v>
      </c>
      <c r="E1495" s="29" t="str">
        <f>_xlfn.XLOOKUP(B1495,'Payee Ref'!A:A,'Payee Ref'!C:C,"unassigned",0,1)</f>
        <v>Luxury</v>
      </c>
      <c r="F1495" s="28" t="s">
        <v>2207</v>
      </c>
    </row>
    <row r="1496" spans="1:6" x14ac:dyDescent="0.2">
      <c r="A1496" s="30">
        <v>45892</v>
      </c>
      <c r="B1496" s="28" t="s">
        <v>1588</v>
      </c>
      <c r="C1496" s="28">
        <v>76.72</v>
      </c>
      <c r="D1496" s="28" t="str">
        <f>_xlfn.XLOOKUP(B1496,'Payee Ref'!A:A,'Payee Ref'!B:B,"unassigned",0,1)</f>
        <v>Groceries</v>
      </c>
      <c r="E1496" s="29" t="str">
        <f>_xlfn.XLOOKUP(B1496,'Payee Ref'!A:A,'Payee Ref'!C:C,"unassigned",0,1)</f>
        <v>Basic</v>
      </c>
      <c r="F1496" s="28" t="s">
        <v>2207</v>
      </c>
    </row>
    <row r="1497" spans="1:6" x14ac:dyDescent="0.2">
      <c r="A1497" s="30">
        <v>45759</v>
      </c>
      <c r="B1497" s="28" t="s">
        <v>1536</v>
      </c>
      <c r="C1497" s="28">
        <v>76.95</v>
      </c>
      <c r="D1497" s="28" t="str">
        <f>_xlfn.XLOOKUP(B1497,'Payee Ref'!A:A,'Payee Ref'!B:B,"unassigned",0,1)</f>
        <v>Groceries</v>
      </c>
      <c r="E1497" s="29" t="str">
        <f>_xlfn.XLOOKUP(B1497,'Payee Ref'!A:A,'Payee Ref'!C:C,"unassigned",0,1)</f>
        <v>Basic</v>
      </c>
      <c r="F1497" s="28" t="s">
        <v>2207</v>
      </c>
    </row>
    <row r="1498" spans="1:6" x14ac:dyDescent="0.2">
      <c r="A1498" s="30">
        <v>45762</v>
      </c>
      <c r="B1498" s="28" t="s">
        <v>1828</v>
      </c>
      <c r="C1498" s="28">
        <v>77.13</v>
      </c>
      <c r="D1498" s="28" t="str">
        <f>_xlfn.XLOOKUP(B1498,'Payee Ref'!A:A,'Payee Ref'!B:B,"unassigned",0,1)</f>
        <v>Extracirricular</v>
      </c>
      <c r="E1498" s="29" t="str">
        <f>_xlfn.XLOOKUP(B1498,'Payee Ref'!A:A,'Payee Ref'!C:C,"unassigned",0,1)</f>
        <v>Basic</v>
      </c>
      <c r="F1498" s="28" t="s">
        <v>2207</v>
      </c>
    </row>
    <row r="1499" spans="1:6" x14ac:dyDescent="0.2">
      <c r="A1499" s="30">
        <v>45898</v>
      </c>
      <c r="B1499" s="28" t="s">
        <v>1679</v>
      </c>
      <c r="C1499" s="28">
        <v>77.25</v>
      </c>
      <c r="D1499" s="28" t="str">
        <f>_xlfn.XLOOKUP(B1499,'Payee Ref'!A:A,'Payee Ref'!B:B,"unassigned",0,1)</f>
        <v>Clothing</v>
      </c>
      <c r="E1499" s="29" t="str">
        <f>_xlfn.XLOOKUP(B1499,'Payee Ref'!A:A,'Payee Ref'!C:C,"unassigned",0,1)</f>
        <v>Basic</v>
      </c>
      <c r="F1499" s="28" t="s">
        <v>2207</v>
      </c>
    </row>
    <row r="1500" spans="1:6" x14ac:dyDescent="0.2">
      <c r="A1500" s="30">
        <v>45687</v>
      </c>
      <c r="B1500" s="28" t="s">
        <v>1603</v>
      </c>
      <c r="C1500" s="28">
        <v>77.94</v>
      </c>
      <c r="D1500" s="28" t="str">
        <f>_xlfn.XLOOKUP(B1500,'Payee Ref'!A:A,'Payee Ref'!B:B,"unassigned",0,1)</f>
        <v>Auto</v>
      </c>
      <c r="E1500" s="29" t="str">
        <f>_xlfn.XLOOKUP(B1500,'Payee Ref'!A:A,'Payee Ref'!C:C,"unassigned",0,1)</f>
        <v>Basic</v>
      </c>
      <c r="F1500" s="28" t="s">
        <v>2207</v>
      </c>
    </row>
    <row r="1501" spans="1:6" x14ac:dyDescent="0.2">
      <c r="A1501" s="30">
        <v>45718</v>
      </c>
      <c r="B1501" s="28" t="s">
        <v>1574</v>
      </c>
      <c r="C1501" s="28">
        <v>78.03</v>
      </c>
      <c r="D1501" s="28" t="str">
        <f>_xlfn.XLOOKUP(B1501,'Payee Ref'!A:A,'Payee Ref'!B:B,"unassigned",0,1)</f>
        <v>Groceries</v>
      </c>
      <c r="E1501" s="29" t="str">
        <f>_xlfn.XLOOKUP(B1501,'Payee Ref'!A:A,'Payee Ref'!C:C,"unassigned",0,1)</f>
        <v>Basic</v>
      </c>
      <c r="F1501" s="28" t="s">
        <v>2207</v>
      </c>
    </row>
    <row r="1502" spans="1:6" x14ac:dyDescent="0.2">
      <c r="A1502" s="30">
        <v>45672</v>
      </c>
      <c r="B1502" s="28" t="s">
        <v>2166</v>
      </c>
      <c r="C1502" s="28">
        <v>78.239999999999995</v>
      </c>
      <c r="D1502" s="28" t="str">
        <f>_xlfn.XLOOKUP(B1502,'Payee Ref'!A:A,'Payee Ref'!B:B,"unassigned",0,1)</f>
        <v>Groceries</v>
      </c>
      <c r="E1502" s="29" t="str">
        <f>_xlfn.XLOOKUP(B1502,'Payee Ref'!A:A,'Payee Ref'!C:C,"unassigned",0,1)</f>
        <v>Basic</v>
      </c>
      <c r="F1502" s="28" t="s">
        <v>2207</v>
      </c>
    </row>
    <row r="1503" spans="1:6" x14ac:dyDescent="0.2">
      <c r="A1503" s="30">
        <v>45908</v>
      </c>
      <c r="B1503" s="28" t="s">
        <v>1659</v>
      </c>
      <c r="C1503" s="28">
        <v>78.41</v>
      </c>
      <c r="D1503" s="28" t="str">
        <f>_xlfn.XLOOKUP(B1503,'Payee Ref'!A:A,'Payee Ref'!B:B,"unassigned",0,1)</f>
        <v>Groceries</v>
      </c>
      <c r="E1503" s="29" t="str">
        <f>_xlfn.XLOOKUP(B1503,'Payee Ref'!A:A,'Payee Ref'!C:C,"unassigned",0,1)</f>
        <v>Basic</v>
      </c>
      <c r="F1503" s="28" t="s">
        <v>2207</v>
      </c>
    </row>
    <row r="1504" spans="1:6" x14ac:dyDescent="0.2">
      <c r="A1504" s="30">
        <v>45965</v>
      </c>
      <c r="B1504" s="28" t="s">
        <v>44</v>
      </c>
      <c r="C1504" s="28">
        <v>78.599999999999994</v>
      </c>
      <c r="D1504" s="28" t="str">
        <f>_xlfn.XLOOKUP(B1504,'Payee Ref'!A:A,'Payee Ref'!B:B,"unassigned",0,1)</f>
        <v>Auto</v>
      </c>
      <c r="E1504" s="29" t="str">
        <f>_xlfn.XLOOKUP(B1504,'Payee Ref'!A:A,'Payee Ref'!C:C,"unassigned",0,1)</f>
        <v>Luxury</v>
      </c>
      <c r="F1504" s="28" t="s">
        <v>2207</v>
      </c>
    </row>
    <row r="1505" spans="1:6" x14ac:dyDescent="0.2">
      <c r="A1505" s="30">
        <v>45759</v>
      </c>
      <c r="B1505" s="28" t="s">
        <v>2039</v>
      </c>
      <c r="C1505" s="28">
        <v>78.7</v>
      </c>
      <c r="D1505" s="28" t="str">
        <f>_xlfn.XLOOKUP(B1505,'Payee Ref'!A:A,'Payee Ref'!B:B,"unassigned",0,1)</f>
        <v>Groceries</v>
      </c>
      <c r="E1505" s="29" t="str">
        <f>_xlfn.XLOOKUP(B1505,'Payee Ref'!A:A,'Payee Ref'!C:C,"unassigned",0,1)</f>
        <v>Basic</v>
      </c>
      <c r="F1505" s="28" t="s">
        <v>2207</v>
      </c>
    </row>
    <row r="1506" spans="1:6" x14ac:dyDescent="0.2">
      <c r="A1506" s="30">
        <v>45775</v>
      </c>
      <c r="B1506" s="28" t="s">
        <v>1539</v>
      </c>
      <c r="C1506" s="28">
        <v>78.91</v>
      </c>
      <c r="D1506" s="28" t="str">
        <f>_xlfn.XLOOKUP(B1506,'Payee Ref'!A:A,'Payee Ref'!B:B,"unassigned",0,1)</f>
        <v>Groceries</v>
      </c>
      <c r="E1506" s="29" t="str">
        <f>_xlfn.XLOOKUP(B1506,'Payee Ref'!A:A,'Payee Ref'!C:C,"unassigned",0,1)</f>
        <v>Basic</v>
      </c>
      <c r="F1506" s="28" t="s">
        <v>2207</v>
      </c>
    </row>
    <row r="1507" spans="1:6" x14ac:dyDescent="0.2">
      <c r="A1507" s="30">
        <v>45947</v>
      </c>
      <c r="B1507" s="28" t="s">
        <v>491</v>
      </c>
      <c r="C1507" s="28">
        <v>79</v>
      </c>
      <c r="D1507" s="28" t="str">
        <f>_xlfn.XLOOKUP(B1507,'Payee Ref'!A:A,'Payee Ref'!B:B,"unassigned",0,1)</f>
        <v>Enrichment</v>
      </c>
      <c r="E1507" s="29" t="str">
        <f>_xlfn.XLOOKUP(B1507,'Payee Ref'!A:A,'Payee Ref'!C:C,"unassigned",0,1)</f>
        <v>Luxury</v>
      </c>
      <c r="F1507" s="28" t="s">
        <v>2207</v>
      </c>
    </row>
    <row r="1508" spans="1:6" x14ac:dyDescent="0.2">
      <c r="A1508" s="30">
        <v>45828</v>
      </c>
      <c r="B1508" s="28" t="s">
        <v>1904</v>
      </c>
      <c r="C1508" s="28">
        <v>79.36</v>
      </c>
      <c r="D1508" s="28" t="str">
        <f>_xlfn.XLOOKUP(B1508,'Payee Ref'!A:A,'Payee Ref'!B:B,"unassigned",0,1)</f>
        <v>Travel</v>
      </c>
      <c r="E1508" s="29" t="str">
        <f>_xlfn.XLOOKUP(B1508,'Payee Ref'!A:A,'Payee Ref'!C:C,"unassigned",0,1)</f>
        <v>Luxury</v>
      </c>
      <c r="F1508" s="28" t="s">
        <v>2207</v>
      </c>
    </row>
    <row r="1509" spans="1:6" x14ac:dyDescent="0.2">
      <c r="A1509" s="30">
        <v>45741</v>
      </c>
      <c r="B1509" s="28" t="s">
        <v>2064</v>
      </c>
      <c r="C1509" s="28">
        <v>79.540000000000006</v>
      </c>
      <c r="D1509" s="28" t="str">
        <f>_xlfn.XLOOKUP(B1509,'Payee Ref'!A:A,'Payee Ref'!B:B,"unassigned",0,1)</f>
        <v>Dining</v>
      </c>
      <c r="E1509" s="29" t="str">
        <f>_xlfn.XLOOKUP(B1509,'Payee Ref'!A:A,'Payee Ref'!C:C,"unassigned",0,1)</f>
        <v>Luxury</v>
      </c>
      <c r="F1509" s="28" t="s">
        <v>2207</v>
      </c>
    </row>
    <row r="1510" spans="1:6" x14ac:dyDescent="0.2">
      <c r="A1510" s="30">
        <v>45835</v>
      </c>
      <c r="B1510" s="28" t="s">
        <v>1887</v>
      </c>
      <c r="C1510" s="28">
        <v>79.92</v>
      </c>
      <c r="D1510" s="28" t="str">
        <f>_xlfn.XLOOKUP(B1510,'Payee Ref'!A:A,'Payee Ref'!B:B,"unassigned",0,1)</f>
        <v>Travel</v>
      </c>
      <c r="E1510" s="29" t="str">
        <f>_xlfn.XLOOKUP(B1510,'Payee Ref'!A:A,'Payee Ref'!C:C,"unassigned",0,1)</f>
        <v>Luxury</v>
      </c>
      <c r="F1510" s="28" t="s">
        <v>2207</v>
      </c>
    </row>
    <row r="1511" spans="1:6" x14ac:dyDescent="0.2">
      <c r="A1511" s="30">
        <v>45867</v>
      </c>
      <c r="B1511" s="28" t="s">
        <v>1590</v>
      </c>
      <c r="C1511" s="28">
        <v>80</v>
      </c>
      <c r="D1511" s="28" t="str">
        <f>_xlfn.XLOOKUP(B1511,'Payee Ref'!A:A,'Payee Ref'!B:B,"unassigned",0,1)</f>
        <v>Utilities</v>
      </c>
      <c r="E1511" s="29" t="str">
        <f>_xlfn.XLOOKUP(B1511,'Payee Ref'!A:A,'Payee Ref'!C:C,"unassigned",0,1)</f>
        <v>Basic</v>
      </c>
      <c r="F1511" s="28" t="s">
        <v>2207</v>
      </c>
    </row>
    <row r="1512" spans="1:6" x14ac:dyDescent="0.2">
      <c r="A1512" s="30">
        <v>45755</v>
      </c>
      <c r="B1512" s="28" t="s">
        <v>2045</v>
      </c>
      <c r="C1512" s="28">
        <v>80</v>
      </c>
      <c r="D1512" s="28" t="str">
        <f>_xlfn.XLOOKUP(B1512,'Payee Ref'!A:A,'Payee Ref'!B:B,"unassigned",0,1)</f>
        <v>Travel</v>
      </c>
      <c r="E1512" s="29" t="str">
        <f>_xlfn.XLOOKUP(B1512,'Payee Ref'!A:A,'Payee Ref'!C:C,"unassigned",0,1)</f>
        <v>Luxury</v>
      </c>
      <c r="F1512" s="28" t="s">
        <v>2207</v>
      </c>
    </row>
    <row r="1513" spans="1:6" x14ac:dyDescent="0.2">
      <c r="A1513" s="30">
        <v>45684</v>
      </c>
      <c r="B1513" s="28" t="s">
        <v>1536</v>
      </c>
      <c r="C1513" s="28">
        <v>80.36</v>
      </c>
      <c r="D1513" s="28" t="str">
        <f>_xlfn.XLOOKUP(B1513,'Payee Ref'!A:A,'Payee Ref'!B:B,"unassigned",0,1)</f>
        <v>Groceries</v>
      </c>
      <c r="E1513" s="29" t="str">
        <f>_xlfn.XLOOKUP(B1513,'Payee Ref'!A:A,'Payee Ref'!C:C,"unassigned",0,1)</f>
        <v>Basic</v>
      </c>
      <c r="F1513" s="28" t="s">
        <v>2207</v>
      </c>
    </row>
    <row r="1514" spans="1:6" x14ac:dyDescent="0.2">
      <c r="A1514" s="30">
        <v>45888</v>
      </c>
      <c r="B1514" s="28" t="s">
        <v>1708</v>
      </c>
      <c r="C1514" s="28">
        <v>80.5</v>
      </c>
      <c r="D1514" s="28">
        <f>_xlfn.XLOOKUP(B1514,'Payee Ref'!A:A,'Payee Ref'!B:B,"unassigned",0,1)</f>
        <v>0</v>
      </c>
      <c r="E1514" s="29">
        <f>_xlfn.XLOOKUP(B1514,'Payee Ref'!A:A,'Payee Ref'!C:C,"unassigned",0,1)</f>
        <v>0</v>
      </c>
      <c r="F1514" s="28" t="s">
        <v>2207</v>
      </c>
    </row>
    <row r="1515" spans="1:6" x14ac:dyDescent="0.2">
      <c r="A1515" s="30">
        <v>45902</v>
      </c>
      <c r="B1515" s="28" t="s">
        <v>1546</v>
      </c>
      <c r="C1515" s="28">
        <v>80.599999999999994</v>
      </c>
      <c r="D1515" s="28" t="str">
        <f>_xlfn.XLOOKUP(B1515,'Payee Ref'!A:A,'Payee Ref'!B:B,"unassigned",0,1)</f>
        <v>Travel</v>
      </c>
      <c r="E1515" s="29" t="str">
        <f>_xlfn.XLOOKUP(B1515,'Payee Ref'!A:A,'Payee Ref'!C:C,"unassigned",0,1)</f>
        <v>Luxury</v>
      </c>
      <c r="F1515" s="28" t="s">
        <v>2207</v>
      </c>
    </row>
    <row r="1516" spans="1:6" x14ac:dyDescent="0.2">
      <c r="A1516" s="30">
        <v>45697</v>
      </c>
      <c r="B1516" s="28" t="s">
        <v>1603</v>
      </c>
      <c r="C1516" s="28">
        <v>80.77</v>
      </c>
      <c r="D1516" s="28" t="str">
        <f>_xlfn.XLOOKUP(B1516,'Payee Ref'!A:A,'Payee Ref'!B:B,"unassigned",0,1)</f>
        <v>Auto</v>
      </c>
      <c r="E1516" s="29" t="str">
        <f>_xlfn.XLOOKUP(B1516,'Payee Ref'!A:A,'Payee Ref'!C:C,"unassigned",0,1)</f>
        <v>Basic</v>
      </c>
      <c r="F1516" s="28" t="s">
        <v>2207</v>
      </c>
    </row>
    <row r="1517" spans="1:6" x14ac:dyDescent="0.2">
      <c r="A1517" s="30">
        <v>45929</v>
      </c>
      <c r="B1517" s="28" t="s">
        <v>1590</v>
      </c>
      <c r="C1517" s="28">
        <v>80.89</v>
      </c>
      <c r="D1517" s="28" t="str">
        <f>_xlfn.XLOOKUP(B1517,'Payee Ref'!A:A,'Payee Ref'!B:B,"unassigned",0,1)</f>
        <v>Utilities</v>
      </c>
      <c r="E1517" s="29" t="str">
        <f>_xlfn.XLOOKUP(B1517,'Payee Ref'!A:A,'Payee Ref'!C:C,"unassigned",0,1)</f>
        <v>Basic</v>
      </c>
      <c r="F1517" s="28" t="s">
        <v>2207</v>
      </c>
    </row>
    <row r="1518" spans="1:6" x14ac:dyDescent="0.2">
      <c r="A1518" s="30">
        <v>45898</v>
      </c>
      <c r="B1518" s="28" t="s">
        <v>1590</v>
      </c>
      <c r="C1518" s="28">
        <v>80.89</v>
      </c>
      <c r="D1518" s="28" t="str">
        <f>_xlfn.XLOOKUP(B1518,'Payee Ref'!A:A,'Payee Ref'!B:B,"unassigned",0,1)</f>
        <v>Utilities</v>
      </c>
      <c r="E1518" s="29" t="str">
        <f>_xlfn.XLOOKUP(B1518,'Payee Ref'!A:A,'Payee Ref'!C:C,"unassigned",0,1)</f>
        <v>Basic</v>
      </c>
      <c r="F1518" s="28" t="s">
        <v>2207</v>
      </c>
    </row>
    <row r="1519" spans="1:6" x14ac:dyDescent="0.2">
      <c r="A1519" s="30">
        <v>45786</v>
      </c>
      <c r="B1519" s="28" t="s">
        <v>1972</v>
      </c>
      <c r="C1519" s="28">
        <v>81.209999999999994</v>
      </c>
      <c r="D1519" s="28" t="str">
        <f>_xlfn.XLOOKUP(B1519,'Payee Ref'!A:A,'Payee Ref'!B:B,"unassigned",0,1)</f>
        <v>Travel</v>
      </c>
      <c r="E1519" s="29" t="str">
        <f>_xlfn.XLOOKUP(B1519,'Payee Ref'!A:A,'Payee Ref'!C:C,"unassigned",0,1)</f>
        <v>Luxury</v>
      </c>
      <c r="F1519" s="28" t="s">
        <v>2207</v>
      </c>
    </row>
    <row r="1520" spans="1:6" x14ac:dyDescent="0.2">
      <c r="A1520" s="30">
        <v>45885</v>
      </c>
      <c r="B1520" s="28" t="s">
        <v>1718</v>
      </c>
      <c r="C1520" s="28">
        <v>81.44</v>
      </c>
      <c r="D1520" s="28" t="str">
        <f>_xlfn.XLOOKUP(B1520,'Payee Ref'!A:A,'Payee Ref'!B:B,"unassigned",0,1)</f>
        <v>Dining</v>
      </c>
      <c r="E1520" s="29" t="str">
        <f>_xlfn.XLOOKUP(B1520,'Payee Ref'!A:A,'Payee Ref'!C:C,"unassigned",0,1)</f>
        <v>Luxury</v>
      </c>
      <c r="F1520" s="28" t="s">
        <v>2207</v>
      </c>
    </row>
    <row r="1521" spans="1:6" x14ac:dyDescent="0.2">
      <c r="A1521" s="30">
        <v>45856</v>
      </c>
      <c r="B1521" s="28" t="s">
        <v>1823</v>
      </c>
      <c r="C1521" s="28">
        <v>81.69</v>
      </c>
      <c r="D1521" s="28" t="str">
        <f>_xlfn.XLOOKUP(B1521,'Payee Ref'!A:A,'Payee Ref'!B:B,"unassigned",0,1)</f>
        <v>Travel</v>
      </c>
      <c r="E1521" s="29" t="str">
        <f>_xlfn.XLOOKUP(B1521,'Payee Ref'!A:A,'Payee Ref'!C:C,"unassigned",0,1)</f>
        <v>Luxury</v>
      </c>
      <c r="F1521" s="28" t="s">
        <v>2207</v>
      </c>
    </row>
    <row r="1522" spans="1:6" x14ac:dyDescent="0.2">
      <c r="A1522" s="30">
        <v>45703</v>
      </c>
      <c r="B1522" s="28" t="s">
        <v>2120</v>
      </c>
      <c r="C1522" s="28">
        <v>81.78</v>
      </c>
      <c r="D1522" s="28" t="str">
        <f>_xlfn.XLOOKUP(B1522,'Payee Ref'!A:A,'Payee Ref'!B:B,"unassigned",0,1)</f>
        <v>Dining</v>
      </c>
      <c r="E1522" s="29" t="str">
        <f>_xlfn.XLOOKUP(B1522,'Payee Ref'!A:A,'Payee Ref'!C:C,"unassigned",0,1)</f>
        <v>Luxury</v>
      </c>
      <c r="F1522" s="28" t="s">
        <v>2207</v>
      </c>
    </row>
    <row r="1523" spans="1:6" x14ac:dyDescent="0.2">
      <c r="A1523" s="30">
        <v>45751</v>
      </c>
      <c r="B1523" s="28" t="s">
        <v>1603</v>
      </c>
      <c r="C1523" s="28">
        <v>81.790000000000006</v>
      </c>
      <c r="D1523" s="28" t="str">
        <f>_xlfn.XLOOKUP(B1523,'Payee Ref'!A:A,'Payee Ref'!B:B,"unassigned",0,1)</f>
        <v>Auto</v>
      </c>
      <c r="E1523" s="29" t="str">
        <f>_xlfn.XLOOKUP(B1523,'Payee Ref'!A:A,'Payee Ref'!C:C,"unassigned",0,1)</f>
        <v>Basic</v>
      </c>
      <c r="F1523" s="28" t="s">
        <v>2207</v>
      </c>
    </row>
    <row r="1524" spans="1:6" x14ac:dyDescent="0.2">
      <c r="A1524" s="30">
        <v>45796</v>
      </c>
      <c r="B1524" s="28" t="s">
        <v>1972</v>
      </c>
      <c r="C1524" s="28">
        <v>81.95</v>
      </c>
      <c r="D1524" s="28" t="str">
        <f>_xlfn.XLOOKUP(B1524,'Payee Ref'!A:A,'Payee Ref'!B:B,"unassigned",0,1)</f>
        <v>Travel</v>
      </c>
      <c r="E1524" s="29" t="str">
        <f>_xlfn.XLOOKUP(B1524,'Payee Ref'!A:A,'Payee Ref'!C:C,"unassigned",0,1)</f>
        <v>Luxury</v>
      </c>
      <c r="F1524" s="28" t="s">
        <v>2207</v>
      </c>
    </row>
    <row r="1525" spans="1:6" x14ac:dyDescent="0.2">
      <c r="A1525" s="30">
        <v>45810</v>
      </c>
      <c r="B1525" s="28" t="s">
        <v>1961</v>
      </c>
      <c r="C1525" s="28">
        <v>82</v>
      </c>
      <c r="D1525" s="28" t="str">
        <f>_xlfn.XLOOKUP(B1525,'Payee Ref'!A:A,'Payee Ref'!B:B,"unassigned",0,1)</f>
        <v>Travel</v>
      </c>
      <c r="E1525" s="29" t="str">
        <f>_xlfn.XLOOKUP(B1525,'Payee Ref'!A:A,'Payee Ref'!C:C,"unassigned",0,1)</f>
        <v>Luxury</v>
      </c>
      <c r="F1525" s="28" t="s">
        <v>2207</v>
      </c>
    </row>
    <row r="1526" spans="1:6" x14ac:dyDescent="0.2">
      <c r="A1526" s="30">
        <v>45725</v>
      </c>
      <c r="B1526" s="28" t="s">
        <v>2094</v>
      </c>
      <c r="C1526" s="28">
        <v>82</v>
      </c>
      <c r="D1526" s="28" t="str">
        <f>_xlfn.XLOOKUP(B1526,'Payee Ref'!A:A,'Payee Ref'!B:B,"unassigned",0,1)</f>
        <v>Travel</v>
      </c>
      <c r="E1526" s="29" t="str">
        <f>_xlfn.XLOOKUP(B1526,'Payee Ref'!A:A,'Payee Ref'!C:C,"unassigned",0,1)</f>
        <v>Luxury</v>
      </c>
      <c r="F1526" s="28" t="s">
        <v>2207</v>
      </c>
    </row>
    <row r="1527" spans="1:6" x14ac:dyDescent="0.2">
      <c r="A1527" s="30">
        <v>45858</v>
      </c>
      <c r="B1527" s="28" t="s">
        <v>1820</v>
      </c>
      <c r="C1527" s="28">
        <v>82.43</v>
      </c>
      <c r="D1527" s="28" t="str">
        <f>_xlfn.XLOOKUP(B1527,'Payee Ref'!A:A,'Payee Ref'!B:B,"unassigned",0,1)</f>
        <v>Auto</v>
      </c>
      <c r="E1527" s="29" t="str">
        <f>_xlfn.XLOOKUP(B1527,'Payee Ref'!A:A,'Payee Ref'!C:C,"unassigned",0,1)</f>
        <v>Basic</v>
      </c>
      <c r="F1527" s="28" t="s">
        <v>2207</v>
      </c>
    </row>
    <row r="1528" spans="1:6" x14ac:dyDescent="0.2">
      <c r="A1528" s="30">
        <v>45796</v>
      </c>
      <c r="B1528" s="28" t="s">
        <v>1989</v>
      </c>
      <c r="C1528" s="28">
        <v>82.72</v>
      </c>
      <c r="D1528" s="28" t="str">
        <f>_xlfn.XLOOKUP(B1528,'Payee Ref'!A:A,'Payee Ref'!B:B,"unassigned",0,1)</f>
        <v>Home &amp; Garden</v>
      </c>
      <c r="E1528" s="29" t="str">
        <f>_xlfn.XLOOKUP(B1528,'Payee Ref'!A:A,'Payee Ref'!C:C,"unassigned",0,1)</f>
        <v>Basic</v>
      </c>
      <c r="F1528" s="28" t="s">
        <v>2207</v>
      </c>
    </row>
    <row r="1529" spans="1:6" x14ac:dyDescent="0.2">
      <c r="A1529" s="30">
        <v>45810</v>
      </c>
      <c r="B1529" s="28" t="s">
        <v>1960</v>
      </c>
      <c r="C1529" s="28">
        <v>82.77</v>
      </c>
      <c r="D1529" s="28" t="str">
        <f>_xlfn.XLOOKUP(B1529,'Payee Ref'!A:A,'Payee Ref'!B:B,"unassigned",0,1)</f>
        <v>Hardware Technology</v>
      </c>
      <c r="E1529" s="29" t="str">
        <f>_xlfn.XLOOKUP(B1529,'Payee Ref'!A:A,'Payee Ref'!C:C,"unassigned",0,1)</f>
        <v>Basic</v>
      </c>
      <c r="F1529" s="28" t="s">
        <v>2207</v>
      </c>
    </row>
    <row r="1530" spans="1:6" x14ac:dyDescent="0.2">
      <c r="A1530" s="30">
        <v>45924</v>
      </c>
      <c r="B1530" s="28" t="s">
        <v>1625</v>
      </c>
      <c r="C1530" s="28">
        <v>83.16</v>
      </c>
      <c r="D1530" s="28" t="str">
        <f>_xlfn.XLOOKUP(B1530,'Payee Ref'!A:A,'Payee Ref'!B:B,"unassigned",0,1)</f>
        <v>Travel</v>
      </c>
      <c r="E1530" s="29" t="str">
        <f>_xlfn.XLOOKUP(B1530,'Payee Ref'!A:A,'Payee Ref'!C:C,"unassigned",0,1)</f>
        <v>Luxury</v>
      </c>
      <c r="F1530" s="28" t="s">
        <v>2207</v>
      </c>
    </row>
    <row r="1531" spans="1:6" x14ac:dyDescent="0.2">
      <c r="A1531" s="30">
        <v>45932</v>
      </c>
      <c r="B1531" s="28" t="s">
        <v>637</v>
      </c>
      <c r="C1531" s="28">
        <v>83.85</v>
      </c>
      <c r="D1531" s="28" t="str">
        <f>_xlfn.XLOOKUP(B1531,'Payee Ref'!A:A,'Payee Ref'!B:B,"unassigned",0,1)</f>
        <v>Health &amp; Medical</v>
      </c>
      <c r="E1531" s="29" t="str">
        <f>_xlfn.XLOOKUP(B1531,'Payee Ref'!A:A,'Payee Ref'!C:C,"unassigned",0,1)</f>
        <v>Basic</v>
      </c>
      <c r="F1531" s="28" t="s">
        <v>2207</v>
      </c>
    </row>
    <row r="1532" spans="1:6" x14ac:dyDescent="0.2">
      <c r="A1532" s="30">
        <v>45950</v>
      </c>
      <c r="B1532" s="28" t="s">
        <v>551</v>
      </c>
      <c r="C1532" s="28">
        <v>84.21</v>
      </c>
      <c r="D1532" s="28" t="str">
        <f>_xlfn.XLOOKUP(B1532,'Payee Ref'!A:A,'Payee Ref'!B:B,"unassigned",0,1)</f>
        <v>Groceries</v>
      </c>
      <c r="E1532" s="29" t="str">
        <f>_xlfn.XLOOKUP(B1532,'Payee Ref'!A:A,'Payee Ref'!C:C,"unassigned",0,1)</f>
        <v>Luxury</v>
      </c>
      <c r="F1532" s="28" t="s">
        <v>2207</v>
      </c>
    </row>
    <row r="1533" spans="1:6" x14ac:dyDescent="0.2">
      <c r="A1533" s="30">
        <v>45943</v>
      </c>
      <c r="B1533" s="28" t="s">
        <v>841</v>
      </c>
      <c r="C1533" s="28">
        <v>84.4</v>
      </c>
      <c r="D1533" s="28" t="str">
        <f>_xlfn.XLOOKUP(B1533,'Payee Ref'!A:A,'Payee Ref'!B:B,"unassigned",0,1)</f>
        <v>Pets</v>
      </c>
      <c r="E1533" s="29" t="str">
        <f>_xlfn.XLOOKUP(B1533,'Payee Ref'!A:A,'Payee Ref'!C:C,"unassigned",0,1)</f>
        <v>Luxury</v>
      </c>
      <c r="F1533" s="28" t="s">
        <v>2207</v>
      </c>
    </row>
    <row r="1534" spans="1:6" x14ac:dyDescent="0.2">
      <c r="A1534" s="30">
        <v>45918</v>
      </c>
      <c r="B1534" s="28" t="s">
        <v>1640</v>
      </c>
      <c r="C1534" s="28">
        <v>84.75</v>
      </c>
      <c r="D1534" s="28" t="str">
        <f>_xlfn.XLOOKUP(B1534,'Payee Ref'!A:A,'Payee Ref'!B:B,"unassigned",0,1)</f>
        <v>Travel</v>
      </c>
      <c r="E1534" s="29" t="str">
        <f>_xlfn.XLOOKUP(B1534,'Payee Ref'!A:A,'Payee Ref'!C:C,"unassigned",0,1)</f>
        <v>Luxury</v>
      </c>
      <c r="F1534" s="28" t="s">
        <v>2207</v>
      </c>
    </row>
    <row r="1535" spans="1:6" x14ac:dyDescent="0.2">
      <c r="A1535" s="30">
        <v>45919</v>
      </c>
      <c r="B1535" s="28" t="s">
        <v>1640</v>
      </c>
      <c r="C1535" s="28">
        <v>84.75</v>
      </c>
      <c r="D1535" s="28" t="str">
        <f>_xlfn.XLOOKUP(B1535,'Payee Ref'!A:A,'Payee Ref'!B:B,"unassigned",0,1)</f>
        <v>Travel</v>
      </c>
      <c r="E1535" s="29" t="str">
        <f>_xlfn.XLOOKUP(B1535,'Payee Ref'!A:A,'Payee Ref'!C:C,"unassigned",0,1)</f>
        <v>Luxury</v>
      </c>
      <c r="F1535" s="28" t="s">
        <v>2207</v>
      </c>
    </row>
    <row r="1536" spans="1:6" x14ac:dyDescent="0.2">
      <c r="A1536" s="30">
        <v>45909</v>
      </c>
      <c r="B1536" s="28" t="s">
        <v>1536</v>
      </c>
      <c r="C1536" s="28">
        <v>85</v>
      </c>
      <c r="D1536" s="28" t="str">
        <f>_xlfn.XLOOKUP(B1536,'Payee Ref'!A:A,'Payee Ref'!B:B,"unassigned",0,1)</f>
        <v>Groceries</v>
      </c>
      <c r="E1536" s="29" t="str">
        <f>_xlfn.XLOOKUP(B1536,'Payee Ref'!A:A,'Payee Ref'!C:C,"unassigned",0,1)</f>
        <v>Basic</v>
      </c>
      <c r="F1536" s="28" t="s">
        <v>2207</v>
      </c>
    </row>
    <row r="1537" spans="1:6" x14ac:dyDescent="0.2">
      <c r="A1537" s="30">
        <v>45858</v>
      </c>
      <c r="B1537" s="28" t="s">
        <v>1818</v>
      </c>
      <c r="C1537" s="28">
        <v>85.64</v>
      </c>
      <c r="D1537" s="28" t="str">
        <f>_xlfn.XLOOKUP(B1537,'Payee Ref'!A:A,'Payee Ref'!B:B,"unassigned",0,1)</f>
        <v>Travel</v>
      </c>
      <c r="E1537" s="29" t="str">
        <f>_xlfn.XLOOKUP(B1537,'Payee Ref'!A:A,'Payee Ref'!C:C,"unassigned",0,1)</f>
        <v>Luxury</v>
      </c>
      <c r="F1537" s="28" t="s">
        <v>2207</v>
      </c>
    </row>
    <row r="1538" spans="1:6" x14ac:dyDescent="0.2">
      <c r="A1538" s="30">
        <v>45930</v>
      </c>
      <c r="B1538" s="28" t="s">
        <v>1610</v>
      </c>
      <c r="C1538" s="28">
        <v>85.66</v>
      </c>
      <c r="D1538" s="28">
        <f>_xlfn.XLOOKUP(B1538,'Payee Ref'!A:A,'Payee Ref'!B:B,"unassigned",0,1)</f>
        <v>0</v>
      </c>
      <c r="E1538" s="29">
        <f>_xlfn.XLOOKUP(B1538,'Payee Ref'!A:A,'Payee Ref'!C:C,"unassigned",0,1)</f>
        <v>0</v>
      </c>
      <c r="F1538" s="28" t="s">
        <v>2207</v>
      </c>
    </row>
    <row r="1539" spans="1:6" x14ac:dyDescent="0.2">
      <c r="A1539" s="30">
        <v>45990</v>
      </c>
      <c r="B1539" s="28" t="s">
        <v>1517</v>
      </c>
      <c r="C1539" s="28">
        <v>85.89</v>
      </c>
      <c r="D1539" s="28" t="str">
        <f>_xlfn.XLOOKUP(B1539,'Payee Ref'!A:A,'Payee Ref'!B:B,"unassigned",0,1)</f>
        <v>Utilities</v>
      </c>
      <c r="E1539" s="29" t="str">
        <f>_xlfn.XLOOKUP(B1539,'Payee Ref'!A:A,'Payee Ref'!C:C,"unassigned",0,1)</f>
        <v>Basic</v>
      </c>
      <c r="F1539" s="28" t="s">
        <v>2207</v>
      </c>
    </row>
    <row r="1540" spans="1:6" x14ac:dyDescent="0.2">
      <c r="A1540" s="30">
        <v>45959</v>
      </c>
      <c r="B1540" s="28" t="s">
        <v>1156</v>
      </c>
      <c r="C1540" s="28">
        <v>85.89</v>
      </c>
      <c r="D1540" s="28" t="str">
        <f>_xlfn.XLOOKUP(B1540,'Payee Ref'!A:A,'Payee Ref'!B:B,"unassigned",0,1)</f>
        <v>Utilities</v>
      </c>
      <c r="E1540" s="29" t="str">
        <f>_xlfn.XLOOKUP(B1540,'Payee Ref'!A:A,'Payee Ref'!C:C,"unassigned",0,1)</f>
        <v>Basic</v>
      </c>
      <c r="F1540" s="28" t="s">
        <v>2207</v>
      </c>
    </row>
    <row r="1541" spans="1:6" x14ac:dyDescent="0.2">
      <c r="A1541" s="30">
        <v>45886</v>
      </c>
      <c r="B1541" s="28" t="s">
        <v>1712</v>
      </c>
      <c r="C1541" s="28">
        <v>86.03</v>
      </c>
      <c r="D1541" s="28" t="str">
        <f>_xlfn.XLOOKUP(B1541,'Payee Ref'!A:A,'Payee Ref'!B:B,"unassigned",0,1)</f>
        <v>Travel</v>
      </c>
      <c r="E1541" s="29" t="str">
        <f>_xlfn.XLOOKUP(B1541,'Payee Ref'!A:A,'Payee Ref'!C:C,"unassigned",0,1)</f>
        <v>Luxury</v>
      </c>
      <c r="F1541" s="28" t="s">
        <v>2207</v>
      </c>
    </row>
    <row r="1542" spans="1:6" x14ac:dyDescent="0.2">
      <c r="A1542" s="30">
        <v>45704</v>
      </c>
      <c r="B1542" s="28" t="s">
        <v>1536</v>
      </c>
      <c r="C1542" s="28">
        <v>86.4</v>
      </c>
      <c r="D1542" s="28" t="str">
        <f>_xlfn.XLOOKUP(B1542,'Payee Ref'!A:A,'Payee Ref'!B:B,"unassigned",0,1)</f>
        <v>Groceries</v>
      </c>
      <c r="E1542" s="29" t="str">
        <f>_xlfn.XLOOKUP(B1542,'Payee Ref'!A:A,'Payee Ref'!C:C,"unassigned",0,1)</f>
        <v>Basic</v>
      </c>
      <c r="F1542" s="28" t="s">
        <v>2207</v>
      </c>
    </row>
    <row r="1543" spans="1:6" x14ac:dyDescent="0.2">
      <c r="A1543" s="30">
        <v>45889</v>
      </c>
      <c r="B1543" s="28" t="s">
        <v>1705</v>
      </c>
      <c r="C1543" s="28">
        <v>86.5</v>
      </c>
      <c r="D1543" s="28">
        <f>_xlfn.XLOOKUP(B1543,'Payee Ref'!A:A,'Payee Ref'!B:B,"unassigned",0,1)</f>
        <v>0</v>
      </c>
      <c r="E1543" s="29">
        <f>_xlfn.XLOOKUP(B1543,'Payee Ref'!A:A,'Payee Ref'!C:C,"unassigned",0,1)</f>
        <v>0</v>
      </c>
      <c r="F1543" s="28" t="s">
        <v>2207</v>
      </c>
    </row>
    <row r="1544" spans="1:6" x14ac:dyDescent="0.2">
      <c r="A1544" s="30">
        <v>45821</v>
      </c>
      <c r="B1544" s="28" t="s">
        <v>1944</v>
      </c>
      <c r="C1544" s="28">
        <v>86.63</v>
      </c>
      <c r="D1544" s="28" t="str">
        <f>_xlfn.XLOOKUP(B1544,'Payee Ref'!A:A,'Payee Ref'!B:B,"unassigned",0,1)</f>
        <v>Van</v>
      </c>
      <c r="E1544" s="29" t="str">
        <f>_xlfn.XLOOKUP(B1544,'Payee Ref'!A:A,'Payee Ref'!C:C,"unassigned",0,1)</f>
        <v>Luxury</v>
      </c>
      <c r="F1544" s="28" t="s">
        <v>2207</v>
      </c>
    </row>
    <row r="1545" spans="1:6" x14ac:dyDescent="0.2">
      <c r="A1545" s="30">
        <v>45880</v>
      </c>
      <c r="B1545" s="28" t="s">
        <v>1736</v>
      </c>
      <c r="C1545" s="28">
        <v>86.68</v>
      </c>
      <c r="D1545" s="28" t="str">
        <f>_xlfn.XLOOKUP(B1545,'Payee Ref'!A:A,'Payee Ref'!B:B,"unassigned",0,1)</f>
        <v>Auto</v>
      </c>
      <c r="E1545" s="29" t="str">
        <f>_xlfn.XLOOKUP(B1545,'Payee Ref'!A:A,'Payee Ref'!C:C,"unassigned",0,1)</f>
        <v>Basic</v>
      </c>
      <c r="F1545" s="28" t="s">
        <v>2207</v>
      </c>
    </row>
    <row r="1546" spans="1:6" x14ac:dyDescent="0.2">
      <c r="A1546" s="30">
        <v>45929</v>
      </c>
      <c r="B1546" s="28" t="s">
        <v>1591</v>
      </c>
      <c r="C1546" s="28">
        <v>86.88</v>
      </c>
      <c r="D1546" s="28" t="str">
        <f>_xlfn.XLOOKUP(B1546,'Payee Ref'!A:A,'Payee Ref'!B:B,"unassigned",0,1)</f>
        <v>Travel</v>
      </c>
      <c r="E1546" s="29" t="str">
        <f>_xlfn.XLOOKUP(B1546,'Payee Ref'!A:A,'Payee Ref'!C:C,"unassigned",0,1)</f>
        <v>Luxury</v>
      </c>
      <c r="F1546" s="28" t="s">
        <v>2207</v>
      </c>
    </row>
    <row r="1547" spans="1:6" x14ac:dyDescent="0.2">
      <c r="A1547" s="30">
        <v>45826</v>
      </c>
      <c r="B1547" s="28" t="s">
        <v>1926</v>
      </c>
      <c r="C1547" s="28">
        <v>87</v>
      </c>
      <c r="D1547" s="28" t="str">
        <f>_xlfn.XLOOKUP(B1547,'Payee Ref'!A:A,'Payee Ref'!B:B,"unassigned",0,1)</f>
        <v>Travel</v>
      </c>
      <c r="E1547" s="29" t="str">
        <f>_xlfn.XLOOKUP(B1547,'Payee Ref'!A:A,'Payee Ref'!C:C,"unassigned",0,1)</f>
        <v>Luxury</v>
      </c>
      <c r="F1547" s="28" t="s">
        <v>2207</v>
      </c>
    </row>
    <row r="1548" spans="1:6" x14ac:dyDescent="0.2">
      <c r="A1548" s="30">
        <v>45950</v>
      </c>
      <c r="B1548" s="28" t="s">
        <v>221</v>
      </c>
      <c r="C1548" s="28">
        <v>87.24</v>
      </c>
      <c r="D1548" s="28" t="str">
        <f>_xlfn.XLOOKUP(B1548,'Payee Ref'!A:A,'Payee Ref'!B:B,"unassigned",0,1)</f>
        <v>Travel</v>
      </c>
      <c r="E1548" s="29" t="str">
        <f>_xlfn.XLOOKUP(B1548,'Payee Ref'!A:A,'Payee Ref'!C:C,"unassigned",0,1)</f>
        <v>Luxury</v>
      </c>
      <c r="F1548" s="28" t="s">
        <v>2207</v>
      </c>
    </row>
    <row r="1549" spans="1:6" x14ac:dyDescent="0.2">
      <c r="A1549" s="30">
        <v>45740</v>
      </c>
      <c r="B1549" s="28" t="s">
        <v>2067</v>
      </c>
      <c r="C1549" s="28">
        <v>87.32</v>
      </c>
      <c r="D1549" s="28" t="str">
        <f>_xlfn.XLOOKUP(B1549,'Payee Ref'!A:A,'Payee Ref'!B:B,"unassigned",0,1)</f>
        <v>Travel</v>
      </c>
      <c r="E1549" s="29" t="str">
        <f>_xlfn.XLOOKUP(B1549,'Payee Ref'!A:A,'Payee Ref'!C:C,"unassigned",0,1)</f>
        <v>Luxury</v>
      </c>
      <c r="F1549" s="28" t="s">
        <v>2207</v>
      </c>
    </row>
    <row r="1550" spans="1:6" x14ac:dyDescent="0.2">
      <c r="A1550" s="30">
        <v>45821</v>
      </c>
      <c r="B1550" s="28" t="s">
        <v>1577</v>
      </c>
      <c r="C1550" s="28">
        <v>87.33</v>
      </c>
      <c r="D1550" s="28" t="str">
        <f>_xlfn.XLOOKUP(B1550,'Payee Ref'!A:A,'Payee Ref'!B:B,"unassigned",0,1)</f>
        <v>Auto</v>
      </c>
      <c r="E1550" s="29" t="str">
        <f>_xlfn.XLOOKUP(B1550,'Payee Ref'!A:A,'Payee Ref'!C:C,"unassigned",0,1)</f>
        <v>Basic</v>
      </c>
      <c r="F1550" s="28" t="s">
        <v>2207</v>
      </c>
    </row>
    <row r="1551" spans="1:6" x14ac:dyDescent="0.2">
      <c r="A1551" s="30">
        <v>45783</v>
      </c>
      <c r="B1551" s="31" t="s">
        <v>2009</v>
      </c>
      <c r="C1551" s="28">
        <v>87.65</v>
      </c>
      <c r="D1551" s="28" t="str">
        <f>_xlfn.XLOOKUP(B1551,'Payee Ref'!A:A,'Payee Ref'!B:B,"unassigned",0,1)</f>
        <v>Home &amp; Garden</v>
      </c>
      <c r="E1551" s="29" t="str">
        <f>_xlfn.XLOOKUP(B1551,'Payee Ref'!A:A,'Payee Ref'!C:C,"unassigned",0,1)</f>
        <v>Basic</v>
      </c>
      <c r="F1551" s="28" t="s">
        <v>2207</v>
      </c>
    </row>
    <row r="1552" spans="1:6" x14ac:dyDescent="0.2">
      <c r="A1552" s="30">
        <v>45850</v>
      </c>
      <c r="B1552" s="28" t="s">
        <v>1577</v>
      </c>
      <c r="C1552" s="28">
        <v>87.73</v>
      </c>
      <c r="D1552" s="28" t="str">
        <f>_xlfn.XLOOKUP(B1552,'Payee Ref'!A:A,'Payee Ref'!B:B,"unassigned",0,1)</f>
        <v>Auto</v>
      </c>
      <c r="E1552" s="29" t="str">
        <f>_xlfn.XLOOKUP(B1552,'Payee Ref'!A:A,'Payee Ref'!C:C,"unassigned",0,1)</f>
        <v>Basic</v>
      </c>
      <c r="F1552" s="28" t="s">
        <v>2207</v>
      </c>
    </row>
    <row r="1553" spans="1:6" x14ac:dyDescent="0.2">
      <c r="A1553" s="30">
        <v>45847</v>
      </c>
      <c r="B1553" s="28" t="s">
        <v>1586</v>
      </c>
      <c r="C1553" s="28">
        <v>87.73</v>
      </c>
      <c r="D1553" s="28" t="str">
        <f>_xlfn.XLOOKUP(B1553,'Payee Ref'!A:A,'Payee Ref'!B:B,"unassigned",0,1)</f>
        <v>Travel</v>
      </c>
      <c r="E1553" s="29" t="str">
        <f>_xlfn.XLOOKUP(B1553,'Payee Ref'!A:A,'Payee Ref'!C:C,"unassigned",0,1)</f>
        <v>Luxury</v>
      </c>
      <c r="F1553" s="28" t="s">
        <v>2207</v>
      </c>
    </row>
    <row r="1554" spans="1:6" x14ac:dyDescent="0.2">
      <c r="A1554" s="30">
        <v>45924</v>
      </c>
      <c r="B1554" s="28" t="s">
        <v>1629</v>
      </c>
      <c r="C1554" s="28">
        <v>87.96</v>
      </c>
      <c r="D1554" s="28" t="str">
        <f>_xlfn.XLOOKUP(B1554,'Payee Ref'!A:A,'Payee Ref'!B:B,"unassigned",0,1)</f>
        <v>Dining</v>
      </c>
      <c r="E1554" s="29" t="str">
        <f>_xlfn.XLOOKUP(B1554,'Payee Ref'!A:A,'Payee Ref'!C:C,"unassigned",0,1)</f>
        <v>Luxury</v>
      </c>
      <c r="F1554" s="28" t="s">
        <v>2207</v>
      </c>
    </row>
    <row r="1555" spans="1:6" x14ac:dyDescent="0.2">
      <c r="A1555" s="30">
        <v>45870</v>
      </c>
      <c r="B1555" s="28" t="s">
        <v>1669</v>
      </c>
      <c r="C1555" s="28">
        <v>88.11</v>
      </c>
      <c r="D1555" s="28" t="str">
        <f>_xlfn.XLOOKUP(B1555,'Payee Ref'!A:A,'Payee Ref'!B:B,"unassigned",0,1)</f>
        <v>Utilities</v>
      </c>
      <c r="E1555" s="29" t="str">
        <f>_xlfn.XLOOKUP(B1555,'Payee Ref'!A:A,'Payee Ref'!C:C,"unassigned",0,1)</f>
        <v>Basic</v>
      </c>
      <c r="F1555" s="28" t="s">
        <v>2207</v>
      </c>
    </row>
    <row r="1556" spans="1:6" x14ac:dyDescent="0.2">
      <c r="A1556" s="30">
        <v>45848</v>
      </c>
      <c r="B1556" s="28" t="s">
        <v>1842</v>
      </c>
      <c r="C1556" s="28">
        <v>88.27</v>
      </c>
      <c r="D1556" s="28" t="str">
        <f>_xlfn.XLOOKUP(B1556,'Payee Ref'!A:A,'Payee Ref'!B:B,"unassigned",0,1)</f>
        <v>Home &amp; Garden</v>
      </c>
      <c r="E1556" s="29" t="str">
        <f>_xlfn.XLOOKUP(B1556,'Payee Ref'!A:A,'Payee Ref'!C:C,"unassigned",0,1)</f>
        <v>Basic</v>
      </c>
      <c r="F1556" s="28" t="s">
        <v>2207</v>
      </c>
    </row>
    <row r="1557" spans="1:6" x14ac:dyDescent="0.2">
      <c r="A1557" s="30">
        <v>45986</v>
      </c>
      <c r="B1557" s="28" t="s">
        <v>1518</v>
      </c>
      <c r="C1557" s="28">
        <v>88.27</v>
      </c>
      <c r="D1557" s="28" t="str">
        <f>_xlfn.XLOOKUP(B1557,'Payee Ref'!A:A,'Payee Ref'!B:B,"unassigned",0,1)</f>
        <v>Groceries</v>
      </c>
      <c r="E1557" s="29" t="str">
        <f>_xlfn.XLOOKUP(B1557,'Payee Ref'!A:A,'Payee Ref'!C:C,"unassigned",0,1)</f>
        <v>Basic</v>
      </c>
      <c r="F1557" s="28" t="s">
        <v>2207</v>
      </c>
    </row>
    <row r="1558" spans="1:6" x14ac:dyDescent="0.2">
      <c r="A1558" s="30">
        <v>45801</v>
      </c>
      <c r="B1558" s="28" t="s">
        <v>1980</v>
      </c>
      <c r="C1558" s="28">
        <v>88.28</v>
      </c>
      <c r="D1558" s="28" t="str">
        <f>_xlfn.XLOOKUP(B1558,'Payee Ref'!A:A,'Payee Ref'!B:B,"unassigned",0,1)</f>
        <v>Home &amp; Garden</v>
      </c>
      <c r="E1558" s="29" t="str">
        <f>_xlfn.XLOOKUP(B1558,'Payee Ref'!A:A,'Payee Ref'!C:C,"unassigned",0,1)</f>
        <v>Basic</v>
      </c>
      <c r="F1558" s="28" t="s">
        <v>2207</v>
      </c>
    </row>
    <row r="1559" spans="1:6" x14ac:dyDescent="0.2">
      <c r="A1559" s="30">
        <v>45778</v>
      </c>
      <c r="B1559" s="28" t="s">
        <v>2015</v>
      </c>
      <c r="C1559" s="28">
        <v>88.28</v>
      </c>
      <c r="D1559" s="28" t="str">
        <f>_xlfn.XLOOKUP(B1559,'Payee Ref'!A:A,'Payee Ref'!B:B,"unassigned",0,1)</f>
        <v>Subscriptions / Digital</v>
      </c>
      <c r="E1559" s="29" t="str">
        <f>_xlfn.XLOOKUP(B1559,'Payee Ref'!A:A,'Payee Ref'!C:C,"unassigned",0,1)</f>
        <v>Luxury</v>
      </c>
      <c r="F1559" s="28" t="s">
        <v>2207</v>
      </c>
    </row>
    <row r="1560" spans="1:6" x14ac:dyDescent="0.2">
      <c r="A1560" s="30">
        <v>45862</v>
      </c>
      <c r="B1560" s="28" t="s">
        <v>1806</v>
      </c>
      <c r="C1560" s="28">
        <v>88.29</v>
      </c>
      <c r="D1560" s="28" t="str">
        <f>_xlfn.XLOOKUP(B1560,'Payee Ref'!A:A,'Payee Ref'!B:B,"unassigned",0,1)</f>
        <v>Home &amp; Garden</v>
      </c>
      <c r="E1560" s="29" t="str">
        <f>_xlfn.XLOOKUP(B1560,'Payee Ref'!A:A,'Payee Ref'!C:C,"unassigned",0,1)</f>
        <v>Basic</v>
      </c>
      <c r="F1560" s="28" t="s">
        <v>2207</v>
      </c>
    </row>
    <row r="1561" spans="1:6" x14ac:dyDescent="0.2">
      <c r="A1561" s="30">
        <v>45739</v>
      </c>
      <c r="B1561" s="28" t="s">
        <v>2073</v>
      </c>
      <c r="C1561" s="28">
        <v>88.64</v>
      </c>
      <c r="D1561" s="28" t="str">
        <f>_xlfn.XLOOKUP(B1561,'Payee Ref'!A:A,'Payee Ref'!B:B,"unassigned",0,1)</f>
        <v>Clothing</v>
      </c>
      <c r="E1561" s="29" t="str">
        <f>_xlfn.XLOOKUP(B1561,'Payee Ref'!A:A,'Payee Ref'!C:C,"unassigned",0,1)</f>
        <v>Luxury</v>
      </c>
      <c r="F1561" s="28" t="s">
        <v>2207</v>
      </c>
    </row>
    <row r="1562" spans="1:6" x14ac:dyDescent="0.2">
      <c r="A1562" s="30">
        <v>45660</v>
      </c>
      <c r="B1562" s="28" t="s">
        <v>1536</v>
      </c>
      <c r="C1562" s="28">
        <v>89.23</v>
      </c>
      <c r="D1562" s="28" t="str">
        <f>_xlfn.XLOOKUP(B1562,'Payee Ref'!A:A,'Payee Ref'!B:B,"unassigned",0,1)</f>
        <v>Groceries</v>
      </c>
      <c r="E1562" s="29" t="str">
        <f>_xlfn.XLOOKUP(B1562,'Payee Ref'!A:A,'Payee Ref'!C:C,"unassigned",0,1)</f>
        <v>Basic</v>
      </c>
      <c r="F1562" s="28" t="s">
        <v>2207</v>
      </c>
    </row>
    <row r="1563" spans="1:6" x14ac:dyDescent="0.2">
      <c r="A1563" s="30">
        <v>45815</v>
      </c>
      <c r="B1563" s="28" t="s">
        <v>1603</v>
      </c>
      <c r="C1563" s="28">
        <v>89.57</v>
      </c>
      <c r="D1563" s="28" t="str">
        <f>_xlfn.XLOOKUP(B1563,'Payee Ref'!A:A,'Payee Ref'!B:B,"unassigned",0,1)</f>
        <v>Auto</v>
      </c>
      <c r="E1563" s="29" t="str">
        <f>_xlfn.XLOOKUP(B1563,'Payee Ref'!A:A,'Payee Ref'!C:C,"unassigned",0,1)</f>
        <v>Basic</v>
      </c>
      <c r="F1563" s="28" t="s">
        <v>2207</v>
      </c>
    </row>
    <row r="1564" spans="1:6" x14ac:dyDescent="0.2">
      <c r="A1564" s="30">
        <v>45921</v>
      </c>
      <c r="B1564" s="28" t="s">
        <v>1574</v>
      </c>
      <c r="C1564" s="28">
        <v>89.7</v>
      </c>
      <c r="D1564" s="28" t="str">
        <f>_xlfn.XLOOKUP(B1564,'Payee Ref'!A:A,'Payee Ref'!B:B,"unassigned",0,1)</f>
        <v>Groceries</v>
      </c>
      <c r="E1564" s="29" t="str">
        <f>_xlfn.XLOOKUP(B1564,'Payee Ref'!A:A,'Payee Ref'!C:C,"unassigned",0,1)</f>
        <v>Basic</v>
      </c>
      <c r="F1564" s="28" t="s">
        <v>2207</v>
      </c>
    </row>
    <row r="1565" spans="1:6" x14ac:dyDescent="0.2">
      <c r="A1565" s="30">
        <v>45796</v>
      </c>
      <c r="B1565" s="28" t="s">
        <v>1990</v>
      </c>
      <c r="C1565" s="28">
        <v>90</v>
      </c>
      <c r="D1565" s="28" t="str">
        <f>_xlfn.XLOOKUP(B1565,'Payee Ref'!A:A,'Payee Ref'!B:B,"unassigned",0,1)</f>
        <v>Dining</v>
      </c>
      <c r="E1565" s="29" t="str">
        <f>_xlfn.XLOOKUP(B1565,'Payee Ref'!A:A,'Payee Ref'!C:C,"unassigned",0,1)</f>
        <v>Luxury</v>
      </c>
      <c r="F1565" s="28" t="s">
        <v>2207</v>
      </c>
    </row>
    <row r="1566" spans="1:6" x14ac:dyDescent="0.2">
      <c r="A1566" s="30">
        <v>45782</v>
      </c>
      <c r="B1566" s="28" t="s">
        <v>2010</v>
      </c>
      <c r="C1566" s="28">
        <v>90.21</v>
      </c>
      <c r="D1566" s="28" t="str">
        <f>_xlfn.XLOOKUP(B1566,'Payee Ref'!A:A,'Payee Ref'!B:B,"unassigned",0,1)</f>
        <v>Auto</v>
      </c>
      <c r="E1566" s="29" t="str">
        <f>_xlfn.XLOOKUP(B1566,'Payee Ref'!A:A,'Payee Ref'!C:C,"unassigned",0,1)</f>
        <v>Basic</v>
      </c>
      <c r="F1566" s="28" t="s">
        <v>2207</v>
      </c>
    </row>
    <row r="1567" spans="1:6" x14ac:dyDescent="0.2">
      <c r="A1567" s="30">
        <v>45778</v>
      </c>
      <c r="B1567" s="28" t="s">
        <v>1671</v>
      </c>
      <c r="C1567" s="28">
        <v>90.56</v>
      </c>
      <c r="D1567" s="28" t="str">
        <f>_xlfn.XLOOKUP(B1567,'Payee Ref'!A:A,'Payee Ref'!B:B,"unassigned",0,1)</f>
        <v>Dining</v>
      </c>
      <c r="E1567" s="29" t="str">
        <f>_xlfn.XLOOKUP(B1567,'Payee Ref'!A:A,'Payee Ref'!C:C,"unassigned",0,1)</f>
        <v>Luxury</v>
      </c>
      <c r="F1567" s="28" t="s">
        <v>2207</v>
      </c>
    </row>
    <row r="1568" spans="1:6" x14ac:dyDescent="0.2">
      <c r="A1568" s="30">
        <v>45742</v>
      </c>
      <c r="B1568" s="28" t="s">
        <v>2061</v>
      </c>
      <c r="C1568" s="28">
        <v>91.31</v>
      </c>
      <c r="D1568" s="28" t="str">
        <f>_xlfn.XLOOKUP(B1568,'Payee Ref'!A:A,'Payee Ref'!B:B,"unassigned",0,1)</f>
        <v>Travel</v>
      </c>
      <c r="E1568" s="29" t="str">
        <f>_xlfn.XLOOKUP(B1568,'Payee Ref'!A:A,'Payee Ref'!C:C,"unassigned",0,1)</f>
        <v>Luxury</v>
      </c>
      <c r="F1568" s="28" t="s">
        <v>2207</v>
      </c>
    </row>
    <row r="1569" spans="1:6" x14ac:dyDescent="0.2">
      <c r="A1569" s="30">
        <v>45786</v>
      </c>
      <c r="B1569" s="28" t="s">
        <v>1536</v>
      </c>
      <c r="C1569" s="28">
        <v>91.44</v>
      </c>
      <c r="D1569" s="28" t="str">
        <f>_xlfn.XLOOKUP(B1569,'Payee Ref'!A:A,'Payee Ref'!B:B,"unassigned",0,1)</f>
        <v>Groceries</v>
      </c>
      <c r="E1569" s="29" t="str">
        <f>_xlfn.XLOOKUP(B1569,'Payee Ref'!A:A,'Payee Ref'!C:C,"unassigned",0,1)</f>
        <v>Basic</v>
      </c>
      <c r="F1569" s="28" t="s">
        <v>2207</v>
      </c>
    </row>
    <row r="1570" spans="1:6" x14ac:dyDescent="0.2">
      <c r="A1570" s="30">
        <v>45844</v>
      </c>
      <c r="B1570" s="28" t="s">
        <v>1661</v>
      </c>
      <c r="C1570" s="28">
        <v>91.58</v>
      </c>
      <c r="D1570" s="28" t="str">
        <f>_xlfn.XLOOKUP(B1570,'Payee Ref'!A:A,'Payee Ref'!B:B,"unassigned",0,1)</f>
        <v>Van</v>
      </c>
      <c r="E1570" s="29" t="str">
        <f>_xlfn.XLOOKUP(B1570,'Payee Ref'!A:A,'Payee Ref'!C:C,"unassigned",0,1)</f>
        <v>Luxury</v>
      </c>
      <c r="F1570" s="28" t="s">
        <v>2207</v>
      </c>
    </row>
    <row r="1571" spans="1:6" x14ac:dyDescent="0.2">
      <c r="A1571" s="30">
        <v>45983</v>
      </c>
      <c r="B1571" s="28" t="s">
        <v>546</v>
      </c>
      <c r="C1571" s="28">
        <v>92.66</v>
      </c>
      <c r="D1571" s="28" t="str">
        <f>_xlfn.XLOOKUP(B1571,'Payee Ref'!A:A,'Payee Ref'!B:B,"unassigned",0,1)</f>
        <v>Groceries</v>
      </c>
      <c r="E1571" s="29" t="str">
        <f>_xlfn.XLOOKUP(B1571,'Payee Ref'!A:A,'Payee Ref'!C:C,"unassigned",0,1)</f>
        <v>Basic</v>
      </c>
      <c r="F1571" s="28" t="s">
        <v>2207</v>
      </c>
    </row>
    <row r="1572" spans="1:6" x14ac:dyDescent="0.2">
      <c r="A1572" s="30">
        <v>45803</v>
      </c>
      <c r="B1572" s="28" t="s">
        <v>1972</v>
      </c>
      <c r="C1572" s="28">
        <v>92.69</v>
      </c>
      <c r="D1572" s="28" t="str">
        <f>_xlfn.XLOOKUP(B1572,'Payee Ref'!A:A,'Payee Ref'!B:B,"unassigned",0,1)</f>
        <v>Travel</v>
      </c>
      <c r="E1572" s="29" t="str">
        <f>_xlfn.XLOOKUP(B1572,'Payee Ref'!A:A,'Payee Ref'!C:C,"unassigned",0,1)</f>
        <v>Luxury</v>
      </c>
      <c r="F1572" s="28" t="s">
        <v>2207</v>
      </c>
    </row>
    <row r="1573" spans="1:6" x14ac:dyDescent="0.2">
      <c r="A1573" s="30">
        <v>45667</v>
      </c>
      <c r="B1573" s="28" t="s">
        <v>1536</v>
      </c>
      <c r="C1573" s="28">
        <v>93.88</v>
      </c>
      <c r="D1573" s="28" t="str">
        <f>_xlfn.XLOOKUP(B1573,'Payee Ref'!A:A,'Payee Ref'!B:B,"unassigned",0,1)</f>
        <v>Groceries</v>
      </c>
      <c r="E1573" s="29" t="str">
        <f>_xlfn.XLOOKUP(B1573,'Payee Ref'!A:A,'Payee Ref'!C:C,"unassigned",0,1)</f>
        <v>Basic</v>
      </c>
      <c r="F1573" s="28" t="s">
        <v>2207</v>
      </c>
    </row>
    <row r="1574" spans="1:6" x14ac:dyDescent="0.2">
      <c r="A1574" s="30">
        <v>45878</v>
      </c>
      <c r="B1574" s="28" t="s">
        <v>1733</v>
      </c>
      <c r="C1574" s="28">
        <v>94.14</v>
      </c>
      <c r="D1574" s="28" t="str">
        <f>_xlfn.XLOOKUP(B1574,'Payee Ref'!A:A,'Payee Ref'!B:B,"unassigned",0,1)</f>
        <v>Home &amp; Garden</v>
      </c>
      <c r="E1574" s="29" t="str">
        <f>_xlfn.XLOOKUP(B1574,'Payee Ref'!A:A,'Payee Ref'!C:C,"unassigned",0,1)</f>
        <v>Basic</v>
      </c>
      <c r="F1574" s="28" t="s">
        <v>2207</v>
      </c>
    </row>
    <row r="1575" spans="1:6" x14ac:dyDescent="0.2">
      <c r="A1575" s="30">
        <v>45969</v>
      </c>
      <c r="B1575" s="28" t="s">
        <v>1216</v>
      </c>
      <c r="C1575" s="28">
        <v>94.38</v>
      </c>
      <c r="D1575" s="28" t="str">
        <f>_xlfn.XLOOKUP(B1575,'Payee Ref'!A:A,'Payee Ref'!B:B,"unassigned",0,1)</f>
        <v>Dining</v>
      </c>
      <c r="E1575" s="29" t="str">
        <f>_xlfn.XLOOKUP(B1575,'Payee Ref'!A:A,'Payee Ref'!C:C,"unassigned",0,1)</f>
        <v>Luxury</v>
      </c>
      <c r="F1575" s="28" t="s">
        <v>2207</v>
      </c>
    </row>
    <row r="1576" spans="1:6" x14ac:dyDescent="0.2">
      <c r="A1576" s="30">
        <v>45859</v>
      </c>
      <c r="B1576" s="28" t="s">
        <v>1636</v>
      </c>
      <c r="C1576" s="28">
        <v>94.87</v>
      </c>
      <c r="D1576" s="28" t="str">
        <f>_xlfn.XLOOKUP(B1576,'Payee Ref'!A:A,'Payee Ref'!B:B,"unassigned",0,1)</f>
        <v>Home &amp; Garden</v>
      </c>
      <c r="E1576" s="29" t="str">
        <f>_xlfn.XLOOKUP(B1576,'Payee Ref'!A:A,'Payee Ref'!C:C,"unassigned",0,1)</f>
        <v>Basic</v>
      </c>
      <c r="F1576" s="28" t="s">
        <v>2207</v>
      </c>
    </row>
    <row r="1577" spans="1:6" x14ac:dyDescent="0.2">
      <c r="A1577" s="30">
        <v>45834</v>
      </c>
      <c r="B1577" s="28" t="s">
        <v>1896</v>
      </c>
      <c r="C1577" s="28">
        <v>95.19</v>
      </c>
      <c r="D1577" s="28" t="str">
        <f>_xlfn.XLOOKUP(B1577,'Payee Ref'!A:A,'Payee Ref'!B:B,"unassigned",0,1)</f>
        <v>Travel</v>
      </c>
      <c r="E1577" s="29" t="str">
        <f>_xlfn.XLOOKUP(B1577,'Payee Ref'!A:A,'Payee Ref'!C:C,"unassigned",0,1)</f>
        <v>Luxury</v>
      </c>
      <c r="F1577" s="28" t="s">
        <v>2207</v>
      </c>
    </row>
    <row r="1578" spans="1:6" x14ac:dyDescent="0.2">
      <c r="A1578" s="30">
        <v>45966</v>
      </c>
      <c r="B1578" s="28" t="s">
        <v>11</v>
      </c>
      <c r="C1578" s="28">
        <v>95.75</v>
      </c>
      <c r="D1578" s="28" t="str">
        <f>_xlfn.XLOOKUP(B1578,'Payee Ref'!A:A,'Payee Ref'!B:B,"unassigned",0,1)</f>
        <v>Auto</v>
      </c>
      <c r="E1578" s="29" t="str">
        <f>_xlfn.XLOOKUP(B1578,'Payee Ref'!A:A,'Payee Ref'!C:C,"unassigned",0,1)</f>
        <v>Basic</v>
      </c>
      <c r="F1578" s="28" t="s">
        <v>2207</v>
      </c>
    </row>
    <row r="1579" spans="1:6" x14ac:dyDescent="0.2">
      <c r="A1579" s="30">
        <v>45757</v>
      </c>
      <c r="B1579" s="28" t="s">
        <v>1536</v>
      </c>
      <c r="C1579" s="28">
        <v>95.82</v>
      </c>
      <c r="D1579" s="28" t="str">
        <f>_xlfn.XLOOKUP(B1579,'Payee Ref'!A:A,'Payee Ref'!B:B,"unassigned",0,1)</f>
        <v>Groceries</v>
      </c>
      <c r="E1579" s="29" t="str">
        <f>_xlfn.XLOOKUP(B1579,'Payee Ref'!A:A,'Payee Ref'!C:C,"unassigned",0,1)</f>
        <v>Basic</v>
      </c>
      <c r="F1579" s="28" t="s">
        <v>2207</v>
      </c>
    </row>
    <row r="1580" spans="1:6" x14ac:dyDescent="0.2">
      <c r="A1580" s="30">
        <v>45663</v>
      </c>
      <c r="B1580" s="31" t="s">
        <v>2180</v>
      </c>
      <c r="C1580" s="28">
        <v>95.94</v>
      </c>
      <c r="D1580" s="28" t="str">
        <f>_xlfn.XLOOKUP(B1580,'Payee Ref'!A:A,'Payee Ref'!B:B,"unassigned",0,1)</f>
        <v>Travel</v>
      </c>
      <c r="E1580" s="29" t="str">
        <f>_xlfn.XLOOKUP(B1580,'Payee Ref'!A:A,'Payee Ref'!C:C,"unassigned",0,1)</f>
        <v>Luxury</v>
      </c>
      <c r="F1580" s="28" t="s">
        <v>2207</v>
      </c>
    </row>
    <row r="1581" spans="1:6" x14ac:dyDescent="0.2">
      <c r="A1581" s="30">
        <v>45715</v>
      </c>
      <c r="B1581" s="28" t="s">
        <v>1586</v>
      </c>
      <c r="C1581" s="28">
        <v>95.96</v>
      </c>
      <c r="D1581" s="28" t="str">
        <f>_xlfn.XLOOKUP(B1581,'Payee Ref'!A:A,'Payee Ref'!B:B,"unassigned",0,1)</f>
        <v>Travel</v>
      </c>
      <c r="E1581" s="29" t="str">
        <f>_xlfn.XLOOKUP(B1581,'Payee Ref'!A:A,'Payee Ref'!C:C,"unassigned",0,1)</f>
        <v>Luxury</v>
      </c>
      <c r="F1581" s="28" t="s">
        <v>2207</v>
      </c>
    </row>
    <row r="1582" spans="1:6" x14ac:dyDescent="0.2">
      <c r="A1582" s="30">
        <v>45803</v>
      </c>
      <c r="B1582" s="31" t="s">
        <v>1963</v>
      </c>
      <c r="C1582" s="28">
        <v>95.98</v>
      </c>
      <c r="D1582" s="28" t="str">
        <f>_xlfn.XLOOKUP(B1582,'Payee Ref'!A:A,'Payee Ref'!B:B,"unassigned",0,1)</f>
        <v>Travel</v>
      </c>
      <c r="E1582" s="29" t="str">
        <f>_xlfn.XLOOKUP(B1582,'Payee Ref'!A:A,'Payee Ref'!C:C,"unassigned",0,1)</f>
        <v>Luxury</v>
      </c>
      <c r="F1582" s="28" t="s">
        <v>2207</v>
      </c>
    </row>
    <row r="1583" spans="1:6" x14ac:dyDescent="0.2">
      <c r="A1583" s="30">
        <v>45859</v>
      </c>
      <c r="B1583" s="28" t="s">
        <v>1618</v>
      </c>
      <c r="C1583" s="28">
        <v>96.17</v>
      </c>
      <c r="D1583" s="28" t="str">
        <f>_xlfn.XLOOKUP(B1583,'Payee Ref'!A:A,'Payee Ref'!B:B,"unassigned",0,1)</f>
        <v>Auto</v>
      </c>
      <c r="E1583" s="29" t="str">
        <f>_xlfn.XLOOKUP(B1583,'Payee Ref'!A:A,'Payee Ref'!C:C,"unassigned",0,1)</f>
        <v>Luxury</v>
      </c>
      <c r="F1583" s="28" t="s">
        <v>2207</v>
      </c>
    </row>
    <row r="1584" spans="1:6" x14ac:dyDescent="0.2">
      <c r="A1584" s="30">
        <v>45896</v>
      </c>
      <c r="B1584" s="28" t="s">
        <v>1691</v>
      </c>
      <c r="C1584" s="28">
        <v>96.17</v>
      </c>
      <c r="D1584" s="28" t="str">
        <f>_xlfn.XLOOKUP(B1584,'Payee Ref'!A:A,'Payee Ref'!B:B,"unassigned",0,1)</f>
        <v>Auto</v>
      </c>
      <c r="E1584" s="29" t="str">
        <f>_xlfn.XLOOKUP(B1584,'Payee Ref'!A:A,'Payee Ref'!C:C,"unassigned",0,1)</f>
        <v>Basic</v>
      </c>
      <c r="F1584" s="28" t="s">
        <v>2207</v>
      </c>
    </row>
    <row r="1585" spans="1:6" x14ac:dyDescent="0.2">
      <c r="A1585" s="30">
        <v>45838</v>
      </c>
      <c r="B1585" s="31" t="s">
        <v>1871</v>
      </c>
      <c r="C1585" s="28">
        <v>96.99</v>
      </c>
      <c r="D1585" s="28" t="str">
        <f>_xlfn.XLOOKUP(B1585,'Payee Ref'!A:A,'Payee Ref'!B:B,"unassigned",0,1)</f>
        <v>Health &amp; Medical</v>
      </c>
      <c r="E1585" s="29" t="str">
        <f>_xlfn.XLOOKUP(B1585,'Payee Ref'!A:A,'Payee Ref'!C:C,"unassigned",0,1)</f>
        <v>Basic</v>
      </c>
      <c r="F1585" s="28" t="s">
        <v>2207</v>
      </c>
    </row>
    <row r="1586" spans="1:6" x14ac:dyDescent="0.2">
      <c r="A1586" s="30">
        <v>45822</v>
      </c>
      <c r="B1586" s="28" t="s">
        <v>1938</v>
      </c>
      <c r="C1586" s="28">
        <v>97.75</v>
      </c>
      <c r="D1586" s="28" t="str">
        <f>_xlfn.XLOOKUP(B1586,'Payee Ref'!A:A,'Payee Ref'!B:B,"unassigned",0,1)</f>
        <v>Dining</v>
      </c>
      <c r="E1586" s="29" t="str">
        <f>_xlfn.XLOOKUP(B1586,'Payee Ref'!A:A,'Payee Ref'!C:C,"unassigned",0,1)</f>
        <v>Luxury</v>
      </c>
      <c r="F1586" s="28" t="s">
        <v>2207</v>
      </c>
    </row>
    <row r="1587" spans="1:6" x14ac:dyDescent="0.2">
      <c r="A1587" s="30">
        <v>45829</v>
      </c>
      <c r="B1587" s="28" t="s">
        <v>1920</v>
      </c>
      <c r="C1587" s="28">
        <v>97.83</v>
      </c>
      <c r="D1587" s="28" t="str">
        <f>_xlfn.XLOOKUP(B1587,'Payee Ref'!A:A,'Payee Ref'!B:B,"unassigned",0,1)</f>
        <v>Travel</v>
      </c>
      <c r="E1587" s="29" t="str">
        <f>_xlfn.XLOOKUP(B1587,'Payee Ref'!A:A,'Payee Ref'!C:C,"unassigned",0,1)</f>
        <v>Luxury</v>
      </c>
      <c r="F1587" s="28" t="s">
        <v>2207</v>
      </c>
    </row>
    <row r="1588" spans="1:6" x14ac:dyDescent="0.2">
      <c r="A1588" s="30">
        <v>45923</v>
      </c>
      <c r="B1588" s="28" t="s">
        <v>1631</v>
      </c>
      <c r="C1588" s="28">
        <v>97.98</v>
      </c>
      <c r="D1588" s="28" t="str">
        <f>_xlfn.XLOOKUP(B1588,'Payee Ref'!A:A,'Payee Ref'!B:B,"unassigned",0,1)</f>
        <v>Auto</v>
      </c>
      <c r="E1588" s="29" t="str">
        <f>_xlfn.XLOOKUP(B1588,'Payee Ref'!A:A,'Payee Ref'!C:C,"unassigned",0,1)</f>
        <v>Basic</v>
      </c>
      <c r="F1588" s="28" t="s">
        <v>2207</v>
      </c>
    </row>
    <row r="1589" spans="1:6" x14ac:dyDescent="0.2">
      <c r="A1589" s="30">
        <v>45698</v>
      </c>
      <c r="B1589" s="28" t="s">
        <v>1688</v>
      </c>
      <c r="C1589" s="28">
        <v>98.42</v>
      </c>
      <c r="D1589" s="28" t="str">
        <f>_xlfn.XLOOKUP(B1589,'Payee Ref'!A:A,'Payee Ref'!B:B,"unassigned",0,1)</f>
        <v>Groceries</v>
      </c>
      <c r="E1589" s="29" t="str">
        <f>_xlfn.XLOOKUP(B1589,'Payee Ref'!A:A,'Payee Ref'!C:C,"unassigned",0,1)</f>
        <v>Basic</v>
      </c>
      <c r="F1589" s="28" t="s">
        <v>2207</v>
      </c>
    </row>
    <row r="1590" spans="1:6" x14ac:dyDescent="0.2">
      <c r="A1590" s="30">
        <v>45704</v>
      </c>
      <c r="B1590" s="31" t="s">
        <v>1573</v>
      </c>
      <c r="C1590" s="28">
        <v>98.76</v>
      </c>
      <c r="D1590" s="28" t="str">
        <f>_xlfn.XLOOKUP(B1590,'Payee Ref'!A:A,'Payee Ref'!B:B,"unassigned",0,1)</f>
        <v>Travel</v>
      </c>
      <c r="E1590" s="29" t="str">
        <f>_xlfn.XLOOKUP(B1590,'Payee Ref'!A:A,'Payee Ref'!C:C,"unassigned",0,1)</f>
        <v>Luxury</v>
      </c>
      <c r="F1590" s="28" t="s">
        <v>2207</v>
      </c>
    </row>
    <row r="1591" spans="1:6" x14ac:dyDescent="0.2">
      <c r="A1591" s="30">
        <v>45847</v>
      </c>
      <c r="B1591" s="28" t="s">
        <v>1846</v>
      </c>
      <c r="C1591" s="28">
        <v>98.95</v>
      </c>
      <c r="D1591" s="28" t="str">
        <f>_xlfn.XLOOKUP(B1591,'Payee Ref'!A:A,'Payee Ref'!B:B,"unassigned",0,1)</f>
        <v>Auto</v>
      </c>
      <c r="E1591" s="29" t="str">
        <f>_xlfn.XLOOKUP(B1591,'Payee Ref'!A:A,'Payee Ref'!C:C,"unassigned",0,1)</f>
        <v>Basic</v>
      </c>
      <c r="F1591" s="28" t="s">
        <v>2207</v>
      </c>
    </row>
    <row r="1592" spans="1:6" x14ac:dyDescent="0.2">
      <c r="A1592" s="30">
        <v>45783</v>
      </c>
      <c r="B1592" s="28" t="s">
        <v>2008</v>
      </c>
      <c r="C1592" s="28">
        <v>99</v>
      </c>
      <c r="D1592" s="28" t="str">
        <f>_xlfn.XLOOKUP(B1592,'Payee Ref'!A:A,'Payee Ref'!B:B,"unassigned",0,1)</f>
        <v>Groceries</v>
      </c>
      <c r="E1592" s="29" t="str">
        <f>_xlfn.XLOOKUP(B1592,'Payee Ref'!A:A,'Payee Ref'!C:C,"unassigned",0,1)</f>
        <v>Basic</v>
      </c>
      <c r="F1592" s="28" t="s">
        <v>2207</v>
      </c>
    </row>
    <row r="1593" spans="1:6" x14ac:dyDescent="0.2">
      <c r="A1593" s="30">
        <v>45853</v>
      </c>
      <c r="B1593" s="28" t="s">
        <v>1629</v>
      </c>
      <c r="C1593" s="28">
        <v>99.04</v>
      </c>
      <c r="D1593" s="28" t="str">
        <f>_xlfn.XLOOKUP(B1593,'Payee Ref'!A:A,'Payee Ref'!B:B,"unassigned",0,1)</f>
        <v>Dining</v>
      </c>
      <c r="E1593" s="29" t="str">
        <f>_xlfn.XLOOKUP(B1593,'Payee Ref'!A:A,'Payee Ref'!C:C,"unassigned",0,1)</f>
        <v>Luxury</v>
      </c>
      <c r="F1593" s="28" t="s">
        <v>2207</v>
      </c>
    </row>
    <row r="1594" spans="1:6" x14ac:dyDescent="0.2">
      <c r="A1594" s="30">
        <v>45906</v>
      </c>
      <c r="B1594" s="28" t="s">
        <v>1661</v>
      </c>
      <c r="C1594" s="28">
        <v>99.22</v>
      </c>
      <c r="D1594" s="28" t="str">
        <f>_xlfn.XLOOKUP(B1594,'Payee Ref'!A:A,'Payee Ref'!B:B,"unassigned",0,1)</f>
        <v>Van</v>
      </c>
      <c r="E1594" s="29" t="str">
        <f>_xlfn.XLOOKUP(B1594,'Payee Ref'!A:A,'Payee Ref'!C:C,"unassigned",0,1)</f>
        <v>Luxury</v>
      </c>
      <c r="F1594" s="28" t="s">
        <v>2207</v>
      </c>
    </row>
    <row r="1595" spans="1:6" x14ac:dyDescent="0.2">
      <c r="A1595" s="30">
        <v>45710</v>
      </c>
      <c r="B1595" s="28" t="s">
        <v>2111</v>
      </c>
      <c r="C1595" s="28">
        <v>99.23</v>
      </c>
      <c r="D1595" s="28" t="str">
        <f>_xlfn.XLOOKUP(B1595,'Payee Ref'!A:A,'Payee Ref'!B:B,"unassigned",0,1)</f>
        <v>Home &amp; Garden</v>
      </c>
      <c r="E1595" s="29" t="str">
        <f>_xlfn.XLOOKUP(B1595,'Payee Ref'!A:A,'Payee Ref'!C:C,"unassigned",0,1)</f>
        <v>Basic</v>
      </c>
      <c r="F1595" s="28" t="s">
        <v>2207</v>
      </c>
    </row>
    <row r="1596" spans="1:6" x14ac:dyDescent="0.2">
      <c r="A1596" s="30">
        <v>45964</v>
      </c>
      <c r="B1596" s="28" t="s">
        <v>520</v>
      </c>
      <c r="C1596" s="28">
        <v>99.3</v>
      </c>
      <c r="D1596" s="28" t="str">
        <f>_xlfn.XLOOKUP(B1596,'Payee Ref'!A:A,'Payee Ref'!B:B,"unassigned",0,1)</f>
        <v>Travel</v>
      </c>
      <c r="E1596" s="29" t="str">
        <f>_xlfn.XLOOKUP(B1596,'Payee Ref'!A:A,'Payee Ref'!C:C,"unassigned",0,1)</f>
        <v>Luxury</v>
      </c>
      <c r="F1596" s="28" t="s">
        <v>2207</v>
      </c>
    </row>
    <row r="1597" spans="1:6" x14ac:dyDescent="0.2">
      <c r="A1597" s="30">
        <v>45926</v>
      </c>
      <c r="B1597" s="28" t="s">
        <v>1622</v>
      </c>
      <c r="C1597" s="28">
        <v>99.32</v>
      </c>
      <c r="D1597" s="28">
        <f>_xlfn.XLOOKUP(B1597,'Payee Ref'!A:A,'Payee Ref'!B:B,"unassigned",0,1)</f>
        <v>0</v>
      </c>
      <c r="E1597" s="29">
        <f>_xlfn.XLOOKUP(B1597,'Payee Ref'!A:A,'Payee Ref'!C:C,"unassigned",0,1)</f>
        <v>0</v>
      </c>
      <c r="F1597" s="28" t="s">
        <v>2207</v>
      </c>
    </row>
    <row r="1598" spans="1:6" x14ac:dyDescent="0.2">
      <c r="A1598" s="30">
        <v>45674</v>
      </c>
      <c r="B1598" s="28" t="s">
        <v>2163</v>
      </c>
      <c r="C1598" s="28">
        <v>99.99</v>
      </c>
      <c r="D1598" s="28" t="str">
        <f>_xlfn.XLOOKUP(B1598,'Payee Ref'!A:A,'Payee Ref'!B:B,"unassigned",0,1)</f>
        <v>Subscriptions / Digital</v>
      </c>
      <c r="E1598" s="29" t="str">
        <f>_xlfn.XLOOKUP(B1598,'Payee Ref'!A:A,'Payee Ref'!C:C,"unassigned",0,1)</f>
        <v>Basic</v>
      </c>
      <c r="F1598" s="28" t="s">
        <v>2207</v>
      </c>
    </row>
    <row r="1599" spans="1:6" x14ac:dyDescent="0.2">
      <c r="A1599" s="30">
        <v>45926</v>
      </c>
      <c r="B1599" s="28" t="s">
        <v>1623</v>
      </c>
      <c r="C1599" s="28">
        <v>100</v>
      </c>
      <c r="D1599" s="28" t="str">
        <f>_xlfn.XLOOKUP(B1599,'Payee Ref'!A:A,'Payee Ref'!B:B,"unassigned",0,1)</f>
        <v>Auto</v>
      </c>
      <c r="E1599" s="29" t="str">
        <f>_xlfn.XLOOKUP(B1599,'Payee Ref'!A:A,'Payee Ref'!C:C,"unassigned",0,1)</f>
        <v>Basic</v>
      </c>
      <c r="F1599" s="28" t="s">
        <v>2207</v>
      </c>
    </row>
    <row r="1600" spans="1:6" x14ac:dyDescent="0.2">
      <c r="A1600" s="30">
        <v>45887</v>
      </c>
      <c r="B1600" s="28" t="s">
        <v>1623</v>
      </c>
      <c r="C1600" s="28">
        <v>100</v>
      </c>
      <c r="D1600" s="28" t="str">
        <f>_xlfn.XLOOKUP(B1600,'Payee Ref'!A:A,'Payee Ref'!B:B,"unassigned",0,1)</f>
        <v>Auto</v>
      </c>
      <c r="E1600" s="29" t="str">
        <f>_xlfn.XLOOKUP(B1600,'Payee Ref'!A:A,'Payee Ref'!C:C,"unassigned",0,1)</f>
        <v>Basic</v>
      </c>
      <c r="F1600" s="28" t="s">
        <v>2207</v>
      </c>
    </row>
    <row r="1601" spans="1:6" x14ac:dyDescent="0.2">
      <c r="A1601" s="30">
        <v>45808</v>
      </c>
      <c r="B1601" s="28" t="s">
        <v>1623</v>
      </c>
      <c r="C1601" s="28">
        <v>100</v>
      </c>
      <c r="D1601" s="28" t="str">
        <f>_xlfn.XLOOKUP(B1601,'Payee Ref'!A:A,'Payee Ref'!B:B,"unassigned",0,1)</f>
        <v>Auto</v>
      </c>
      <c r="E1601" s="29" t="str">
        <f>_xlfn.XLOOKUP(B1601,'Payee Ref'!A:A,'Payee Ref'!C:C,"unassigned",0,1)</f>
        <v>Basic</v>
      </c>
      <c r="F1601" s="28" t="s">
        <v>2207</v>
      </c>
    </row>
    <row r="1602" spans="1:6" x14ac:dyDescent="0.2">
      <c r="A1602" s="30">
        <v>45774</v>
      </c>
      <c r="B1602" s="28" t="s">
        <v>1623</v>
      </c>
      <c r="C1602" s="28">
        <v>100</v>
      </c>
      <c r="D1602" s="28" t="str">
        <f>_xlfn.XLOOKUP(B1602,'Payee Ref'!A:A,'Payee Ref'!B:B,"unassigned",0,1)</f>
        <v>Auto</v>
      </c>
      <c r="E1602" s="29" t="str">
        <f>_xlfn.XLOOKUP(B1602,'Payee Ref'!A:A,'Payee Ref'!C:C,"unassigned",0,1)</f>
        <v>Basic</v>
      </c>
      <c r="F1602" s="28" t="s">
        <v>2207</v>
      </c>
    </row>
    <row r="1603" spans="1:6" x14ac:dyDescent="0.2">
      <c r="A1603" s="30">
        <v>45731</v>
      </c>
      <c r="B1603" s="28" t="s">
        <v>1623</v>
      </c>
      <c r="C1603" s="28">
        <v>100</v>
      </c>
      <c r="D1603" s="28" t="str">
        <f>_xlfn.XLOOKUP(B1603,'Payee Ref'!A:A,'Payee Ref'!B:B,"unassigned",0,1)</f>
        <v>Auto</v>
      </c>
      <c r="E1603" s="29" t="str">
        <f>_xlfn.XLOOKUP(B1603,'Payee Ref'!A:A,'Payee Ref'!C:C,"unassigned",0,1)</f>
        <v>Basic</v>
      </c>
      <c r="F1603" s="28" t="s">
        <v>2207</v>
      </c>
    </row>
    <row r="1604" spans="1:6" x14ac:dyDescent="0.2">
      <c r="A1604" s="30">
        <v>45675</v>
      </c>
      <c r="B1604" s="28" t="s">
        <v>1623</v>
      </c>
      <c r="C1604" s="28">
        <v>100</v>
      </c>
      <c r="D1604" s="28" t="str">
        <f>_xlfn.XLOOKUP(B1604,'Payee Ref'!A:A,'Payee Ref'!B:B,"unassigned",0,1)</f>
        <v>Auto</v>
      </c>
      <c r="E1604" s="29" t="str">
        <f>_xlfn.XLOOKUP(B1604,'Payee Ref'!A:A,'Payee Ref'!C:C,"unassigned",0,1)</f>
        <v>Basic</v>
      </c>
      <c r="F1604" s="28" t="s">
        <v>2207</v>
      </c>
    </row>
    <row r="1605" spans="1:6" x14ac:dyDescent="0.2">
      <c r="A1605" s="30">
        <v>45888</v>
      </c>
      <c r="B1605" s="28" t="s">
        <v>1654</v>
      </c>
      <c r="C1605" s="28">
        <v>100</v>
      </c>
      <c r="D1605" s="28" t="str">
        <f>_xlfn.XLOOKUP(B1605,'Payee Ref'!A:A,'Payee Ref'!B:B,"unassigned",0,1)</f>
        <v>Clothing</v>
      </c>
      <c r="E1605" s="29" t="str">
        <f>_xlfn.XLOOKUP(B1605,'Payee Ref'!A:A,'Payee Ref'!C:C,"unassigned",0,1)</f>
        <v>Basic</v>
      </c>
      <c r="F1605" s="28" t="s">
        <v>2207</v>
      </c>
    </row>
    <row r="1606" spans="1:6" x14ac:dyDescent="0.2">
      <c r="A1606" s="30">
        <v>45786</v>
      </c>
      <c r="B1606" s="28" t="s">
        <v>1568</v>
      </c>
      <c r="C1606" s="28">
        <v>100</v>
      </c>
      <c r="D1606" s="28" t="str">
        <f>_xlfn.XLOOKUP(B1606,'Payee Ref'!A:A,'Payee Ref'!B:B,"unassigned",0,1)</f>
        <v>Credit Card Payment</v>
      </c>
      <c r="E1606" s="29" t="str">
        <f>_xlfn.XLOOKUP(B1606,'Payee Ref'!A:A,'Payee Ref'!C:C,"unassigned",0,1)</f>
        <v>Basic</v>
      </c>
      <c r="F1606" s="28" t="s">
        <v>2207</v>
      </c>
    </row>
    <row r="1607" spans="1:6" x14ac:dyDescent="0.2">
      <c r="A1607" s="30">
        <v>45857</v>
      </c>
      <c r="B1607" s="28" t="s">
        <v>1551</v>
      </c>
      <c r="C1607" s="28">
        <v>100</v>
      </c>
      <c r="D1607" s="28" t="str">
        <f>_xlfn.XLOOKUP(B1607,'Payee Ref'!A:A,'Payee Ref'!B:B,"unassigned",0,1)</f>
        <v>Groceries</v>
      </c>
      <c r="E1607" s="29" t="str">
        <f>_xlfn.XLOOKUP(B1607,'Payee Ref'!A:A,'Payee Ref'!C:C,"unassigned",0,1)</f>
        <v>Basic</v>
      </c>
      <c r="F1607" s="28" t="s">
        <v>2207</v>
      </c>
    </row>
    <row r="1608" spans="1:6" x14ac:dyDescent="0.2">
      <c r="A1608" s="30">
        <v>45857</v>
      </c>
      <c r="B1608" s="28" t="s">
        <v>1551</v>
      </c>
      <c r="C1608" s="28">
        <v>100</v>
      </c>
      <c r="D1608" s="28" t="str">
        <f>_xlfn.XLOOKUP(B1608,'Payee Ref'!A:A,'Payee Ref'!B:B,"unassigned",0,1)</f>
        <v>Groceries</v>
      </c>
      <c r="E1608" s="29" t="str">
        <f>_xlfn.XLOOKUP(B1608,'Payee Ref'!A:A,'Payee Ref'!C:C,"unassigned",0,1)</f>
        <v>Basic</v>
      </c>
      <c r="F1608" s="28" t="s">
        <v>2207</v>
      </c>
    </row>
    <row r="1609" spans="1:6" x14ac:dyDescent="0.2">
      <c r="A1609" s="30">
        <v>45857</v>
      </c>
      <c r="B1609" s="28" t="s">
        <v>1551</v>
      </c>
      <c r="C1609" s="28">
        <v>100</v>
      </c>
      <c r="D1609" s="28" t="str">
        <f>_xlfn.XLOOKUP(B1609,'Payee Ref'!A:A,'Payee Ref'!B:B,"unassigned",0,1)</f>
        <v>Groceries</v>
      </c>
      <c r="E1609" s="29" t="str">
        <f>_xlfn.XLOOKUP(B1609,'Payee Ref'!A:A,'Payee Ref'!C:C,"unassigned",0,1)</f>
        <v>Basic</v>
      </c>
      <c r="F1609" s="28" t="s">
        <v>2207</v>
      </c>
    </row>
    <row r="1610" spans="1:6" x14ac:dyDescent="0.2">
      <c r="A1610" s="30">
        <v>45971</v>
      </c>
      <c r="B1610" s="28" t="s">
        <v>492</v>
      </c>
      <c r="C1610" s="28">
        <v>100</v>
      </c>
      <c r="D1610" s="28" t="str">
        <f>_xlfn.XLOOKUP(B1610,'Payee Ref'!A:A,'Payee Ref'!B:B,"unassigned",0,1)</f>
        <v>Transfer</v>
      </c>
      <c r="E1610" s="29" t="str">
        <f>_xlfn.XLOOKUP(B1610,'Payee Ref'!A:A,'Payee Ref'!C:C,"unassigned",0,1)</f>
        <v>Basic</v>
      </c>
      <c r="F1610" s="28" t="s">
        <v>2207</v>
      </c>
    </row>
    <row r="1611" spans="1:6" x14ac:dyDescent="0.2">
      <c r="A1611" s="30">
        <v>45967</v>
      </c>
      <c r="B1611" s="28" t="s">
        <v>492</v>
      </c>
      <c r="C1611" s="28">
        <v>100</v>
      </c>
      <c r="D1611" s="28" t="str">
        <f>_xlfn.XLOOKUP(B1611,'Payee Ref'!A:A,'Payee Ref'!B:B,"unassigned",0,1)</f>
        <v>Transfer</v>
      </c>
      <c r="E1611" s="29" t="str">
        <f>_xlfn.XLOOKUP(B1611,'Payee Ref'!A:A,'Payee Ref'!C:C,"unassigned",0,1)</f>
        <v>Basic</v>
      </c>
      <c r="F1611" s="28" t="s">
        <v>2207</v>
      </c>
    </row>
    <row r="1612" spans="1:6" x14ac:dyDescent="0.2">
      <c r="A1612" s="30">
        <v>45878</v>
      </c>
      <c r="B1612" s="31" t="s">
        <v>1744</v>
      </c>
      <c r="C1612" s="28">
        <v>100.51</v>
      </c>
      <c r="D1612" s="28" t="str">
        <f>_xlfn.XLOOKUP(B1612,'Payee Ref'!A:A,'Payee Ref'!B:B,"unassigned",0,1)</f>
        <v>Travel</v>
      </c>
      <c r="E1612" s="29" t="str">
        <f>_xlfn.XLOOKUP(B1612,'Payee Ref'!A:A,'Payee Ref'!C:C,"unassigned",0,1)</f>
        <v>Luxury</v>
      </c>
      <c r="F1612" s="28" t="s">
        <v>2207</v>
      </c>
    </row>
    <row r="1613" spans="1:6" x14ac:dyDescent="0.2">
      <c r="A1613" s="30">
        <v>45744</v>
      </c>
      <c r="B1613" s="28" t="s">
        <v>2059</v>
      </c>
      <c r="C1613" s="28">
        <v>101.48</v>
      </c>
      <c r="D1613" s="28" t="str">
        <f>_xlfn.XLOOKUP(B1613,'Payee Ref'!A:A,'Payee Ref'!B:B,"unassigned",0,1)</f>
        <v>Travel</v>
      </c>
      <c r="E1613" s="29" t="str">
        <f>_xlfn.XLOOKUP(B1613,'Payee Ref'!A:A,'Payee Ref'!C:C,"unassigned",0,1)</f>
        <v>Luxury</v>
      </c>
      <c r="F1613" s="28" t="s">
        <v>2207</v>
      </c>
    </row>
    <row r="1614" spans="1:6" x14ac:dyDescent="0.2">
      <c r="A1614" s="30">
        <v>45965</v>
      </c>
      <c r="B1614" s="28" t="s">
        <v>1197</v>
      </c>
      <c r="C1614" s="28">
        <v>101.52</v>
      </c>
      <c r="D1614" s="28" t="str">
        <f>_xlfn.XLOOKUP(B1614,'Payee Ref'!A:A,'Payee Ref'!B:B,"unassigned",0,1)</f>
        <v>Travel</v>
      </c>
      <c r="E1614" s="29" t="str">
        <f>_xlfn.XLOOKUP(B1614,'Payee Ref'!A:A,'Payee Ref'!C:C,"unassigned",0,1)</f>
        <v>Luxury</v>
      </c>
      <c r="F1614" s="28" t="s">
        <v>2207</v>
      </c>
    </row>
    <row r="1615" spans="1:6" x14ac:dyDescent="0.2">
      <c r="A1615" s="30">
        <v>45879</v>
      </c>
      <c r="B1615" s="28" t="s">
        <v>1588</v>
      </c>
      <c r="C1615" s="28">
        <v>102.57</v>
      </c>
      <c r="D1615" s="28" t="str">
        <f>_xlfn.XLOOKUP(B1615,'Payee Ref'!A:A,'Payee Ref'!B:B,"unassigned",0,1)</f>
        <v>Groceries</v>
      </c>
      <c r="E1615" s="29" t="str">
        <f>_xlfn.XLOOKUP(B1615,'Payee Ref'!A:A,'Payee Ref'!C:C,"unassigned",0,1)</f>
        <v>Basic</v>
      </c>
      <c r="F1615" s="28" t="s">
        <v>2207</v>
      </c>
    </row>
    <row r="1616" spans="1:6" x14ac:dyDescent="0.2">
      <c r="A1616" s="30">
        <v>45685</v>
      </c>
      <c r="B1616" s="28" t="s">
        <v>2148</v>
      </c>
      <c r="C1616" s="28">
        <v>103</v>
      </c>
      <c r="D1616" s="28" t="str">
        <f>_xlfn.XLOOKUP(B1616,'Payee Ref'!A:A,'Payee Ref'!B:B,"unassigned",0,1)</f>
        <v>Pets</v>
      </c>
      <c r="E1616" s="29" t="str">
        <f>_xlfn.XLOOKUP(B1616,'Payee Ref'!A:A,'Payee Ref'!C:C,"unassigned",0,1)</f>
        <v>Luxury</v>
      </c>
      <c r="F1616" s="28" t="s">
        <v>2207</v>
      </c>
    </row>
    <row r="1617" spans="1:6" x14ac:dyDescent="0.2">
      <c r="A1617" s="30">
        <v>45662</v>
      </c>
      <c r="B1617" s="28" t="s">
        <v>2181</v>
      </c>
      <c r="C1617" s="28">
        <v>103.27</v>
      </c>
      <c r="D1617" s="28" t="str">
        <f>_xlfn.XLOOKUP(B1617,'Payee Ref'!A:A,'Payee Ref'!B:B,"unassigned",0,1)</f>
        <v>Clothing</v>
      </c>
      <c r="E1617" s="29" t="str">
        <f>_xlfn.XLOOKUP(B1617,'Payee Ref'!A:A,'Payee Ref'!C:C,"unassigned",0,1)</f>
        <v>Luxury</v>
      </c>
      <c r="F1617" s="28" t="s">
        <v>2207</v>
      </c>
    </row>
    <row r="1618" spans="1:6" x14ac:dyDescent="0.2">
      <c r="A1618" s="30">
        <v>45678</v>
      </c>
      <c r="B1618" s="31" t="s">
        <v>2157</v>
      </c>
      <c r="C1618" s="28">
        <v>104.83</v>
      </c>
      <c r="D1618" s="28" t="str">
        <f>_xlfn.XLOOKUP(B1618,'Payee Ref'!A:A,'Payee Ref'!B:B,"unassigned",0,1)</f>
        <v>Home &amp; Garden</v>
      </c>
      <c r="E1618" s="29" t="str">
        <f>_xlfn.XLOOKUP(B1618,'Payee Ref'!A:A,'Payee Ref'!C:C,"unassigned",0,1)</f>
        <v>Basic</v>
      </c>
      <c r="F1618" s="28" t="s">
        <v>2207</v>
      </c>
    </row>
    <row r="1619" spans="1:6" x14ac:dyDescent="0.2">
      <c r="A1619" s="30">
        <v>45755</v>
      </c>
      <c r="B1619" s="28" t="s">
        <v>2045</v>
      </c>
      <c r="C1619" s="28">
        <v>105</v>
      </c>
      <c r="D1619" s="28" t="str">
        <f>_xlfn.XLOOKUP(B1619,'Payee Ref'!A:A,'Payee Ref'!B:B,"unassigned",0,1)</f>
        <v>Travel</v>
      </c>
      <c r="E1619" s="29" t="str">
        <f>_xlfn.XLOOKUP(B1619,'Payee Ref'!A:A,'Payee Ref'!C:C,"unassigned",0,1)</f>
        <v>Luxury</v>
      </c>
      <c r="F1619" s="28" t="s">
        <v>2207</v>
      </c>
    </row>
    <row r="1620" spans="1:6" x14ac:dyDescent="0.2">
      <c r="A1620" s="30">
        <v>45947</v>
      </c>
      <c r="B1620" s="28" t="s">
        <v>266</v>
      </c>
      <c r="C1620" s="28">
        <v>105.31</v>
      </c>
      <c r="D1620" s="28" t="str">
        <f>_xlfn.XLOOKUP(B1620,'Payee Ref'!A:A,'Payee Ref'!B:B,"unassigned",0,1)</f>
        <v>Dining</v>
      </c>
      <c r="E1620" s="29" t="str">
        <f>_xlfn.XLOOKUP(B1620,'Payee Ref'!A:A,'Payee Ref'!C:C,"unassigned",0,1)</f>
        <v>Luxury</v>
      </c>
      <c r="F1620" s="28" t="s">
        <v>2207</v>
      </c>
    </row>
    <row r="1621" spans="1:6" x14ac:dyDescent="0.2">
      <c r="A1621" s="30">
        <v>45774</v>
      </c>
      <c r="B1621" s="28" t="s">
        <v>2019</v>
      </c>
      <c r="C1621" s="28">
        <v>107.36</v>
      </c>
      <c r="D1621" s="28" t="str">
        <f>_xlfn.XLOOKUP(B1621,'Payee Ref'!A:A,'Payee Ref'!B:B,"unassigned",0,1)</f>
        <v>Clothing</v>
      </c>
      <c r="E1621" s="29" t="str">
        <f>_xlfn.XLOOKUP(B1621,'Payee Ref'!A:A,'Payee Ref'!C:C,"unassigned",0,1)</f>
        <v>Luxury</v>
      </c>
      <c r="F1621" s="28" t="s">
        <v>2207</v>
      </c>
    </row>
    <row r="1622" spans="1:6" x14ac:dyDescent="0.2">
      <c r="A1622" s="30">
        <v>45810</v>
      </c>
      <c r="B1622" s="31" t="s">
        <v>1963</v>
      </c>
      <c r="C1622" s="28">
        <v>107.49</v>
      </c>
      <c r="D1622" s="28" t="str">
        <f>_xlfn.XLOOKUP(B1622,'Payee Ref'!A:A,'Payee Ref'!B:B,"unassigned",0,1)</f>
        <v>Travel</v>
      </c>
      <c r="E1622" s="29" t="str">
        <f>_xlfn.XLOOKUP(B1622,'Payee Ref'!A:A,'Payee Ref'!C:C,"unassigned",0,1)</f>
        <v>Luxury</v>
      </c>
      <c r="F1622" s="28" t="s">
        <v>2207</v>
      </c>
    </row>
    <row r="1623" spans="1:6" x14ac:dyDescent="0.2">
      <c r="A1623" s="30">
        <v>45891</v>
      </c>
      <c r="B1623" s="28" t="s">
        <v>1536</v>
      </c>
      <c r="C1623" s="28">
        <v>107.77</v>
      </c>
      <c r="D1623" s="28" t="str">
        <f>_xlfn.XLOOKUP(B1623,'Payee Ref'!A:A,'Payee Ref'!B:B,"unassigned",0,1)</f>
        <v>Groceries</v>
      </c>
      <c r="E1623" s="29" t="str">
        <f>_xlfn.XLOOKUP(B1623,'Payee Ref'!A:A,'Payee Ref'!C:C,"unassigned",0,1)</f>
        <v>Basic</v>
      </c>
      <c r="F1623" s="28" t="s">
        <v>2207</v>
      </c>
    </row>
    <row r="1624" spans="1:6" x14ac:dyDescent="0.2">
      <c r="A1624" s="30">
        <v>45864</v>
      </c>
      <c r="B1624" s="31" t="s">
        <v>1798</v>
      </c>
      <c r="C1624" s="28">
        <v>108</v>
      </c>
      <c r="D1624" s="28" t="str">
        <f>_xlfn.XLOOKUP(B1624,'Payee Ref'!A:A,'Payee Ref'!B:B,"unassigned",0,1)</f>
        <v>Charitable Contributions</v>
      </c>
      <c r="E1624" s="29" t="str">
        <f>_xlfn.XLOOKUP(B1624,'Payee Ref'!A:A,'Payee Ref'!C:C,"unassigned",0,1)</f>
        <v>Basic</v>
      </c>
      <c r="F1624" s="28" t="s">
        <v>2207</v>
      </c>
    </row>
    <row r="1625" spans="1:6" x14ac:dyDescent="0.2">
      <c r="A1625" s="30">
        <v>45737</v>
      </c>
      <c r="B1625" s="28" t="s">
        <v>1654</v>
      </c>
      <c r="C1625" s="28">
        <v>108.11</v>
      </c>
      <c r="D1625" s="28" t="str">
        <f>_xlfn.XLOOKUP(B1625,'Payee Ref'!A:A,'Payee Ref'!B:B,"unassigned",0,1)</f>
        <v>Clothing</v>
      </c>
      <c r="E1625" s="29" t="str">
        <f>_xlfn.XLOOKUP(B1625,'Payee Ref'!A:A,'Payee Ref'!C:C,"unassigned",0,1)</f>
        <v>Basic</v>
      </c>
      <c r="F1625" s="28" t="s">
        <v>2207</v>
      </c>
    </row>
    <row r="1626" spans="1:6" x14ac:dyDescent="0.2">
      <c r="A1626" s="30">
        <v>45928</v>
      </c>
      <c r="B1626" s="31" t="s">
        <v>1615</v>
      </c>
      <c r="C1626" s="28">
        <v>108.14</v>
      </c>
      <c r="D1626" s="28" t="str">
        <f>_xlfn.XLOOKUP(B1626,'Payee Ref'!A:A,'Payee Ref'!B:B,"unassigned",0,1)</f>
        <v>Enrichment</v>
      </c>
      <c r="E1626" s="29" t="str">
        <f>_xlfn.XLOOKUP(B1626,'Payee Ref'!A:A,'Payee Ref'!C:C,"unassigned",0,1)</f>
        <v>Basic</v>
      </c>
      <c r="F1626" s="28" t="s">
        <v>2207</v>
      </c>
    </row>
    <row r="1627" spans="1:6" x14ac:dyDescent="0.2">
      <c r="A1627" s="30">
        <v>45976</v>
      </c>
      <c r="B1627" s="28" t="s">
        <v>750</v>
      </c>
      <c r="C1627" s="28">
        <v>109.25</v>
      </c>
      <c r="D1627" s="28" t="str">
        <f>_xlfn.XLOOKUP(B1627,'Payee Ref'!A:A,'Payee Ref'!B:B,"unassigned",0,1)</f>
        <v>Home &amp; Garden</v>
      </c>
      <c r="E1627" s="29" t="str">
        <f>_xlfn.XLOOKUP(B1627,'Payee Ref'!A:A,'Payee Ref'!C:C,"unassigned",0,1)</f>
        <v>Basic</v>
      </c>
      <c r="F1627" s="28" t="s">
        <v>2207</v>
      </c>
    </row>
    <row r="1628" spans="1:6" x14ac:dyDescent="0.2">
      <c r="A1628" s="30">
        <v>45815</v>
      </c>
      <c r="B1628" s="28" t="s">
        <v>1811</v>
      </c>
      <c r="C1628" s="28">
        <v>109.66</v>
      </c>
      <c r="D1628" s="28" t="str">
        <f>_xlfn.XLOOKUP(B1628,'Payee Ref'!A:A,'Payee Ref'!B:B,"unassigned",0,1)</f>
        <v>Groceries</v>
      </c>
      <c r="E1628" s="29" t="str">
        <f>_xlfn.XLOOKUP(B1628,'Payee Ref'!A:A,'Payee Ref'!C:C,"unassigned",0,1)</f>
        <v>Basic</v>
      </c>
      <c r="F1628" s="28" t="s">
        <v>2207</v>
      </c>
    </row>
    <row r="1629" spans="1:6" x14ac:dyDescent="0.2">
      <c r="A1629" s="30">
        <v>45810</v>
      </c>
      <c r="B1629" s="28" t="s">
        <v>1962</v>
      </c>
      <c r="C1629" s="28">
        <v>110</v>
      </c>
      <c r="D1629" s="28" t="str">
        <f>_xlfn.XLOOKUP(B1629,'Payee Ref'!A:A,'Payee Ref'!B:B,"unassigned",0,1)</f>
        <v>Travel</v>
      </c>
      <c r="E1629" s="29" t="str">
        <f>_xlfn.XLOOKUP(B1629,'Payee Ref'!A:A,'Payee Ref'!C:C,"unassigned",0,1)</f>
        <v>Luxury</v>
      </c>
      <c r="F1629" s="28" t="s">
        <v>2207</v>
      </c>
    </row>
    <row r="1630" spans="1:6" x14ac:dyDescent="0.2">
      <c r="A1630" s="30">
        <v>45745</v>
      </c>
      <c r="B1630" s="28" t="s">
        <v>2058</v>
      </c>
      <c r="C1630" s="28">
        <v>110</v>
      </c>
      <c r="D1630" s="28" t="str">
        <f>_xlfn.XLOOKUP(B1630,'Payee Ref'!A:A,'Payee Ref'!B:B,"unassigned",0,1)</f>
        <v>Travel</v>
      </c>
      <c r="E1630" s="29" t="str">
        <f>_xlfn.XLOOKUP(B1630,'Payee Ref'!A:A,'Payee Ref'!C:C,"unassigned",0,1)</f>
        <v>Luxury</v>
      </c>
      <c r="F1630" s="28" t="s">
        <v>2207</v>
      </c>
    </row>
    <row r="1631" spans="1:6" x14ac:dyDescent="0.2">
      <c r="A1631" s="30">
        <v>45929</v>
      </c>
      <c r="B1631" s="28" t="s">
        <v>1611</v>
      </c>
      <c r="C1631" s="28">
        <v>110</v>
      </c>
      <c r="D1631" s="28" t="str">
        <f>_xlfn.XLOOKUP(B1631,'Payee Ref'!A:A,'Payee Ref'!B:B,"unassigned",0,1)</f>
        <v>Health &amp; Medical</v>
      </c>
      <c r="E1631" s="29" t="str">
        <f>_xlfn.XLOOKUP(B1631,'Payee Ref'!A:A,'Payee Ref'!C:C,"unassigned",0,1)</f>
        <v>Basic</v>
      </c>
      <c r="F1631" s="28" t="s">
        <v>2207</v>
      </c>
    </row>
    <row r="1632" spans="1:6" x14ac:dyDescent="0.2">
      <c r="A1632" s="30">
        <v>45795</v>
      </c>
      <c r="B1632" s="28" t="s">
        <v>1992</v>
      </c>
      <c r="C1632" s="28">
        <v>110.24</v>
      </c>
      <c r="D1632" s="28" t="str">
        <f>_xlfn.XLOOKUP(B1632,'Payee Ref'!A:A,'Payee Ref'!B:B,"unassigned",0,1)</f>
        <v>Clothing</v>
      </c>
      <c r="E1632" s="29" t="str">
        <f>_xlfn.XLOOKUP(B1632,'Payee Ref'!A:A,'Payee Ref'!C:C,"unassigned",0,1)</f>
        <v>Luxury</v>
      </c>
      <c r="F1632" s="28" t="s">
        <v>2207</v>
      </c>
    </row>
    <row r="1633" spans="1:6" x14ac:dyDescent="0.2">
      <c r="A1633" s="30">
        <v>45941</v>
      </c>
      <c r="B1633" s="28" t="s">
        <v>1209</v>
      </c>
      <c r="C1633" s="28">
        <v>110.34</v>
      </c>
      <c r="D1633" s="28" t="str">
        <f>_xlfn.XLOOKUP(B1633,'Payee Ref'!A:A,'Payee Ref'!B:B,"unassigned",0,1)</f>
        <v/>
      </c>
      <c r="E1633" s="29">
        <f>_xlfn.XLOOKUP(B1633,'Payee Ref'!A:A,'Payee Ref'!C:C,"unassigned",0,1)</f>
        <v>0</v>
      </c>
      <c r="F1633" s="28" t="s">
        <v>2207</v>
      </c>
    </row>
    <row r="1634" spans="1:6" x14ac:dyDescent="0.2">
      <c r="A1634" s="30">
        <v>45703</v>
      </c>
      <c r="B1634" s="31" t="s">
        <v>2121</v>
      </c>
      <c r="C1634" s="28">
        <v>110.34</v>
      </c>
      <c r="D1634" s="28" t="str">
        <f>_xlfn.XLOOKUP(B1634,'Payee Ref'!A:A,'Payee Ref'!B:B,"unassigned",0,1)</f>
        <v>Home &amp; Garden</v>
      </c>
      <c r="E1634" s="29" t="str">
        <f>_xlfn.XLOOKUP(B1634,'Payee Ref'!A:A,'Payee Ref'!C:C,"unassigned",0,1)</f>
        <v>Basic</v>
      </c>
      <c r="F1634" s="28" t="s">
        <v>2207</v>
      </c>
    </row>
    <row r="1635" spans="1:6" x14ac:dyDescent="0.2">
      <c r="A1635" s="30">
        <v>45887</v>
      </c>
      <c r="B1635" s="28" t="s">
        <v>1600</v>
      </c>
      <c r="C1635" s="28">
        <v>110.34</v>
      </c>
      <c r="D1635" s="28" t="str">
        <f>_xlfn.XLOOKUP(B1635,'Payee Ref'!A:A,'Payee Ref'!B:B,"unassigned",0,1)</f>
        <v>Pets</v>
      </c>
      <c r="E1635" s="29" t="str">
        <f>_xlfn.XLOOKUP(B1635,'Payee Ref'!A:A,'Payee Ref'!C:C,"unassigned",0,1)</f>
        <v>Luxury</v>
      </c>
      <c r="F1635" s="28" t="s">
        <v>2207</v>
      </c>
    </row>
    <row r="1636" spans="1:6" x14ac:dyDescent="0.2">
      <c r="A1636" s="30">
        <v>45990</v>
      </c>
      <c r="B1636" s="28" t="s">
        <v>1514</v>
      </c>
      <c r="C1636" s="28">
        <v>110.4</v>
      </c>
      <c r="D1636" s="28" t="str">
        <f>_xlfn.XLOOKUP(B1636,'Payee Ref'!A:A,'Payee Ref'!B:B,"unassigned",0,1)</f>
        <v>Travel</v>
      </c>
      <c r="E1636" s="29" t="str">
        <f>_xlfn.XLOOKUP(B1636,'Payee Ref'!A:A,'Payee Ref'!C:C,"unassigned",0,1)</f>
        <v>Luxury</v>
      </c>
      <c r="F1636" s="28" t="s">
        <v>2207</v>
      </c>
    </row>
    <row r="1637" spans="1:6" x14ac:dyDescent="0.2">
      <c r="A1637" s="30">
        <v>45987</v>
      </c>
      <c r="B1637" s="28" t="s">
        <v>1528</v>
      </c>
      <c r="C1637" s="28">
        <v>111.25</v>
      </c>
      <c r="D1637" s="28" t="str">
        <f>_xlfn.XLOOKUP(B1637,'Payee Ref'!A:A,'Payee Ref'!B:B,"unassigned",0,1)</f>
        <v>Dining</v>
      </c>
      <c r="E1637" s="29" t="str">
        <f>_xlfn.XLOOKUP(B1637,'Payee Ref'!A:A,'Payee Ref'!C:C,"unassigned",0,1)</f>
        <v>Luxury</v>
      </c>
      <c r="F1637" s="28" t="s">
        <v>2207</v>
      </c>
    </row>
    <row r="1638" spans="1:6" x14ac:dyDescent="0.2">
      <c r="A1638" s="30">
        <v>45962</v>
      </c>
      <c r="B1638" s="28" t="s">
        <v>221</v>
      </c>
      <c r="C1638" s="28">
        <v>111.99</v>
      </c>
      <c r="D1638" s="28" t="str">
        <f>_xlfn.XLOOKUP(B1638,'Payee Ref'!A:A,'Payee Ref'!B:B,"unassigned",0,1)</f>
        <v>Travel</v>
      </c>
      <c r="E1638" s="29" t="str">
        <f>_xlfn.XLOOKUP(B1638,'Payee Ref'!A:A,'Payee Ref'!C:C,"unassigned",0,1)</f>
        <v>Luxury</v>
      </c>
      <c r="F1638" s="28" t="s">
        <v>2207</v>
      </c>
    </row>
    <row r="1639" spans="1:6" x14ac:dyDescent="0.2">
      <c r="A1639" s="30">
        <v>45944</v>
      </c>
      <c r="B1639" s="28" t="s">
        <v>578</v>
      </c>
      <c r="C1639" s="28">
        <v>112.19</v>
      </c>
      <c r="D1639" s="28" t="str">
        <f>_xlfn.XLOOKUP(B1639,'Payee Ref'!A:A,'Payee Ref'!B:B,"unassigned",0,1)</f>
        <v>Groceries</v>
      </c>
      <c r="E1639" s="29" t="str">
        <f>_xlfn.XLOOKUP(B1639,'Payee Ref'!A:A,'Payee Ref'!C:C,"unassigned",0,1)</f>
        <v>Luxury</v>
      </c>
      <c r="F1639" s="28" t="s">
        <v>2207</v>
      </c>
    </row>
    <row r="1640" spans="1:6" x14ac:dyDescent="0.2">
      <c r="A1640" s="30">
        <v>45774</v>
      </c>
      <c r="B1640" s="28" t="s">
        <v>2018</v>
      </c>
      <c r="C1640" s="28">
        <v>114.44</v>
      </c>
      <c r="D1640" s="28" t="str">
        <f>_xlfn.XLOOKUP(B1640,'Payee Ref'!A:A,'Payee Ref'!B:B,"unassigned",0,1)</f>
        <v>Dining</v>
      </c>
      <c r="E1640" s="29" t="str">
        <f>_xlfn.XLOOKUP(B1640,'Payee Ref'!A:A,'Payee Ref'!C:C,"unassigned",0,1)</f>
        <v>Luxury</v>
      </c>
      <c r="F1640" s="28" t="s">
        <v>2207</v>
      </c>
    </row>
    <row r="1641" spans="1:6" x14ac:dyDescent="0.2">
      <c r="A1641" s="30">
        <v>45867</v>
      </c>
      <c r="B1641" s="28" t="s">
        <v>1780</v>
      </c>
      <c r="C1641" s="28">
        <v>114.86</v>
      </c>
      <c r="D1641" s="28" t="str">
        <f>_xlfn.XLOOKUP(B1641,'Payee Ref'!A:A,'Payee Ref'!B:B,"unassigned",0,1)</f>
        <v>Travel</v>
      </c>
      <c r="E1641" s="29" t="str">
        <f>_xlfn.XLOOKUP(B1641,'Payee Ref'!A:A,'Payee Ref'!C:C,"unassigned",0,1)</f>
        <v>Luxury</v>
      </c>
      <c r="F1641" s="28" t="s">
        <v>2207</v>
      </c>
    </row>
    <row r="1642" spans="1:6" x14ac:dyDescent="0.2">
      <c r="A1642" s="30">
        <v>45934</v>
      </c>
      <c r="B1642" s="28" t="s">
        <v>520</v>
      </c>
      <c r="C1642" s="28">
        <v>115.16</v>
      </c>
      <c r="D1642" s="28" t="str">
        <f>_xlfn.XLOOKUP(B1642,'Payee Ref'!A:A,'Payee Ref'!B:B,"unassigned",0,1)</f>
        <v>Travel</v>
      </c>
      <c r="E1642" s="29" t="str">
        <f>_xlfn.XLOOKUP(B1642,'Payee Ref'!A:A,'Payee Ref'!C:C,"unassigned",0,1)</f>
        <v>Luxury</v>
      </c>
      <c r="F1642" s="28" t="s">
        <v>2207</v>
      </c>
    </row>
    <row r="1643" spans="1:6" x14ac:dyDescent="0.2">
      <c r="A1643" s="30">
        <v>45871</v>
      </c>
      <c r="B1643" s="28" t="s">
        <v>1536</v>
      </c>
      <c r="C1643" s="28">
        <v>115.66</v>
      </c>
      <c r="D1643" s="28" t="str">
        <f>_xlfn.XLOOKUP(B1643,'Payee Ref'!A:A,'Payee Ref'!B:B,"unassigned",0,1)</f>
        <v>Groceries</v>
      </c>
      <c r="E1643" s="29" t="str">
        <f>_xlfn.XLOOKUP(B1643,'Payee Ref'!A:A,'Payee Ref'!C:C,"unassigned",0,1)</f>
        <v>Basic</v>
      </c>
      <c r="F1643" s="28" t="s">
        <v>2207</v>
      </c>
    </row>
    <row r="1644" spans="1:6" x14ac:dyDescent="0.2">
      <c r="A1644" s="30">
        <v>45866</v>
      </c>
      <c r="B1644" s="28" t="s">
        <v>1791</v>
      </c>
      <c r="C1644" s="28">
        <v>115.99</v>
      </c>
      <c r="D1644" s="28" t="str">
        <f>_xlfn.XLOOKUP(B1644,'Payee Ref'!A:A,'Payee Ref'!B:B,"unassigned",0,1)</f>
        <v>Travel</v>
      </c>
      <c r="E1644" s="29" t="str">
        <f>_xlfn.XLOOKUP(B1644,'Payee Ref'!A:A,'Payee Ref'!C:C,"unassigned",0,1)</f>
        <v>Luxury</v>
      </c>
      <c r="F1644" s="28" t="s">
        <v>2207</v>
      </c>
    </row>
    <row r="1645" spans="1:6" x14ac:dyDescent="0.2">
      <c r="A1645" s="30">
        <v>45892</v>
      </c>
      <c r="B1645" s="28" t="s">
        <v>1536</v>
      </c>
      <c r="C1645" s="28">
        <v>116.95</v>
      </c>
      <c r="D1645" s="28" t="str">
        <f>_xlfn.XLOOKUP(B1645,'Payee Ref'!A:A,'Payee Ref'!B:B,"unassigned",0,1)</f>
        <v>Groceries</v>
      </c>
      <c r="E1645" s="29" t="str">
        <f>_xlfn.XLOOKUP(B1645,'Payee Ref'!A:A,'Payee Ref'!C:C,"unassigned",0,1)</f>
        <v>Basic</v>
      </c>
      <c r="F1645" s="28" t="s">
        <v>2207</v>
      </c>
    </row>
    <row r="1646" spans="1:6" x14ac:dyDescent="0.2">
      <c r="A1646" s="30">
        <v>45884</v>
      </c>
      <c r="B1646" s="28" t="s">
        <v>1536</v>
      </c>
      <c r="C1646" s="28">
        <v>117.35</v>
      </c>
      <c r="D1646" s="28" t="str">
        <f>_xlfn.XLOOKUP(B1646,'Payee Ref'!A:A,'Payee Ref'!B:B,"unassigned",0,1)</f>
        <v>Groceries</v>
      </c>
      <c r="E1646" s="29" t="str">
        <f>_xlfn.XLOOKUP(B1646,'Payee Ref'!A:A,'Payee Ref'!C:C,"unassigned",0,1)</f>
        <v>Basic</v>
      </c>
      <c r="F1646" s="28" t="s">
        <v>2207</v>
      </c>
    </row>
    <row r="1647" spans="1:6" x14ac:dyDescent="0.2">
      <c r="A1647" s="30">
        <v>45699</v>
      </c>
      <c r="B1647" s="28" t="s">
        <v>1829</v>
      </c>
      <c r="C1647" s="28">
        <v>118.35</v>
      </c>
      <c r="D1647" s="28" t="str">
        <f>_xlfn.XLOOKUP(B1647,'Payee Ref'!A:A,'Payee Ref'!B:B,"unassigned",0,1)</f>
        <v>Travel</v>
      </c>
      <c r="E1647" s="29" t="str">
        <f>_xlfn.XLOOKUP(B1647,'Payee Ref'!A:A,'Payee Ref'!C:C,"unassigned",0,1)</f>
        <v>Luxury</v>
      </c>
      <c r="F1647" s="28" t="s">
        <v>2207</v>
      </c>
    </row>
    <row r="1648" spans="1:6" x14ac:dyDescent="0.2">
      <c r="A1648" s="30">
        <v>45820</v>
      </c>
      <c r="B1648" s="28" t="s">
        <v>1948</v>
      </c>
      <c r="C1648" s="28">
        <v>118.98</v>
      </c>
      <c r="D1648" s="28" t="str">
        <f>_xlfn.XLOOKUP(B1648,'Payee Ref'!A:A,'Payee Ref'!B:B,"unassigned",0,1)</f>
        <v>Insurance</v>
      </c>
      <c r="E1648" s="29" t="str">
        <f>_xlfn.XLOOKUP(B1648,'Payee Ref'!A:A,'Payee Ref'!C:C,"unassigned",0,1)</f>
        <v>Luxury</v>
      </c>
      <c r="F1648" s="28" t="s">
        <v>2207</v>
      </c>
    </row>
    <row r="1649" spans="1:6" x14ac:dyDescent="0.2">
      <c r="A1649" s="30">
        <v>45788</v>
      </c>
      <c r="B1649" s="28" t="s">
        <v>839</v>
      </c>
      <c r="C1649" s="28">
        <v>118.98</v>
      </c>
      <c r="D1649" s="28" t="str">
        <f>_xlfn.XLOOKUP(B1649,'Payee Ref'!A:A,'Payee Ref'!B:B,"unassigned",0,1)</f>
        <v>Pets</v>
      </c>
      <c r="E1649" s="29" t="str">
        <f>_xlfn.XLOOKUP(B1649,'Payee Ref'!A:A,'Payee Ref'!C:C,"unassigned",0,1)</f>
        <v>Luxury</v>
      </c>
      <c r="F1649" s="28" t="s">
        <v>2207</v>
      </c>
    </row>
    <row r="1650" spans="1:6" x14ac:dyDescent="0.2">
      <c r="A1650" s="30">
        <v>45758</v>
      </c>
      <c r="B1650" s="28" t="s">
        <v>839</v>
      </c>
      <c r="C1650" s="28">
        <v>118.98</v>
      </c>
      <c r="D1650" s="28" t="str">
        <f>_xlfn.XLOOKUP(B1650,'Payee Ref'!A:A,'Payee Ref'!B:B,"unassigned",0,1)</f>
        <v>Pets</v>
      </c>
      <c r="E1650" s="29" t="str">
        <f>_xlfn.XLOOKUP(B1650,'Payee Ref'!A:A,'Payee Ref'!C:C,"unassigned",0,1)</f>
        <v>Luxury</v>
      </c>
      <c r="F1650" s="28" t="s">
        <v>2207</v>
      </c>
    </row>
    <row r="1651" spans="1:6" x14ac:dyDescent="0.2">
      <c r="A1651" s="30">
        <v>45727</v>
      </c>
      <c r="B1651" s="28" t="s">
        <v>839</v>
      </c>
      <c r="C1651" s="28">
        <v>118.98</v>
      </c>
      <c r="D1651" s="28" t="str">
        <f>_xlfn.XLOOKUP(B1651,'Payee Ref'!A:A,'Payee Ref'!B:B,"unassigned",0,1)</f>
        <v>Pets</v>
      </c>
      <c r="E1651" s="29" t="str">
        <f>_xlfn.XLOOKUP(B1651,'Payee Ref'!A:A,'Payee Ref'!C:C,"unassigned",0,1)</f>
        <v>Luxury</v>
      </c>
      <c r="F1651" s="28" t="s">
        <v>2207</v>
      </c>
    </row>
    <row r="1652" spans="1:6" x14ac:dyDescent="0.2">
      <c r="A1652" s="30">
        <v>45699</v>
      </c>
      <c r="B1652" s="28" t="s">
        <v>839</v>
      </c>
      <c r="C1652" s="28">
        <v>118.98</v>
      </c>
      <c r="D1652" s="28" t="str">
        <f>_xlfn.XLOOKUP(B1652,'Payee Ref'!A:A,'Payee Ref'!B:B,"unassigned",0,1)</f>
        <v>Pets</v>
      </c>
      <c r="E1652" s="29" t="str">
        <f>_xlfn.XLOOKUP(B1652,'Payee Ref'!A:A,'Payee Ref'!C:C,"unassigned",0,1)</f>
        <v>Luxury</v>
      </c>
      <c r="F1652" s="28" t="s">
        <v>2207</v>
      </c>
    </row>
    <row r="1653" spans="1:6" x14ac:dyDescent="0.2">
      <c r="A1653" s="30">
        <v>45668</v>
      </c>
      <c r="B1653" s="28" t="s">
        <v>839</v>
      </c>
      <c r="C1653" s="28">
        <v>118.98</v>
      </c>
      <c r="D1653" s="28" t="str">
        <f>_xlfn.XLOOKUP(B1653,'Payee Ref'!A:A,'Payee Ref'!B:B,"unassigned",0,1)</f>
        <v>Pets</v>
      </c>
      <c r="E1653" s="29" t="str">
        <f>_xlfn.XLOOKUP(B1653,'Payee Ref'!A:A,'Payee Ref'!C:C,"unassigned",0,1)</f>
        <v>Luxury</v>
      </c>
      <c r="F1653" s="28" t="s">
        <v>2207</v>
      </c>
    </row>
    <row r="1654" spans="1:6" x14ac:dyDescent="0.2">
      <c r="A1654" s="30">
        <v>45883</v>
      </c>
      <c r="B1654" s="28" t="s">
        <v>1728</v>
      </c>
      <c r="C1654" s="28">
        <v>119.18</v>
      </c>
      <c r="D1654" s="28" t="str">
        <f>_xlfn.XLOOKUP(B1654,'Payee Ref'!A:A,'Payee Ref'!B:B,"unassigned",0,1)</f>
        <v>Travel</v>
      </c>
      <c r="E1654" s="29" t="str">
        <f>_xlfn.XLOOKUP(B1654,'Payee Ref'!A:A,'Payee Ref'!C:C,"unassigned",0,1)</f>
        <v>Luxury</v>
      </c>
      <c r="F1654" s="28" t="s">
        <v>2207</v>
      </c>
    </row>
    <row r="1655" spans="1:6" x14ac:dyDescent="0.2">
      <c r="A1655" s="30">
        <v>45725</v>
      </c>
      <c r="B1655" s="28" t="s">
        <v>1574</v>
      </c>
      <c r="C1655" s="28">
        <v>119.23</v>
      </c>
      <c r="D1655" s="28" t="str">
        <f>_xlfn.XLOOKUP(B1655,'Payee Ref'!A:A,'Payee Ref'!B:B,"unassigned",0,1)</f>
        <v>Groceries</v>
      </c>
      <c r="E1655" s="29" t="str">
        <f>_xlfn.XLOOKUP(B1655,'Payee Ref'!A:A,'Payee Ref'!C:C,"unassigned",0,1)</f>
        <v>Basic</v>
      </c>
      <c r="F1655" s="28" t="s">
        <v>2207</v>
      </c>
    </row>
    <row r="1656" spans="1:6" x14ac:dyDescent="0.2">
      <c r="A1656" s="30">
        <v>45717</v>
      </c>
      <c r="B1656" s="28" t="s">
        <v>2106</v>
      </c>
      <c r="C1656" s="28">
        <v>120</v>
      </c>
      <c r="D1656" s="28" t="str">
        <f>_xlfn.XLOOKUP(B1656,'Payee Ref'!A:A,'Payee Ref'!B:B,"unassigned",0,1)</f>
        <v>Dining</v>
      </c>
      <c r="E1656" s="29" t="str">
        <f>_xlfn.XLOOKUP(B1656,'Payee Ref'!A:A,'Payee Ref'!C:C,"unassigned",0,1)</f>
        <v>Luxury</v>
      </c>
      <c r="F1656" s="28" t="s">
        <v>2207</v>
      </c>
    </row>
    <row r="1657" spans="1:6" x14ac:dyDescent="0.2">
      <c r="A1657" s="30">
        <v>45856</v>
      </c>
      <c r="B1657" s="31" t="s">
        <v>1543</v>
      </c>
      <c r="C1657" s="28">
        <v>120.27</v>
      </c>
      <c r="D1657" s="28" t="str">
        <f>_xlfn.XLOOKUP(B1657,'Payee Ref'!A:A,'Payee Ref'!B:B,"unassigned",0,1)</f>
        <v>Subscriptions / Digital</v>
      </c>
      <c r="E1657" s="29" t="str">
        <f>_xlfn.XLOOKUP(B1657,'Payee Ref'!A:A,'Payee Ref'!C:C,"unassigned",0,1)</f>
        <v>Luxury</v>
      </c>
      <c r="F1657" s="28" t="s">
        <v>2207</v>
      </c>
    </row>
    <row r="1658" spans="1:6" x14ac:dyDescent="0.2">
      <c r="A1658" s="30">
        <v>45703</v>
      </c>
      <c r="B1658" s="31" t="s">
        <v>2122</v>
      </c>
      <c r="C1658" s="28">
        <v>120.28</v>
      </c>
      <c r="D1658" s="28" t="str">
        <f>_xlfn.XLOOKUP(B1658,'Payee Ref'!A:A,'Payee Ref'!B:B,"unassigned",0,1)</f>
        <v>Home &amp; Garden</v>
      </c>
      <c r="E1658" s="29" t="str">
        <f>_xlfn.XLOOKUP(B1658,'Payee Ref'!A:A,'Payee Ref'!C:C,"unassigned",0,1)</f>
        <v>Basic</v>
      </c>
      <c r="F1658" s="28" t="s">
        <v>2207</v>
      </c>
    </row>
    <row r="1659" spans="1:6" x14ac:dyDescent="0.2">
      <c r="A1659" s="30">
        <v>45703</v>
      </c>
      <c r="B1659" s="28" t="s">
        <v>2124</v>
      </c>
      <c r="C1659" s="28">
        <v>121.31</v>
      </c>
      <c r="D1659" s="28" t="str">
        <f>_xlfn.XLOOKUP(B1659,'Payee Ref'!A:A,'Payee Ref'!B:B,"unassigned",0,1)</f>
        <v>Travel</v>
      </c>
      <c r="E1659" s="29" t="str">
        <f>_xlfn.XLOOKUP(B1659,'Payee Ref'!A:A,'Payee Ref'!C:C,"unassigned",0,1)</f>
        <v>Luxury</v>
      </c>
      <c r="F1659" s="28" t="s">
        <v>2207</v>
      </c>
    </row>
    <row r="1660" spans="1:6" x14ac:dyDescent="0.2">
      <c r="A1660" s="30">
        <v>45833</v>
      </c>
      <c r="B1660" s="31" t="s">
        <v>1543</v>
      </c>
      <c r="C1660" s="28">
        <v>121.39</v>
      </c>
      <c r="D1660" s="28" t="str">
        <f>_xlfn.XLOOKUP(B1660,'Payee Ref'!A:A,'Payee Ref'!B:B,"unassigned",0,1)</f>
        <v>Subscriptions / Digital</v>
      </c>
      <c r="E1660" s="29" t="str">
        <f>_xlfn.XLOOKUP(B1660,'Payee Ref'!A:A,'Payee Ref'!C:C,"unassigned",0,1)</f>
        <v>Luxury</v>
      </c>
      <c r="F1660" s="28" t="s">
        <v>2207</v>
      </c>
    </row>
    <row r="1661" spans="1:6" x14ac:dyDescent="0.2">
      <c r="A1661" s="30">
        <v>45929</v>
      </c>
      <c r="B1661" s="28" t="s">
        <v>1612</v>
      </c>
      <c r="C1661" s="28">
        <v>121.5</v>
      </c>
      <c r="D1661" s="28">
        <f>_xlfn.XLOOKUP(B1661,'Payee Ref'!A:A,'Payee Ref'!B:B,"unassigned",0,1)</f>
        <v>0</v>
      </c>
      <c r="E1661" s="29">
        <f>_xlfn.XLOOKUP(B1661,'Payee Ref'!A:A,'Payee Ref'!C:C,"unassigned",0,1)</f>
        <v>0</v>
      </c>
      <c r="F1661" s="28" t="s">
        <v>2207</v>
      </c>
    </row>
    <row r="1662" spans="1:6" x14ac:dyDescent="0.2">
      <c r="A1662" s="30">
        <v>45781</v>
      </c>
      <c r="B1662" s="28" t="s">
        <v>2012</v>
      </c>
      <c r="C1662" s="28">
        <v>122.01</v>
      </c>
      <c r="D1662" s="28" t="str">
        <f>_xlfn.XLOOKUP(B1662,'Payee Ref'!A:A,'Payee Ref'!B:B,"unassigned",0,1)</f>
        <v>Travel</v>
      </c>
      <c r="E1662" s="29" t="str">
        <f>_xlfn.XLOOKUP(B1662,'Payee Ref'!A:A,'Payee Ref'!C:C,"unassigned",0,1)</f>
        <v>Luxury</v>
      </c>
      <c r="F1662" s="28" t="s">
        <v>2207</v>
      </c>
    </row>
    <row r="1663" spans="1:6" x14ac:dyDescent="0.2">
      <c r="A1663" s="30">
        <v>45912</v>
      </c>
      <c r="B1663" s="28" t="s">
        <v>1651</v>
      </c>
      <c r="C1663" s="28">
        <v>122.54</v>
      </c>
      <c r="D1663" s="28" t="str">
        <f>_xlfn.XLOOKUP(B1663,'Payee Ref'!A:A,'Payee Ref'!B:B,"unassigned",0,1)</f>
        <v>Insurance</v>
      </c>
      <c r="E1663" s="29" t="str">
        <f>_xlfn.XLOOKUP(B1663,'Payee Ref'!A:A,'Payee Ref'!C:C,"unassigned",0,1)</f>
        <v>Luxury</v>
      </c>
      <c r="F1663" s="28" t="s">
        <v>2207</v>
      </c>
    </row>
    <row r="1664" spans="1:6" x14ac:dyDescent="0.2">
      <c r="A1664" s="30">
        <v>45881</v>
      </c>
      <c r="B1664" s="28" t="s">
        <v>1651</v>
      </c>
      <c r="C1664" s="28">
        <v>122.54</v>
      </c>
      <c r="D1664" s="28" t="str">
        <f>_xlfn.XLOOKUP(B1664,'Payee Ref'!A:A,'Payee Ref'!B:B,"unassigned",0,1)</f>
        <v>Insurance</v>
      </c>
      <c r="E1664" s="29" t="str">
        <f>_xlfn.XLOOKUP(B1664,'Payee Ref'!A:A,'Payee Ref'!C:C,"unassigned",0,1)</f>
        <v>Luxury</v>
      </c>
      <c r="F1664" s="28" t="s">
        <v>2207</v>
      </c>
    </row>
    <row r="1665" spans="1:6" x14ac:dyDescent="0.2">
      <c r="A1665" s="30">
        <v>45850</v>
      </c>
      <c r="B1665" s="28" t="s">
        <v>1651</v>
      </c>
      <c r="C1665" s="28">
        <v>122.54</v>
      </c>
      <c r="D1665" s="28" t="str">
        <f>_xlfn.XLOOKUP(B1665,'Payee Ref'!A:A,'Payee Ref'!B:B,"unassigned",0,1)</f>
        <v>Insurance</v>
      </c>
      <c r="E1665" s="29" t="str">
        <f>_xlfn.XLOOKUP(B1665,'Payee Ref'!A:A,'Payee Ref'!C:C,"unassigned",0,1)</f>
        <v>Luxury</v>
      </c>
      <c r="F1665" s="28" t="s">
        <v>2207</v>
      </c>
    </row>
    <row r="1666" spans="1:6" x14ac:dyDescent="0.2">
      <c r="A1666" s="30">
        <v>45926</v>
      </c>
      <c r="B1666" s="28" t="s">
        <v>1551</v>
      </c>
      <c r="C1666" s="28">
        <v>122.91</v>
      </c>
      <c r="D1666" s="28" t="str">
        <f>_xlfn.XLOOKUP(B1666,'Payee Ref'!A:A,'Payee Ref'!B:B,"unassigned",0,1)</f>
        <v>Groceries</v>
      </c>
      <c r="E1666" s="29" t="str">
        <f>_xlfn.XLOOKUP(B1666,'Payee Ref'!A:A,'Payee Ref'!C:C,"unassigned",0,1)</f>
        <v>Basic</v>
      </c>
      <c r="F1666" s="28" t="s">
        <v>2207</v>
      </c>
    </row>
    <row r="1667" spans="1:6" x14ac:dyDescent="0.2">
      <c r="A1667" s="30">
        <v>45851</v>
      </c>
      <c r="B1667" s="28" t="s">
        <v>1837</v>
      </c>
      <c r="C1667" s="28">
        <v>123.29</v>
      </c>
      <c r="D1667" s="28" t="str">
        <f>_xlfn.XLOOKUP(B1667,'Payee Ref'!A:A,'Payee Ref'!B:B,"unassigned",0,1)</f>
        <v>Home &amp; Garden</v>
      </c>
      <c r="E1667" s="29" t="str">
        <f>_xlfn.XLOOKUP(B1667,'Payee Ref'!A:A,'Payee Ref'!C:C,"unassigned",0,1)</f>
        <v>Basic</v>
      </c>
      <c r="F1667" s="28" t="s">
        <v>2207</v>
      </c>
    </row>
    <row r="1668" spans="1:6" x14ac:dyDescent="0.2">
      <c r="A1668" s="30">
        <v>45810</v>
      </c>
      <c r="B1668" s="28" t="s">
        <v>1600</v>
      </c>
      <c r="C1668" s="28">
        <v>124.67</v>
      </c>
      <c r="D1668" s="28" t="str">
        <f>_xlfn.XLOOKUP(B1668,'Payee Ref'!A:A,'Payee Ref'!B:B,"unassigned",0,1)</f>
        <v>Pets</v>
      </c>
      <c r="E1668" s="29" t="str">
        <f>_xlfn.XLOOKUP(B1668,'Payee Ref'!A:A,'Payee Ref'!C:C,"unassigned",0,1)</f>
        <v>Luxury</v>
      </c>
      <c r="F1668" s="28" t="s">
        <v>2207</v>
      </c>
    </row>
    <row r="1669" spans="1:6" x14ac:dyDescent="0.2">
      <c r="A1669" s="30">
        <v>45847</v>
      </c>
      <c r="B1669" s="28" t="s">
        <v>1850</v>
      </c>
      <c r="C1669" s="28">
        <v>125.66</v>
      </c>
      <c r="D1669" s="28" t="str">
        <f>_xlfn.XLOOKUP(B1669,'Payee Ref'!A:A,'Payee Ref'!B:B,"unassigned",0,1)</f>
        <v>Dining</v>
      </c>
      <c r="E1669" s="29" t="str">
        <f>_xlfn.XLOOKUP(B1669,'Payee Ref'!A:A,'Payee Ref'!C:C,"unassigned",0,1)</f>
        <v>Luxury</v>
      </c>
      <c r="F1669" s="28" t="s">
        <v>2207</v>
      </c>
    </row>
    <row r="1670" spans="1:6" x14ac:dyDescent="0.2">
      <c r="A1670" s="30">
        <v>45897</v>
      </c>
      <c r="B1670" s="28" t="s">
        <v>1688</v>
      </c>
      <c r="C1670" s="28">
        <v>126.29</v>
      </c>
      <c r="D1670" s="28" t="str">
        <f>_xlfn.XLOOKUP(B1670,'Payee Ref'!A:A,'Payee Ref'!B:B,"unassigned",0,1)</f>
        <v>Groceries</v>
      </c>
      <c r="E1670" s="29" t="str">
        <f>_xlfn.XLOOKUP(B1670,'Payee Ref'!A:A,'Payee Ref'!C:C,"unassigned",0,1)</f>
        <v>Basic</v>
      </c>
      <c r="F1670" s="28" t="s">
        <v>2207</v>
      </c>
    </row>
    <row r="1671" spans="1:6" x14ac:dyDescent="0.2">
      <c r="A1671" s="30">
        <v>45759</v>
      </c>
      <c r="B1671" s="28" t="s">
        <v>1588</v>
      </c>
      <c r="C1671" s="28">
        <v>127.19</v>
      </c>
      <c r="D1671" s="28" t="str">
        <f>_xlfn.XLOOKUP(B1671,'Payee Ref'!A:A,'Payee Ref'!B:B,"unassigned",0,1)</f>
        <v>Groceries</v>
      </c>
      <c r="E1671" s="29" t="str">
        <f>_xlfn.XLOOKUP(B1671,'Payee Ref'!A:A,'Payee Ref'!C:C,"unassigned",0,1)</f>
        <v>Basic</v>
      </c>
      <c r="F1671" s="28" t="s">
        <v>2207</v>
      </c>
    </row>
    <row r="1672" spans="1:6" x14ac:dyDescent="0.2">
      <c r="A1672" s="30">
        <v>45984</v>
      </c>
      <c r="B1672" s="28" t="s">
        <v>1544</v>
      </c>
      <c r="C1672" s="28">
        <v>127.55</v>
      </c>
      <c r="D1672" s="28" t="str">
        <f>_xlfn.XLOOKUP(B1672,'Payee Ref'!A:A,'Payee Ref'!B:B,"unassigned",0,1)</f>
        <v>Home &amp; Garden</v>
      </c>
      <c r="E1672" s="29" t="str">
        <f>_xlfn.XLOOKUP(B1672,'Payee Ref'!A:A,'Payee Ref'!C:C,"unassigned",0,1)</f>
        <v>Basic</v>
      </c>
      <c r="F1672" s="28" t="s">
        <v>2207</v>
      </c>
    </row>
    <row r="1673" spans="1:6" x14ac:dyDescent="0.2">
      <c r="A1673" s="30">
        <v>45805</v>
      </c>
      <c r="B1673" s="28" t="s">
        <v>1593</v>
      </c>
      <c r="C1673" s="28">
        <v>127.72</v>
      </c>
      <c r="D1673" s="28" t="str">
        <f>_xlfn.XLOOKUP(B1673,'Payee Ref'!A:A,'Payee Ref'!B:B,"unassigned",0,1)</f>
        <v>Auto</v>
      </c>
      <c r="E1673" s="29" t="str">
        <f>_xlfn.XLOOKUP(B1673,'Payee Ref'!A:A,'Payee Ref'!C:C,"unassigned",0,1)</f>
        <v>Basic</v>
      </c>
      <c r="F1673" s="28" t="s">
        <v>2207</v>
      </c>
    </row>
    <row r="1674" spans="1:6" x14ac:dyDescent="0.2">
      <c r="A1674" s="30">
        <v>45718</v>
      </c>
      <c r="B1674" s="28" t="s">
        <v>1536</v>
      </c>
      <c r="C1674" s="28">
        <v>128.83000000000001</v>
      </c>
      <c r="D1674" s="28" t="str">
        <f>_xlfn.XLOOKUP(B1674,'Payee Ref'!A:A,'Payee Ref'!B:B,"unassigned",0,1)</f>
        <v>Groceries</v>
      </c>
      <c r="E1674" s="29" t="str">
        <f>_xlfn.XLOOKUP(B1674,'Payee Ref'!A:A,'Payee Ref'!C:C,"unassigned",0,1)</f>
        <v>Basic</v>
      </c>
      <c r="F1674" s="28" t="s">
        <v>2207</v>
      </c>
    </row>
    <row r="1675" spans="1:6" x14ac:dyDescent="0.2">
      <c r="A1675" s="30">
        <v>45879</v>
      </c>
      <c r="B1675" s="28" t="s">
        <v>1618</v>
      </c>
      <c r="C1675" s="28">
        <v>129.11000000000001</v>
      </c>
      <c r="D1675" s="28" t="str">
        <f>_xlfn.XLOOKUP(B1675,'Payee Ref'!A:A,'Payee Ref'!B:B,"unassigned",0,1)</f>
        <v>Auto</v>
      </c>
      <c r="E1675" s="29" t="str">
        <f>_xlfn.XLOOKUP(B1675,'Payee Ref'!A:A,'Payee Ref'!C:C,"unassigned",0,1)</f>
        <v>Luxury</v>
      </c>
      <c r="F1675" s="28" t="s">
        <v>2207</v>
      </c>
    </row>
    <row r="1676" spans="1:6" x14ac:dyDescent="0.2">
      <c r="A1676" s="30">
        <v>45683</v>
      </c>
      <c r="B1676" s="28" t="s">
        <v>1551</v>
      </c>
      <c r="C1676" s="28">
        <v>129.97</v>
      </c>
      <c r="D1676" s="28" t="str">
        <f>_xlfn.XLOOKUP(B1676,'Payee Ref'!A:A,'Payee Ref'!B:B,"unassigned",0,1)</f>
        <v>Groceries</v>
      </c>
      <c r="E1676" s="29" t="str">
        <f>_xlfn.XLOOKUP(B1676,'Payee Ref'!A:A,'Payee Ref'!C:C,"unassigned",0,1)</f>
        <v>Basic</v>
      </c>
      <c r="F1676" s="28" t="s">
        <v>2207</v>
      </c>
    </row>
    <row r="1677" spans="1:6" x14ac:dyDescent="0.2">
      <c r="A1677" s="30">
        <v>45809</v>
      </c>
      <c r="B1677" s="28" t="s">
        <v>1970</v>
      </c>
      <c r="C1677" s="28">
        <v>130</v>
      </c>
      <c r="D1677" s="28" t="str">
        <f>_xlfn.XLOOKUP(B1677,'Payee Ref'!A:A,'Payee Ref'!B:B,"unassigned",0,1)</f>
        <v>Travel</v>
      </c>
      <c r="E1677" s="29" t="str">
        <f>_xlfn.XLOOKUP(B1677,'Payee Ref'!A:A,'Payee Ref'!C:C,"unassigned",0,1)</f>
        <v>Luxury</v>
      </c>
      <c r="F1677" s="28" t="s">
        <v>2207</v>
      </c>
    </row>
    <row r="1678" spans="1:6" x14ac:dyDescent="0.2">
      <c r="A1678" s="30">
        <v>45869</v>
      </c>
      <c r="B1678" s="28" t="s">
        <v>1770</v>
      </c>
      <c r="C1678" s="28">
        <v>130.56</v>
      </c>
      <c r="D1678" s="28" t="str">
        <f>_xlfn.XLOOKUP(B1678,'Payee Ref'!A:A,'Payee Ref'!B:B,"unassigned",0,1)</f>
        <v>Auto</v>
      </c>
      <c r="E1678" s="29" t="str">
        <f>_xlfn.XLOOKUP(B1678,'Payee Ref'!A:A,'Payee Ref'!C:C,"unassigned",0,1)</f>
        <v>Basic</v>
      </c>
      <c r="F1678" s="28" t="s">
        <v>2207</v>
      </c>
    </row>
    <row r="1679" spans="1:6" x14ac:dyDescent="0.2">
      <c r="A1679" s="30">
        <v>45894</v>
      </c>
      <c r="B1679" s="28" t="s">
        <v>1574</v>
      </c>
      <c r="C1679" s="28">
        <v>131</v>
      </c>
      <c r="D1679" s="28" t="str">
        <f>_xlfn.XLOOKUP(B1679,'Payee Ref'!A:A,'Payee Ref'!B:B,"unassigned",0,1)</f>
        <v>Groceries</v>
      </c>
      <c r="E1679" s="29" t="str">
        <f>_xlfn.XLOOKUP(B1679,'Payee Ref'!A:A,'Payee Ref'!C:C,"unassigned",0,1)</f>
        <v>Basic</v>
      </c>
      <c r="F1679" s="28" t="s">
        <v>2207</v>
      </c>
    </row>
    <row r="1680" spans="1:6" x14ac:dyDescent="0.2">
      <c r="A1680" s="30">
        <v>45973</v>
      </c>
      <c r="B1680" s="28" t="s">
        <v>221</v>
      </c>
      <c r="C1680" s="28">
        <v>132.24</v>
      </c>
      <c r="D1680" s="28" t="str">
        <f>_xlfn.XLOOKUP(B1680,'Payee Ref'!A:A,'Payee Ref'!B:B,"unassigned",0,1)</f>
        <v>Travel</v>
      </c>
      <c r="E1680" s="29" t="str">
        <f>_xlfn.XLOOKUP(B1680,'Payee Ref'!A:A,'Payee Ref'!C:C,"unassigned",0,1)</f>
        <v>Luxury</v>
      </c>
      <c r="F1680" s="28" t="s">
        <v>2207</v>
      </c>
    </row>
    <row r="1681" spans="1:6" x14ac:dyDescent="0.2">
      <c r="A1681" s="30">
        <v>45948</v>
      </c>
      <c r="B1681" s="28" t="s">
        <v>592</v>
      </c>
      <c r="C1681" s="28">
        <v>132.41</v>
      </c>
      <c r="D1681" s="28" t="str">
        <f>_xlfn.XLOOKUP(B1681,'Payee Ref'!A:A,'Payee Ref'!B:B,"unassigned",0,1)</f>
        <v>Hardware Technology</v>
      </c>
      <c r="E1681" s="29" t="str">
        <f>_xlfn.XLOOKUP(B1681,'Payee Ref'!A:A,'Payee Ref'!C:C,"unassigned",0,1)</f>
        <v>Basic</v>
      </c>
      <c r="F1681" s="28" t="s">
        <v>2207</v>
      </c>
    </row>
    <row r="1682" spans="1:6" x14ac:dyDescent="0.2">
      <c r="A1682" s="30">
        <v>45849</v>
      </c>
      <c r="B1682" s="28" t="s">
        <v>1839</v>
      </c>
      <c r="C1682" s="28">
        <v>132.41</v>
      </c>
      <c r="D1682" s="28" t="str">
        <f>_xlfn.XLOOKUP(B1682,'Payee Ref'!A:A,'Payee Ref'!B:B,"unassigned",0,1)</f>
        <v>Clothing</v>
      </c>
      <c r="E1682" s="29" t="str">
        <f>_xlfn.XLOOKUP(B1682,'Payee Ref'!A:A,'Payee Ref'!C:C,"unassigned",0,1)</f>
        <v>Luxury</v>
      </c>
      <c r="F1682" s="28" t="s">
        <v>2207</v>
      </c>
    </row>
    <row r="1683" spans="1:6" x14ac:dyDescent="0.2">
      <c r="A1683" s="30">
        <v>45835</v>
      </c>
      <c r="B1683" s="28" t="s">
        <v>1888</v>
      </c>
      <c r="C1683" s="28">
        <v>132.69999999999999</v>
      </c>
      <c r="D1683" s="28" t="str">
        <f>_xlfn.XLOOKUP(B1683,'Payee Ref'!A:A,'Payee Ref'!B:B,"unassigned",0,1)</f>
        <v>Clothing</v>
      </c>
      <c r="E1683" s="29" t="str">
        <f>_xlfn.XLOOKUP(B1683,'Payee Ref'!A:A,'Payee Ref'!C:C,"unassigned",0,1)</f>
        <v>Luxury</v>
      </c>
      <c r="F1683" s="28" t="s">
        <v>2207</v>
      </c>
    </row>
    <row r="1684" spans="1:6" x14ac:dyDescent="0.2">
      <c r="A1684" s="30">
        <v>45848</v>
      </c>
      <c r="B1684" s="28" t="s">
        <v>1844</v>
      </c>
      <c r="C1684" s="28">
        <v>134.94999999999999</v>
      </c>
      <c r="D1684" s="28" t="str">
        <f>_xlfn.XLOOKUP(B1684,'Payee Ref'!A:A,'Payee Ref'!B:B,"unassigned",0,1)</f>
        <v>Clothing</v>
      </c>
      <c r="E1684" s="29" t="str">
        <f>_xlfn.XLOOKUP(B1684,'Payee Ref'!A:A,'Payee Ref'!C:C,"unassigned",0,1)</f>
        <v>Luxury</v>
      </c>
      <c r="F1684" s="28" t="s">
        <v>2207</v>
      </c>
    </row>
    <row r="1685" spans="1:6" x14ac:dyDescent="0.2">
      <c r="A1685" s="30">
        <v>45840</v>
      </c>
      <c r="B1685" s="28" t="s">
        <v>1844</v>
      </c>
      <c r="C1685" s="28">
        <v>134.94999999999999</v>
      </c>
      <c r="D1685" s="28" t="str">
        <f>_xlfn.XLOOKUP(B1685,'Payee Ref'!A:A,'Payee Ref'!B:B,"unassigned",0,1)</f>
        <v>Clothing</v>
      </c>
      <c r="E1685" s="29" t="str">
        <f>_xlfn.XLOOKUP(B1685,'Payee Ref'!A:A,'Payee Ref'!C:C,"unassigned",0,1)</f>
        <v>Luxury</v>
      </c>
      <c r="F1685" s="28" t="s">
        <v>2207</v>
      </c>
    </row>
    <row r="1686" spans="1:6" x14ac:dyDescent="0.2">
      <c r="A1686" s="30">
        <v>45871</v>
      </c>
      <c r="B1686" s="28" t="s">
        <v>1629</v>
      </c>
      <c r="C1686" s="28">
        <v>139.11000000000001</v>
      </c>
      <c r="D1686" s="28" t="str">
        <f>_xlfn.XLOOKUP(B1686,'Payee Ref'!A:A,'Payee Ref'!B:B,"unassigned",0,1)</f>
        <v>Dining</v>
      </c>
      <c r="E1686" s="29" t="str">
        <f>_xlfn.XLOOKUP(B1686,'Payee Ref'!A:A,'Payee Ref'!C:C,"unassigned",0,1)</f>
        <v>Luxury</v>
      </c>
      <c r="F1686" s="28" t="s">
        <v>2207</v>
      </c>
    </row>
    <row r="1687" spans="1:6" x14ac:dyDescent="0.2">
      <c r="A1687" s="30">
        <v>45954</v>
      </c>
      <c r="B1687" s="28" t="s">
        <v>546</v>
      </c>
      <c r="C1687" s="28">
        <v>140.33000000000001</v>
      </c>
      <c r="D1687" s="28" t="str">
        <f>_xlfn.XLOOKUP(B1687,'Payee Ref'!A:A,'Payee Ref'!B:B,"unassigned",0,1)</f>
        <v>Groceries</v>
      </c>
      <c r="E1687" s="29" t="str">
        <f>_xlfn.XLOOKUP(B1687,'Payee Ref'!A:A,'Payee Ref'!C:C,"unassigned",0,1)</f>
        <v>Basic</v>
      </c>
      <c r="F1687" s="28" t="s">
        <v>2207</v>
      </c>
    </row>
    <row r="1688" spans="1:6" x14ac:dyDescent="0.2">
      <c r="A1688" s="30">
        <v>45879</v>
      </c>
      <c r="B1688" s="31" t="s">
        <v>1738</v>
      </c>
      <c r="C1688" s="28">
        <v>141.25</v>
      </c>
      <c r="D1688" s="28" t="str">
        <f>_xlfn.XLOOKUP(B1688,'Payee Ref'!A:A,'Payee Ref'!B:B,"unassigned",0,1)</f>
        <v>Travel</v>
      </c>
      <c r="E1688" s="29" t="str">
        <f>_xlfn.XLOOKUP(B1688,'Payee Ref'!A:A,'Payee Ref'!C:C,"unassigned",0,1)</f>
        <v>Luxury</v>
      </c>
      <c r="F1688" s="28" t="s">
        <v>2207</v>
      </c>
    </row>
    <row r="1689" spans="1:6" x14ac:dyDescent="0.2">
      <c r="A1689" s="30">
        <v>45666</v>
      </c>
      <c r="B1689" s="28" t="s">
        <v>1536</v>
      </c>
      <c r="C1689" s="28">
        <v>142.53</v>
      </c>
      <c r="D1689" s="28" t="str">
        <f>_xlfn.XLOOKUP(B1689,'Payee Ref'!A:A,'Payee Ref'!B:B,"unassigned",0,1)</f>
        <v>Groceries</v>
      </c>
      <c r="E1689" s="29" t="str">
        <f>_xlfn.XLOOKUP(B1689,'Payee Ref'!A:A,'Payee Ref'!C:C,"unassigned",0,1)</f>
        <v>Basic</v>
      </c>
      <c r="F1689" s="28" t="s">
        <v>2207</v>
      </c>
    </row>
    <row r="1690" spans="1:6" x14ac:dyDescent="0.2">
      <c r="A1690" s="30">
        <v>45962</v>
      </c>
      <c r="B1690" s="28" t="s">
        <v>476</v>
      </c>
      <c r="C1690" s="28">
        <v>143.44</v>
      </c>
      <c r="D1690" s="28" t="str">
        <f>_xlfn.XLOOKUP(B1690,'Payee Ref'!A:A,'Payee Ref'!B:B,"unassigned",0,1)</f>
        <v>Enrichment</v>
      </c>
      <c r="E1690" s="29" t="str">
        <f>_xlfn.XLOOKUP(B1690,'Payee Ref'!A:A,'Payee Ref'!C:C,"unassigned",0,1)</f>
        <v>Luxury</v>
      </c>
      <c r="F1690" s="28" t="s">
        <v>2207</v>
      </c>
    </row>
    <row r="1691" spans="1:6" x14ac:dyDescent="0.2">
      <c r="A1691" s="30">
        <v>45795</v>
      </c>
      <c r="B1691" s="28" t="s">
        <v>1629</v>
      </c>
      <c r="C1691" s="28">
        <v>144.69999999999999</v>
      </c>
      <c r="D1691" s="28" t="str">
        <f>_xlfn.XLOOKUP(B1691,'Payee Ref'!A:A,'Payee Ref'!B:B,"unassigned",0,1)</f>
        <v>Dining</v>
      </c>
      <c r="E1691" s="29" t="str">
        <f>_xlfn.XLOOKUP(B1691,'Payee Ref'!A:A,'Payee Ref'!C:C,"unassigned",0,1)</f>
        <v>Luxury</v>
      </c>
      <c r="F1691" s="28" t="s">
        <v>2207</v>
      </c>
    </row>
    <row r="1692" spans="1:6" x14ac:dyDescent="0.2">
      <c r="A1692" s="30">
        <v>45875</v>
      </c>
      <c r="B1692" s="28" t="s">
        <v>1748</v>
      </c>
      <c r="C1692" s="28">
        <v>146.34</v>
      </c>
      <c r="D1692" s="28" t="str">
        <f>_xlfn.XLOOKUP(B1692,'Payee Ref'!A:A,'Payee Ref'!B:B,"unassigned",0,1)</f>
        <v>Pets</v>
      </c>
      <c r="E1692" s="29" t="str">
        <f>_xlfn.XLOOKUP(B1692,'Payee Ref'!A:A,'Payee Ref'!C:C,"unassigned",0,1)</f>
        <v>Luxury</v>
      </c>
      <c r="F1692" s="28" t="s">
        <v>2207</v>
      </c>
    </row>
    <row r="1693" spans="1:6" x14ac:dyDescent="0.2">
      <c r="A1693" s="30">
        <v>45716</v>
      </c>
      <c r="B1693" s="28" t="s">
        <v>1536</v>
      </c>
      <c r="C1693" s="28">
        <v>146.49</v>
      </c>
      <c r="D1693" s="28" t="str">
        <f>_xlfn.XLOOKUP(B1693,'Payee Ref'!A:A,'Payee Ref'!B:B,"unassigned",0,1)</f>
        <v>Groceries</v>
      </c>
      <c r="E1693" s="29" t="str">
        <f>_xlfn.XLOOKUP(B1693,'Payee Ref'!A:A,'Payee Ref'!C:C,"unassigned",0,1)</f>
        <v>Basic</v>
      </c>
      <c r="F1693" s="28" t="s">
        <v>2207</v>
      </c>
    </row>
    <row r="1694" spans="1:6" x14ac:dyDescent="0.2">
      <c r="A1694" s="30">
        <v>45821</v>
      </c>
      <c r="B1694" s="31" t="s">
        <v>1744</v>
      </c>
      <c r="C1694" s="28">
        <v>146.69999999999999</v>
      </c>
      <c r="D1694" s="28" t="str">
        <f>_xlfn.XLOOKUP(B1694,'Payee Ref'!A:A,'Payee Ref'!B:B,"unassigned",0,1)</f>
        <v>Travel</v>
      </c>
      <c r="E1694" s="29" t="str">
        <f>_xlfn.XLOOKUP(B1694,'Payee Ref'!A:A,'Payee Ref'!C:C,"unassigned",0,1)</f>
        <v>Luxury</v>
      </c>
      <c r="F1694" s="28" t="s">
        <v>2207</v>
      </c>
    </row>
    <row r="1695" spans="1:6" x14ac:dyDescent="0.2">
      <c r="A1695" s="30">
        <v>45660</v>
      </c>
      <c r="B1695" s="28" t="s">
        <v>2193</v>
      </c>
      <c r="C1695" s="28">
        <v>148.68</v>
      </c>
      <c r="D1695" s="28" t="str">
        <f>_xlfn.XLOOKUP(B1695,'Payee Ref'!A:A,'Payee Ref'!B:B,"unassigned",0,1)</f>
        <v>Groceries</v>
      </c>
      <c r="E1695" s="29" t="str">
        <f>_xlfn.XLOOKUP(B1695,'Payee Ref'!A:A,'Payee Ref'!C:C,"unassigned",0,1)</f>
        <v>Basic</v>
      </c>
      <c r="F1695" s="28" t="s">
        <v>2207</v>
      </c>
    </row>
    <row r="1696" spans="1:6" x14ac:dyDescent="0.2">
      <c r="A1696" s="30">
        <v>45774</v>
      </c>
      <c r="B1696" s="28" t="s">
        <v>1629</v>
      </c>
      <c r="C1696" s="28">
        <v>149.11000000000001</v>
      </c>
      <c r="D1696" s="28" t="str">
        <f>_xlfn.XLOOKUP(B1696,'Payee Ref'!A:A,'Payee Ref'!B:B,"unassigned",0,1)</f>
        <v>Dining</v>
      </c>
      <c r="E1696" s="29" t="str">
        <f>_xlfn.XLOOKUP(B1696,'Payee Ref'!A:A,'Payee Ref'!C:C,"unassigned",0,1)</f>
        <v>Luxury</v>
      </c>
      <c r="F1696" s="28" t="s">
        <v>2207</v>
      </c>
    </row>
    <row r="1697" spans="1:6" x14ac:dyDescent="0.2">
      <c r="A1697" s="30">
        <v>45831</v>
      </c>
      <c r="B1697" s="28" t="s">
        <v>1588</v>
      </c>
      <c r="C1697" s="28">
        <v>149.68</v>
      </c>
      <c r="D1697" s="28" t="str">
        <f>_xlfn.XLOOKUP(B1697,'Payee Ref'!A:A,'Payee Ref'!B:B,"unassigned",0,1)</f>
        <v>Groceries</v>
      </c>
      <c r="E1697" s="29" t="str">
        <f>_xlfn.XLOOKUP(B1697,'Payee Ref'!A:A,'Payee Ref'!C:C,"unassigned",0,1)</f>
        <v>Basic</v>
      </c>
      <c r="F1697" s="28" t="s">
        <v>2207</v>
      </c>
    </row>
    <row r="1698" spans="1:6" x14ac:dyDescent="0.2">
      <c r="A1698" s="30">
        <v>45881</v>
      </c>
      <c r="B1698" s="28" t="s">
        <v>1735</v>
      </c>
      <c r="C1698" s="28">
        <v>151.80000000000001</v>
      </c>
      <c r="D1698" s="28" t="str">
        <f>_xlfn.XLOOKUP(B1698,'Payee Ref'!A:A,'Payee Ref'!B:B,"unassigned",0,1)</f>
        <v>Dining</v>
      </c>
      <c r="E1698" s="29" t="str">
        <f>_xlfn.XLOOKUP(B1698,'Payee Ref'!A:A,'Payee Ref'!C:C,"unassigned",0,1)</f>
        <v>Luxury</v>
      </c>
      <c r="F1698" s="28" t="s">
        <v>2207</v>
      </c>
    </row>
    <row r="1699" spans="1:6" x14ac:dyDescent="0.2">
      <c r="A1699" s="30">
        <v>45885</v>
      </c>
      <c r="B1699" s="28" t="s">
        <v>1586</v>
      </c>
      <c r="C1699" s="28">
        <v>152.25</v>
      </c>
      <c r="D1699" s="28" t="str">
        <f>_xlfn.XLOOKUP(B1699,'Payee Ref'!A:A,'Payee Ref'!B:B,"unassigned",0,1)</f>
        <v>Travel</v>
      </c>
      <c r="E1699" s="29" t="str">
        <f>_xlfn.XLOOKUP(B1699,'Payee Ref'!A:A,'Payee Ref'!C:C,"unassigned",0,1)</f>
        <v>Luxury</v>
      </c>
      <c r="F1699" s="28" t="s">
        <v>2207</v>
      </c>
    </row>
    <row r="1700" spans="1:6" x14ac:dyDescent="0.2">
      <c r="A1700" s="30">
        <v>45985</v>
      </c>
      <c r="B1700" s="28" t="s">
        <v>221</v>
      </c>
      <c r="C1700" s="28">
        <v>154.52000000000001</v>
      </c>
      <c r="D1700" s="28" t="str">
        <f>_xlfn.XLOOKUP(B1700,'Payee Ref'!A:A,'Payee Ref'!B:B,"unassigned",0,1)</f>
        <v>Travel</v>
      </c>
      <c r="E1700" s="29" t="str">
        <f>_xlfn.XLOOKUP(B1700,'Payee Ref'!A:A,'Payee Ref'!C:C,"unassigned",0,1)</f>
        <v>Luxury</v>
      </c>
      <c r="F1700" s="28" t="s">
        <v>2207</v>
      </c>
    </row>
    <row r="1701" spans="1:6" x14ac:dyDescent="0.2">
      <c r="A1701" s="30">
        <v>45968</v>
      </c>
      <c r="B1701" s="28" t="s">
        <v>840</v>
      </c>
      <c r="C1701" s="28">
        <v>155</v>
      </c>
      <c r="D1701" s="28" t="str">
        <f>_xlfn.XLOOKUP(B1701,'Payee Ref'!A:A,'Payee Ref'!B:B,"unassigned",0,1)</f>
        <v>Pets</v>
      </c>
      <c r="E1701" s="29" t="str">
        <f>_xlfn.XLOOKUP(B1701,'Payee Ref'!A:A,'Payee Ref'!C:C,"unassigned",0,1)</f>
        <v>Luxury</v>
      </c>
      <c r="F1701" s="28" t="s">
        <v>2207</v>
      </c>
    </row>
    <row r="1702" spans="1:6" x14ac:dyDescent="0.2">
      <c r="A1702" s="30">
        <v>45960</v>
      </c>
      <c r="B1702" s="28" t="s">
        <v>109</v>
      </c>
      <c r="C1702" s="28">
        <v>156.68</v>
      </c>
      <c r="D1702" s="28" t="str">
        <f>_xlfn.XLOOKUP(B1702,'Payee Ref'!A:A,'Payee Ref'!B:B,"unassigned",0,1)</f>
        <v>Travel</v>
      </c>
      <c r="E1702" s="29" t="str">
        <f>_xlfn.XLOOKUP(B1702,'Payee Ref'!A:A,'Payee Ref'!C:C,"unassigned",0,1)</f>
        <v>Luxury</v>
      </c>
      <c r="F1702" s="28" t="s">
        <v>2207</v>
      </c>
    </row>
    <row r="1703" spans="1:6" x14ac:dyDescent="0.2">
      <c r="A1703" s="30">
        <v>45676</v>
      </c>
      <c r="B1703" s="31" t="s">
        <v>2161</v>
      </c>
      <c r="C1703" s="28">
        <v>156.97</v>
      </c>
      <c r="D1703" s="28" t="str">
        <f>_xlfn.XLOOKUP(B1703,'Payee Ref'!A:A,'Payee Ref'!B:B,"unassigned",0,1)</f>
        <v>Travel</v>
      </c>
      <c r="E1703" s="29" t="str">
        <f>_xlfn.XLOOKUP(B1703,'Payee Ref'!A:A,'Payee Ref'!C:C,"unassigned",0,1)</f>
        <v>Luxury</v>
      </c>
      <c r="F1703" s="28" t="s">
        <v>2207</v>
      </c>
    </row>
    <row r="1704" spans="1:6" x14ac:dyDescent="0.2">
      <c r="A1704" s="30">
        <v>45957</v>
      </c>
      <c r="B1704" s="28" t="s">
        <v>520</v>
      </c>
      <c r="C1704" s="28">
        <v>157.99</v>
      </c>
      <c r="D1704" s="28" t="str">
        <f>_xlfn.XLOOKUP(B1704,'Payee Ref'!A:A,'Payee Ref'!B:B,"unassigned",0,1)</f>
        <v>Travel</v>
      </c>
      <c r="E1704" s="29" t="str">
        <f>_xlfn.XLOOKUP(B1704,'Payee Ref'!A:A,'Payee Ref'!C:C,"unassigned",0,1)</f>
        <v>Luxury</v>
      </c>
      <c r="F1704" s="28" t="s">
        <v>2207</v>
      </c>
    </row>
    <row r="1705" spans="1:6" x14ac:dyDescent="0.2">
      <c r="A1705" s="30">
        <v>45860</v>
      </c>
      <c r="B1705" s="31" t="s">
        <v>1814</v>
      </c>
      <c r="C1705" s="28">
        <v>158.80000000000001</v>
      </c>
      <c r="D1705" s="28" t="str">
        <f>_xlfn.XLOOKUP(B1705,'Payee Ref'!A:A,'Payee Ref'!B:B,"unassigned",0,1)</f>
        <v>Travel</v>
      </c>
      <c r="E1705" s="29" t="str">
        <f>_xlfn.XLOOKUP(B1705,'Payee Ref'!A:A,'Payee Ref'!C:C,"unassigned",0,1)</f>
        <v>Luxury</v>
      </c>
      <c r="F1705" s="28" t="s">
        <v>2207</v>
      </c>
    </row>
    <row r="1706" spans="1:6" x14ac:dyDescent="0.2">
      <c r="A1706" s="30">
        <v>45735</v>
      </c>
      <c r="B1706" s="28" t="s">
        <v>1536</v>
      </c>
      <c r="C1706" s="28">
        <v>160.9</v>
      </c>
      <c r="D1706" s="28" t="str">
        <f>_xlfn.XLOOKUP(B1706,'Payee Ref'!A:A,'Payee Ref'!B:B,"unassigned",0,1)</f>
        <v>Groceries</v>
      </c>
      <c r="E1706" s="29" t="str">
        <f>_xlfn.XLOOKUP(B1706,'Payee Ref'!A:A,'Payee Ref'!C:C,"unassigned",0,1)</f>
        <v>Basic</v>
      </c>
      <c r="F1706" s="28" t="s">
        <v>2207</v>
      </c>
    </row>
    <row r="1707" spans="1:6" x14ac:dyDescent="0.2">
      <c r="A1707" s="30">
        <v>45988</v>
      </c>
      <c r="B1707" s="28" t="s">
        <v>1523</v>
      </c>
      <c r="C1707" s="28">
        <v>162</v>
      </c>
      <c r="D1707" s="28" t="str">
        <f>_xlfn.XLOOKUP(B1707,'Payee Ref'!A:A,'Payee Ref'!B:B,"unassigned",0,1)</f>
        <v>Travel</v>
      </c>
      <c r="E1707" s="29" t="str">
        <f>_xlfn.XLOOKUP(B1707,'Payee Ref'!A:A,'Payee Ref'!C:C,"unassigned",0,1)</f>
        <v>Luxury</v>
      </c>
      <c r="F1707" s="28" t="s">
        <v>2207</v>
      </c>
    </row>
    <row r="1708" spans="1:6" x14ac:dyDescent="0.2">
      <c r="A1708" s="30">
        <v>45932</v>
      </c>
      <c r="B1708" s="28" t="s">
        <v>592</v>
      </c>
      <c r="C1708" s="28">
        <v>164.42</v>
      </c>
      <c r="D1708" s="28" t="str">
        <f>_xlfn.XLOOKUP(B1708,'Payee Ref'!A:A,'Payee Ref'!B:B,"unassigned",0,1)</f>
        <v>Hardware Technology</v>
      </c>
      <c r="E1708" s="29" t="str">
        <f>_xlfn.XLOOKUP(B1708,'Payee Ref'!A:A,'Payee Ref'!C:C,"unassigned",0,1)</f>
        <v>Basic</v>
      </c>
      <c r="F1708" s="28" t="s">
        <v>2207</v>
      </c>
    </row>
    <row r="1709" spans="1:6" x14ac:dyDescent="0.2">
      <c r="A1709" s="30">
        <v>45914</v>
      </c>
      <c r="B1709" s="28" t="s">
        <v>1597</v>
      </c>
      <c r="C1709" s="28">
        <v>165</v>
      </c>
      <c r="D1709" s="28" t="str">
        <f>_xlfn.XLOOKUP(B1709,'Payee Ref'!A:A,'Payee Ref'!B:B,"unassigned",0,1)</f>
        <v>Van</v>
      </c>
      <c r="E1709" s="29" t="str">
        <f>_xlfn.XLOOKUP(B1709,'Payee Ref'!A:A,'Payee Ref'!C:C,"unassigned",0,1)</f>
        <v>Luxury</v>
      </c>
      <c r="F1709" s="28" t="s">
        <v>2207</v>
      </c>
    </row>
    <row r="1710" spans="1:6" x14ac:dyDescent="0.2">
      <c r="A1710" s="30">
        <v>45883</v>
      </c>
      <c r="B1710" s="28" t="s">
        <v>1567</v>
      </c>
      <c r="C1710" s="28">
        <v>165</v>
      </c>
      <c r="D1710" s="28" t="str">
        <f>_xlfn.XLOOKUP(B1710,'Payee Ref'!A:A,'Payee Ref'!B:B,"unassigned",0,1)</f>
        <v>Van</v>
      </c>
      <c r="E1710" s="29" t="str">
        <f>_xlfn.XLOOKUP(B1710,'Payee Ref'!A:A,'Payee Ref'!C:C,"unassigned",0,1)</f>
        <v>Luxury</v>
      </c>
      <c r="F1710" s="28" t="s">
        <v>2207</v>
      </c>
    </row>
    <row r="1711" spans="1:6" x14ac:dyDescent="0.2">
      <c r="A1711" s="30">
        <v>45817</v>
      </c>
      <c r="B1711" s="28" t="s">
        <v>1609</v>
      </c>
      <c r="C1711" s="28">
        <v>166.85</v>
      </c>
      <c r="D1711" s="28" t="str">
        <f>_xlfn.XLOOKUP(B1711,'Payee Ref'!A:A,'Payee Ref'!B:B,"unassigned",0,1)</f>
        <v>Health &amp; Medical</v>
      </c>
      <c r="E1711" s="29" t="str">
        <f>_xlfn.XLOOKUP(B1711,'Payee Ref'!A:A,'Payee Ref'!C:C,"unassigned",0,1)</f>
        <v>Basic</v>
      </c>
      <c r="F1711" s="28" t="s">
        <v>2207</v>
      </c>
    </row>
    <row r="1712" spans="1:6" x14ac:dyDescent="0.2">
      <c r="A1712" s="30">
        <v>45688</v>
      </c>
      <c r="B1712" s="28" t="s">
        <v>1574</v>
      </c>
      <c r="C1712" s="28">
        <v>167</v>
      </c>
      <c r="D1712" s="28" t="str">
        <f>_xlfn.XLOOKUP(B1712,'Payee Ref'!A:A,'Payee Ref'!B:B,"unassigned",0,1)</f>
        <v>Groceries</v>
      </c>
      <c r="E1712" s="29" t="str">
        <f>_xlfn.XLOOKUP(B1712,'Payee Ref'!A:A,'Payee Ref'!C:C,"unassigned",0,1)</f>
        <v>Basic</v>
      </c>
      <c r="F1712" s="28" t="s">
        <v>2207</v>
      </c>
    </row>
    <row r="1713" spans="1:6" x14ac:dyDescent="0.2">
      <c r="A1713" s="30">
        <v>45731</v>
      </c>
      <c r="B1713" s="28" t="s">
        <v>1551</v>
      </c>
      <c r="C1713" s="28">
        <v>167.07</v>
      </c>
      <c r="D1713" s="28" t="str">
        <f>_xlfn.XLOOKUP(B1713,'Payee Ref'!A:A,'Payee Ref'!B:B,"unassigned",0,1)</f>
        <v>Groceries</v>
      </c>
      <c r="E1713" s="29" t="str">
        <f>_xlfn.XLOOKUP(B1713,'Payee Ref'!A:A,'Payee Ref'!C:C,"unassigned",0,1)</f>
        <v>Basic</v>
      </c>
      <c r="F1713" s="28" t="s">
        <v>2207</v>
      </c>
    </row>
    <row r="1714" spans="1:6" x14ac:dyDescent="0.2">
      <c r="A1714" s="30">
        <v>45786</v>
      </c>
      <c r="B1714" s="28" t="s">
        <v>2006</v>
      </c>
      <c r="C1714" s="28">
        <v>169.68</v>
      </c>
      <c r="D1714" s="28" t="str">
        <f>_xlfn.XLOOKUP(B1714,'Payee Ref'!A:A,'Payee Ref'!B:B,"unassigned",0,1)</f>
        <v>Dining</v>
      </c>
      <c r="E1714" s="29" t="str">
        <f>_xlfn.XLOOKUP(B1714,'Payee Ref'!A:A,'Payee Ref'!C:C,"unassigned",0,1)</f>
        <v>Luxury</v>
      </c>
      <c r="F1714" s="28" t="s">
        <v>2207</v>
      </c>
    </row>
    <row r="1715" spans="1:6" x14ac:dyDescent="0.2">
      <c r="A1715" s="30">
        <v>45832</v>
      </c>
      <c r="B1715" s="28" t="s">
        <v>1903</v>
      </c>
      <c r="C1715" s="28">
        <v>169.81</v>
      </c>
      <c r="D1715" s="28" t="str">
        <f>_xlfn.XLOOKUP(B1715,'Payee Ref'!A:A,'Payee Ref'!B:B,"unassigned",0,1)</f>
        <v>Travel</v>
      </c>
      <c r="E1715" s="29" t="str">
        <f>_xlfn.XLOOKUP(B1715,'Payee Ref'!A:A,'Payee Ref'!C:C,"unassigned",0,1)</f>
        <v>Luxury</v>
      </c>
      <c r="F1715" s="28" t="s">
        <v>2207</v>
      </c>
    </row>
    <row r="1716" spans="1:6" x14ac:dyDescent="0.2">
      <c r="A1716" s="30">
        <v>45855</v>
      </c>
      <c r="B1716" s="28" t="s">
        <v>1829</v>
      </c>
      <c r="C1716" s="28">
        <v>170</v>
      </c>
      <c r="D1716" s="28" t="str">
        <f>_xlfn.XLOOKUP(B1716,'Payee Ref'!A:A,'Payee Ref'!B:B,"unassigned",0,1)</f>
        <v>Travel</v>
      </c>
      <c r="E1716" s="29" t="str">
        <f>_xlfn.XLOOKUP(B1716,'Payee Ref'!A:A,'Payee Ref'!C:C,"unassigned",0,1)</f>
        <v>Luxury</v>
      </c>
      <c r="F1716" s="28" t="s">
        <v>2207</v>
      </c>
    </row>
    <row r="1717" spans="1:6" x14ac:dyDescent="0.2">
      <c r="A1717" s="30">
        <v>45929</v>
      </c>
      <c r="B1717" s="28" t="s">
        <v>1591</v>
      </c>
      <c r="C1717" s="28">
        <v>172.98</v>
      </c>
      <c r="D1717" s="28" t="str">
        <f>_xlfn.XLOOKUP(B1717,'Payee Ref'!A:A,'Payee Ref'!B:B,"unassigned",0,1)</f>
        <v>Travel</v>
      </c>
      <c r="E1717" s="29" t="str">
        <f>_xlfn.XLOOKUP(B1717,'Payee Ref'!A:A,'Payee Ref'!C:C,"unassigned",0,1)</f>
        <v>Luxury</v>
      </c>
      <c r="F1717" s="28" t="s">
        <v>2207</v>
      </c>
    </row>
    <row r="1718" spans="1:6" x14ac:dyDescent="0.2">
      <c r="A1718" s="30">
        <v>45847</v>
      </c>
      <c r="B1718" s="28" t="s">
        <v>1852</v>
      </c>
      <c r="C1718" s="28">
        <v>173.15</v>
      </c>
      <c r="D1718" s="28">
        <f>_xlfn.XLOOKUP(B1718,'Payee Ref'!A:A,'Payee Ref'!B:B,"unassigned",0,1)</f>
        <v>0</v>
      </c>
      <c r="E1718" s="29">
        <f>_xlfn.XLOOKUP(B1718,'Payee Ref'!A:A,'Payee Ref'!C:C,"unassigned",0,1)</f>
        <v>0</v>
      </c>
      <c r="F1718" s="28" t="s">
        <v>2207</v>
      </c>
    </row>
    <row r="1719" spans="1:6" x14ac:dyDescent="0.2">
      <c r="A1719" s="30">
        <v>45680</v>
      </c>
      <c r="B1719" s="31" t="s">
        <v>1639</v>
      </c>
      <c r="C1719" s="28">
        <v>175</v>
      </c>
      <c r="D1719" s="28" t="str">
        <f>_xlfn.XLOOKUP(B1719,'Payee Ref'!A:A,'Payee Ref'!B:B,"unassigned",0,1)</f>
        <v>Health &amp; Medical</v>
      </c>
      <c r="E1719" s="29" t="str">
        <f>_xlfn.XLOOKUP(B1719,'Payee Ref'!A:A,'Payee Ref'!C:C,"unassigned",0,1)</f>
        <v>Basic</v>
      </c>
      <c r="F1719" s="28" t="s">
        <v>2207</v>
      </c>
    </row>
    <row r="1720" spans="1:6" x14ac:dyDescent="0.2">
      <c r="A1720" s="30">
        <v>45680</v>
      </c>
      <c r="B1720" s="31" t="s">
        <v>1639</v>
      </c>
      <c r="C1720" s="28">
        <v>175</v>
      </c>
      <c r="D1720" s="28" t="str">
        <f>_xlfn.XLOOKUP(B1720,'Payee Ref'!A:A,'Payee Ref'!B:B,"unassigned",0,1)</f>
        <v>Health &amp; Medical</v>
      </c>
      <c r="E1720" s="29" t="str">
        <f>_xlfn.XLOOKUP(B1720,'Payee Ref'!A:A,'Payee Ref'!C:C,"unassigned",0,1)</f>
        <v>Basic</v>
      </c>
      <c r="F1720" s="28" t="s">
        <v>2207</v>
      </c>
    </row>
    <row r="1721" spans="1:6" x14ac:dyDescent="0.2">
      <c r="A1721" s="30">
        <v>45842</v>
      </c>
      <c r="B1721" s="31" t="s">
        <v>1744</v>
      </c>
      <c r="C1721" s="28">
        <v>175.89</v>
      </c>
      <c r="D1721" s="28" t="str">
        <f>_xlfn.XLOOKUP(B1721,'Payee Ref'!A:A,'Payee Ref'!B:B,"unassigned",0,1)</f>
        <v>Travel</v>
      </c>
      <c r="E1721" s="29" t="str">
        <f>_xlfn.XLOOKUP(B1721,'Payee Ref'!A:A,'Payee Ref'!C:C,"unassigned",0,1)</f>
        <v>Luxury</v>
      </c>
      <c r="F1721" s="28" t="s">
        <v>2207</v>
      </c>
    </row>
    <row r="1722" spans="1:6" x14ac:dyDescent="0.2">
      <c r="A1722" s="30">
        <v>45672</v>
      </c>
      <c r="B1722" s="28" t="s">
        <v>1998</v>
      </c>
      <c r="C1722" s="28">
        <v>178.96</v>
      </c>
      <c r="D1722" s="28" t="str">
        <f>_xlfn.XLOOKUP(B1722,'Payee Ref'!A:A,'Payee Ref'!B:B,"unassigned",0,1)</f>
        <v>Travel</v>
      </c>
      <c r="E1722" s="29" t="str">
        <f>_xlfn.XLOOKUP(B1722,'Payee Ref'!A:A,'Payee Ref'!C:C,"unassigned",0,1)</f>
        <v>Luxury</v>
      </c>
      <c r="F1722" s="28" t="s">
        <v>2207</v>
      </c>
    </row>
    <row r="1723" spans="1:6" x14ac:dyDescent="0.2">
      <c r="A1723" s="30">
        <v>45892</v>
      </c>
      <c r="B1723" s="28" t="s">
        <v>1654</v>
      </c>
      <c r="C1723" s="28">
        <v>179.82</v>
      </c>
      <c r="D1723" s="28" t="str">
        <f>_xlfn.XLOOKUP(B1723,'Payee Ref'!A:A,'Payee Ref'!B:B,"unassigned",0,1)</f>
        <v>Clothing</v>
      </c>
      <c r="E1723" s="29" t="str">
        <f>_xlfn.XLOOKUP(B1723,'Payee Ref'!A:A,'Payee Ref'!C:C,"unassigned",0,1)</f>
        <v>Basic</v>
      </c>
      <c r="F1723" s="28" t="s">
        <v>2207</v>
      </c>
    </row>
    <row r="1724" spans="1:6" x14ac:dyDescent="0.2">
      <c r="A1724" s="30">
        <v>45925</v>
      </c>
      <c r="B1724" s="31" t="s">
        <v>1549</v>
      </c>
      <c r="C1724" s="28">
        <v>180</v>
      </c>
      <c r="D1724" s="28" t="str">
        <f>_xlfn.XLOOKUP(B1724,'Payee Ref'!A:A,'Payee Ref'!B:B,"unassigned",0,1)</f>
        <v>Health &amp; Medical</v>
      </c>
      <c r="E1724" s="29" t="str">
        <f>_xlfn.XLOOKUP(B1724,'Payee Ref'!A:A,'Payee Ref'!C:C,"unassigned",0,1)</f>
        <v>Basic</v>
      </c>
      <c r="F1724" s="28" t="s">
        <v>2207</v>
      </c>
    </row>
    <row r="1725" spans="1:6" x14ac:dyDescent="0.2">
      <c r="A1725" s="30">
        <v>45904</v>
      </c>
      <c r="B1725" s="31" t="s">
        <v>1549</v>
      </c>
      <c r="C1725" s="28">
        <v>180</v>
      </c>
      <c r="D1725" s="28" t="str">
        <f>_xlfn.XLOOKUP(B1725,'Payee Ref'!A:A,'Payee Ref'!B:B,"unassigned",0,1)</f>
        <v>Health &amp; Medical</v>
      </c>
      <c r="E1725" s="29" t="str">
        <f>_xlfn.XLOOKUP(B1725,'Payee Ref'!A:A,'Payee Ref'!C:C,"unassigned",0,1)</f>
        <v>Basic</v>
      </c>
      <c r="F1725" s="28" t="s">
        <v>2207</v>
      </c>
    </row>
    <row r="1726" spans="1:6" x14ac:dyDescent="0.2">
      <c r="A1726" s="30">
        <v>45898</v>
      </c>
      <c r="B1726" s="31" t="s">
        <v>1549</v>
      </c>
      <c r="C1726" s="28">
        <v>180</v>
      </c>
      <c r="D1726" s="28" t="str">
        <f>_xlfn.XLOOKUP(B1726,'Payee Ref'!A:A,'Payee Ref'!B:B,"unassigned",0,1)</f>
        <v>Health &amp; Medical</v>
      </c>
      <c r="E1726" s="29" t="str">
        <f>_xlfn.XLOOKUP(B1726,'Payee Ref'!A:A,'Payee Ref'!C:C,"unassigned",0,1)</f>
        <v>Basic</v>
      </c>
      <c r="F1726" s="28" t="s">
        <v>2207</v>
      </c>
    </row>
    <row r="1727" spans="1:6" x14ac:dyDescent="0.2">
      <c r="A1727" s="30">
        <v>45891</v>
      </c>
      <c r="B1727" s="31" t="s">
        <v>1549</v>
      </c>
      <c r="C1727" s="28">
        <v>180</v>
      </c>
      <c r="D1727" s="28" t="str">
        <f>_xlfn.XLOOKUP(B1727,'Payee Ref'!A:A,'Payee Ref'!B:B,"unassigned",0,1)</f>
        <v>Health &amp; Medical</v>
      </c>
      <c r="E1727" s="29" t="str">
        <f>_xlfn.XLOOKUP(B1727,'Payee Ref'!A:A,'Payee Ref'!C:C,"unassigned",0,1)</f>
        <v>Basic</v>
      </c>
      <c r="F1727" s="28" t="s">
        <v>2207</v>
      </c>
    </row>
    <row r="1728" spans="1:6" x14ac:dyDescent="0.2">
      <c r="A1728" s="30">
        <v>45890</v>
      </c>
      <c r="B1728" s="31" t="s">
        <v>1549</v>
      </c>
      <c r="C1728" s="28">
        <v>180</v>
      </c>
      <c r="D1728" s="28" t="str">
        <f>_xlfn.XLOOKUP(B1728,'Payee Ref'!A:A,'Payee Ref'!B:B,"unassigned",0,1)</f>
        <v>Health &amp; Medical</v>
      </c>
      <c r="E1728" s="29" t="str">
        <f>_xlfn.XLOOKUP(B1728,'Payee Ref'!A:A,'Payee Ref'!C:C,"unassigned",0,1)</f>
        <v>Basic</v>
      </c>
      <c r="F1728" s="28" t="s">
        <v>2207</v>
      </c>
    </row>
    <row r="1729" spans="1:6" x14ac:dyDescent="0.2">
      <c r="A1729" s="30">
        <v>45884</v>
      </c>
      <c r="B1729" s="31" t="s">
        <v>1549</v>
      </c>
      <c r="C1729" s="28">
        <v>180</v>
      </c>
      <c r="D1729" s="28" t="str">
        <f>_xlfn.XLOOKUP(B1729,'Payee Ref'!A:A,'Payee Ref'!B:B,"unassigned",0,1)</f>
        <v>Health &amp; Medical</v>
      </c>
      <c r="E1729" s="29" t="str">
        <f>_xlfn.XLOOKUP(B1729,'Payee Ref'!A:A,'Payee Ref'!C:C,"unassigned",0,1)</f>
        <v>Basic</v>
      </c>
      <c r="F1729" s="28" t="s">
        <v>2207</v>
      </c>
    </row>
    <row r="1730" spans="1:6" x14ac:dyDescent="0.2">
      <c r="A1730" s="30">
        <v>45884</v>
      </c>
      <c r="B1730" s="31" t="s">
        <v>1549</v>
      </c>
      <c r="C1730" s="28">
        <v>180</v>
      </c>
      <c r="D1730" s="28" t="str">
        <f>_xlfn.XLOOKUP(B1730,'Payee Ref'!A:A,'Payee Ref'!B:B,"unassigned",0,1)</f>
        <v>Health &amp; Medical</v>
      </c>
      <c r="E1730" s="29" t="str">
        <f>_xlfn.XLOOKUP(B1730,'Payee Ref'!A:A,'Payee Ref'!C:C,"unassigned",0,1)</f>
        <v>Basic</v>
      </c>
      <c r="F1730" s="28" t="s">
        <v>2207</v>
      </c>
    </row>
    <row r="1731" spans="1:6" x14ac:dyDescent="0.2">
      <c r="A1731" s="30">
        <v>45877</v>
      </c>
      <c r="B1731" s="31" t="s">
        <v>1549</v>
      </c>
      <c r="C1731" s="28">
        <v>180</v>
      </c>
      <c r="D1731" s="28" t="str">
        <f>_xlfn.XLOOKUP(B1731,'Payee Ref'!A:A,'Payee Ref'!B:B,"unassigned",0,1)</f>
        <v>Health &amp; Medical</v>
      </c>
      <c r="E1731" s="29" t="str">
        <f>_xlfn.XLOOKUP(B1731,'Payee Ref'!A:A,'Payee Ref'!C:C,"unassigned",0,1)</f>
        <v>Basic</v>
      </c>
      <c r="F1731" s="28" t="s">
        <v>2207</v>
      </c>
    </row>
    <row r="1732" spans="1:6" x14ac:dyDescent="0.2">
      <c r="A1732" s="30">
        <v>45863</v>
      </c>
      <c r="B1732" s="31" t="s">
        <v>1549</v>
      </c>
      <c r="C1732" s="28">
        <v>180</v>
      </c>
      <c r="D1732" s="28" t="str">
        <f>_xlfn.XLOOKUP(B1732,'Payee Ref'!A:A,'Payee Ref'!B:B,"unassigned",0,1)</f>
        <v>Health &amp; Medical</v>
      </c>
      <c r="E1732" s="29" t="str">
        <f>_xlfn.XLOOKUP(B1732,'Payee Ref'!A:A,'Payee Ref'!C:C,"unassigned",0,1)</f>
        <v>Basic</v>
      </c>
      <c r="F1732" s="28" t="s">
        <v>2207</v>
      </c>
    </row>
    <row r="1733" spans="1:6" x14ac:dyDescent="0.2">
      <c r="A1733" s="30">
        <v>45862</v>
      </c>
      <c r="B1733" s="31" t="s">
        <v>1549</v>
      </c>
      <c r="C1733" s="28">
        <v>180</v>
      </c>
      <c r="D1733" s="28" t="str">
        <f>_xlfn.XLOOKUP(B1733,'Payee Ref'!A:A,'Payee Ref'!B:B,"unassigned",0,1)</f>
        <v>Health &amp; Medical</v>
      </c>
      <c r="E1733" s="29" t="str">
        <f>_xlfn.XLOOKUP(B1733,'Payee Ref'!A:A,'Payee Ref'!C:C,"unassigned",0,1)</f>
        <v>Basic</v>
      </c>
      <c r="F1733" s="28" t="s">
        <v>2207</v>
      </c>
    </row>
    <row r="1734" spans="1:6" x14ac:dyDescent="0.2">
      <c r="A1734" s="30">
        <v>45856</v>
      </c>
      <c r="B1734" s="31" t="s">
        <v>1549</v>
      </c>
      <c r="C1734" s="28">
        <v>180</v>
      </c>
      <c r="D1734" s="28" t="str">
        <f>_xlfn.XLOOKUP(B1734,'Payee Ref'!A:A,'Payee Ref'!B:B,"unassigned",0,1)</f>
        <v>Health &amp; Medical</v>
      </c>
      <c r="E1734" s="29" t="str">
        <f>_xlfn.XLOOKUP(B1734,'Payee Ref'!A:A,'Payee Ref'!C:C,"unassigned",0,1)</f>
        <v>Basic</v>
      </c>
      <c r="F1734" s="28" t="s">
        <v>2207</v>
      </c>
    </row>
    <row r="1735" spans="1:6" x14ac:dyDescent="0.2">
      <c r="A1735" s="30">
        <v>45855</v>
      </c>
      <c r="B1735" s="31" t="s">
        <v>1549</v>
      </c>
      <c r="C1735" s="28">
        <v>180</v>
      </c>
      <c r="D1735" s="28" t="str">
        <f>_xlfn.XLOOKUP(B1735,'Payee Ref'!A:A,'Payee Ref'!B:B,"unassigned",0,1)</f>
        <v>Health &amp; Medical</v>
      </c>
      <c r="E1735" s="29" t="str">
        <f>_xlfn.XLOOKUP(B1735,'Payee Ref'!A:A,'Payee Ref'!C:C,"unassigned",0,1)</f>
        <v>Basic</v>
      </c>
      <c r="F1735" s="28" t="s">
        <v>2207</v>
      </c>
    </row>
    <row r="1736" spans="1:6" x14ac:dyDescent="0.2">
      <c r="A1736" s="30">
        <v>45848</v>
      </c>
      <c r="B1736" s="31" t="s">
        <v>1549</v>
      </c>
      <c r="C1736" s="28">
        <v>180</v>
      </c>
      <c r="D1736" s="28" t="str">
        <f>_xlfn.XLOOKUP(B1736,'Payee Ref'!A:A,'Payee Ref'!B:B,"unassigned",0,1)</f>
        <v>Health &amp; Medical</v>
      </c>
      <c r="E1736" s="29" t="str">
        <f>_xlfn.XLOOKUP(B1736,'Payee Ref'!A:A,'Payee Ref'!C:C,"unassigned",0,1)</f>
        <v>Basic</v>
      </c>
      <c r="F1736" s="28" t="s">
        <v>2207</v>
      </c>
    </row>
    <row r="1737" spans="1:6" x14ac:dyDescent="0.2">
      <c r="A1737" s="30">
        <v>45841</v>
      </c>
      <c r="B1737" s="31" t="s">
        <v>1549</v>
      </c>
      <c r="C1737" s="28">
        <v>180</v>
      </c>
      <c r="D1737" s="28" t="str">
        <f>_xlfn.XLOOKUP(B1737,'Payee Ref'!A:A,'Payee Ref'!B:B,"unassigned",0,1)</f>
        <v>Health &amp; Medical</v>
      </c>
      <c r="E1737" s="29" t="str">
        <f>_xlfn.XLOOKUP(B1737,'Payee Ref'!A:A,'Payee Ref'!C:C,"unassigned",0,1)</f>
        <v>Basic</v>
      </c>
      <c r="F1737" s="28" t="s">
        <v>2207</v>
      </c>
    </row>
    <row r="1738" spans="1:6" x14ac:dyDescent="0.2">
      <c r="A1738" s="30">
        <v>45841</v>
      </c>
      <c r="B1738" s="31" t="s">
        <v>1549</v>
      </c>
      <c r="C1738" s="28">
        <v>180</v>
      </c>
      <c r="D1738" s="28" t="str">
        <f>_xlfn.XLOOKUP(B1738,'Payee Ref'!A:A,'Payee Ref'!B:B,"unassigned",0,1)</f>
        <v>Health &amp; Medical</v>
      </c>
      <c r="E1738" s="29" t="str">
        <f>_xlfn.XLOOKUP(B1738,'Payee Ref'!A:A,'Payee Ref'!C:C,"unassigned",0,1)</f>
        <v>Basic</v>
      </c>
      <c r="F1738" s="28" t="s">
        <v>2207</v>
      </c>
    </row>
    <row r="1739" spans="1:6" x14ac:dyDescent="0.2">
      <c r="A1739" s="30">
        <v>45839</v>
      </c>
      <c r="B1739" s="31" t="s">
        <v>1639</v>
      </c>
      <c r="C1739" s="28">
        <v>180</v>
      </c>
      <c r="D1739" s="28" t="str">
        <f>_xlfn.XLOOKUP(B1739,'Payee Ref'!A:A,'Payee Ref'!B:B,"unassigned",0,1)</f>
        <v>Health &amp; Medical</v>
      </c>
      <c r="E1739" s="29" t="str">
        <f>_xlfn.XLOOKUP(B1739,'Payee Ref'!A:A,'Payee Ref'!C:C,"unassigned",0,1)</f>
        <v>Basic</v>
      </c>
      <c r="F1739" s="28" t="s">
        <v>2207</v>
      </c>
    </row>
    <row r="1740" spans="1:6" x14ac:dyDescent="0.2">
      <c r="A1740" s="30">
        <v>45821</v>
      </c>
      <c r="B1740" s="31" t="s">
        <v>1549</v>
      </c>
      <c r="C1740" s="28">
        <v>180</v>
      </c>
      <c r="D1740" s="28" t="str">
        <f>_xlfn.XLOOKUP(B1740,'Payee Ref'!A:A,'Payee Ref'!B:B,"unassigned",0,1)</f>
        <v>Health &amp; Medical</v>
      </c>
      <c r="E1740" s="29" t="str">
        <f>_xlfn.XLOOKUP(B1740,'Payee Ref'!A:A,'Payee Ref'!C:C,"unassigned",0,1)</f>
        <v>Basic</v>
      </c>
      <c r="F1740" s="28" t="s">
        <v>2207</v>
      </c>
    </row>
    <row r="1741" spans="1:6" x14ac:dyDescent="0.2">
      <c r="A1741" s="30">
        <v>45821</v>
      </c>
      <c r="B1741" s="31" t="s">
        <v>1549</v>
      </c>
      <c r="C1741" s="28">
        <v>180</v>
      </c>
      <c r="D1741" s="28" t="str">
        <f>_xlfn.XLOOKUP(B1741,'Payee Ref'!A:A,'Payee Ref'!B:B,"unassigned",0,1)</f>
        <v>Health &amp; Medical</v>
      </c>
      <c r="E1741" s="29" t="str">
        <f>_xlfn.XLOOKUP(B1741,'Payee Ref'!A:A,'Payee Ref'!C:C,"unassigned",0,1)</f>
        <v>Basic</v>
      </c>
      <c r="F1741" s="28" t="s">
        <v>2207</v>
      </c>
    </row>
    <row r="1742" spans="1:6" x14ac:dyDescent="0.2">
      <c r="A1742" s="30">
        <v>45815</v>
      </c>
      <c r="B1742" s="31" t="s">
        <v>1549</v>
      </c>
      <c r="C1742" s="28">
        <v>180</v>
      </c>
      <c r="D1742" s="28" t="str">
        <f>_xlfn.XLOOKUP(B1742,'Payee Ref'!A:A,'Payee Ref'!B:B,"unassigned",0,1)</f>
        <v>Health &amp; Medical</v>
      </c>
      <c r="E1742" s="29" t="str">
        <f>_xlfn.XLOOKUP(B1742,'Payee Ref'!A:A,'Payee Ref'!C:C,"unassigned",0,1)</f>
        <v>Basic</v>
      </c>
      <c r="F1742" s="28" t="s">
        <v>2207</v>
      </c>
    </row>
    <row r="1743" spans="1:6" x14ac:dyDescent="0.2">
      <c r="A1743" s="30">
        <v>45813</v>
      </c>
      <c r="B1743" s="31" t="s">
        <v>1549</v>
      </c>
      <c r="C1743" s="28">
        <v>180</v>
      </c>
      <c r="D1743" s="28" t="str">
        <f>_xlfn.XLOOKUP(B1743,'Payee Ref'!A:A,'Payee Ref'!B:B,"unassigned",0,1)</f>
        <v>Health &amp; Medical</v>
      </c>
      <c r="E1743" s="29" t="str">
        <f>_xlfn.XLOOKUP(B1743,'Payee Ref'!A:A,'Payee Ref'!C:C,"unassigned",0,1)</f>
        <v>Basic</v>
      </c>
      <c r="F1743" s="28" t="s">
        <v>2207</v>
      </c>
    </row>
    <row r="1744" spans="1:6" x14ac:dyDescent="0.2">
      <c r="A1744" s="30">
        <v>45807</v>
      </c>
      <c r="B1744" s="31" t="s">
        <v>1549</v>
      </c>
      <c r="C1744" s="28">
        <v>180</v>
      </c>
      <c r="D1744" s="28" t="str">
        <f>_xlfn.XLOOKUP(B1744,'Payee Ref'!A:A,'Payee Ref'!B:B,"unassigned",0,1)</f>
        <v>Health &amp; Medical</v>
      </c>
      <c r="E1744" s="29" t="str">
        <f>_xlfn.XLOOKUP(B1744,'Payee Ref'!A:A,'Payee Ref'!C:C,"unassigned",0,1)</f>
        <v>Basic</v>
      </c>
      <c r="F1744" s="28" t="s">
        <v>2207</v>
      </c>
    </row>
    <row r="1745" spans="1:6" x14ac:dyDescent="0.2">
      <c r="A1745" s="30">
        <v>45806</v>
      </c>
      <c r="B1745" s="31" t="s">
        <v>1549</v>
      </c>
      <c r="C1745" s="28">
        <v>180</v>
      </c>
      <c r="D1745" s="28" t="str">
        <f>_xlfn.XLOOKUP(B1745,'Payee Ref'!A:A,'Payee Ref'!B:B,"unassigned",0,1)</f>
        <v>Health &amp; Medical</v>
      </c>
      <c r="E1745" s="29" t="str">
        <f>_xlfn.XLOOKUP(B1745,'Payee Ref'!A:A,'Payee Ref'!C:C,"unassigned",0,1)</f>
        <v>Basic</v>
      </c>
      <c r="F1745" s="28" t="s">
        <v>2207</v>
      </c>
    </row>
    <row r="1746" spans="1:6" x14ac:dyDescent="0.2">
      <c r="A1746" s="30">
        <v>45800</v>
      </c>
      <c r="B1746" s="31" t="s">
        <v>1549</v>
      </c>
      <c r="C1746" s="28">
        <v>180</v>
      </c>
      <c r="D1746" s="28" t="str">
        <f>_xlfn.XLOOKUP(B1746,'Payee Ref'!A:A,'Payee Ref'!B:B,"unassigned",0,1)</f>
        <v>Health &amp; Medical</v>
      </c>
      <c r="E1746" s="29" t="str">
        <f>_xlfn.XLOOKUP(B1746,'Payee Ref'!A:A,'Payee Ref'!C:C,"unassigned",0,1)</f>
        <v>Basic</v>
      </c>
      <c r="F1746" s="28" t="s">
        <v>2207</v>
      </c>
    </row>
    <row r="1747" spans="1:6" x14ac:dyDescent="0.2">
      <c r="A1747" s="30">
        <v>45799</v>
      </c>
      <c r="B1747" s="31" t="s">
        <v>1549</v>
      </c>
      <c r="C1747" s="28">
        <v>180</v>
      </c>
      <c r="D1747" s="28" t="str">
        <f>_xlfn.XLOOKUP(B1747,'Payee Ref'!A:A,'Payee Ref'!B:B,"unassigned",0,1)</f>
        <v>Health &amp; Medical</v>
      </c>
      <c r="E1747" s="29" t="str">
        <f>_xlfn.XLOOKUP(B1747,'Payee Ref'!A:A,'Payee Ref'!C:C,"unassigned",0,1)</f>
        <v>Basic</v>
      </c>
      <c r="F1747" s="28" t="s">
        <v>2207</v>
      </c>
    </row>
    <row r="1748" spans="1:6" x14ac:dyDescent="0.2">
      <c r="A1748" s="30">
        <v>45793</v>
      </c>
      <c r="B1748" s="31" t="s">
        <v>1549</v>
      </c>
      <c r="C1748" s="28">
        <v>180</v>
      </c>
      <c r="D1748" s="28" t="str">
        <f>_xlfn.XLOOKUP(B1748,'Payee Ref'!A:A,'Payee Ref'!B:B,"unassigned",0,1)</f>
        <v>Health &amp; Medical</v>
      </c>
      <c r="E1748" s="29" t="str">
        <f>_xlfn.XLOOKUP(B1748,'Payee Ref'!A:A,'Payee Ref'!C:C,"unassigned",0,1)</f>
        <v>Basic</v>
      </c>
      <c r="F1748" s="28" t="s">
        <v>2207</v>
      </c>
    </row>
    <row r="1749" spans="1:6" x14ac:dyDescent="0.2">
      <c r="A1749" s="30">
        <v>45792</v>
      </c>
      <c r="B1749" s="31" t="s">
        <v>1549</v>
      </c>
      <c r="C1749" s="28">
        <v>180</v>
      </c>
      <c r="D1749" s="28" t="str">
        <f>_xlfn.XLOOKUP(B1749,'Payee Ref'!A:A,'Payee Ref'!B:B,"unassigned",0,1)</f>
        <v>Health &amp; Medical</v>
      </c>
      <c r="E1749" s="29" t="str">
        <f>_xlfn.XLOOKUP(B1749,'Payee Ref'!A:A,'Payee Ref'!C:C,"unassigned",0,1)</f>
        <v>Basic</v>
      </c>
      <c r="F1749" s="28" t="s">
        <v>2207</v>
      </c>
    </row>
    <row r="1750" spans="1:6" x14ac:dyDescent="0.2">
      <c r="A1750" s="30">
        <v>45786</v>
      </c>
      <c r="B1750" s="31" t="s">
        <v>1549</v>
      </c>
      <c r="C1750" s="28">
        <v>180</v>
      </c>
      <c r="D1750" s="28" t="str">
        <f>_xlfn.XLOOKUP(B1750,'Payee Ref'!A:A,'Payee Ref'!B:B,"unassigned",0,1)</f>
        <v>Health &amp; Medical</v>
      </c>
      <c r="E1750" s="29" t="str">
        <f>_xlfn.XLOOKUP(B1750,'Payee Ref'!A:A,'Payee Ref'!C:C,"unassigned",0,1)</f>
        <v>Basic</v>
      </c>
      <c r="F1750" s="28" t="s">
        <v>2207</v>
      </c>
    </row>
    <row r="1751" spans="1:6" x14ac:dyDescent="0.2">
      <c r="A1751" s="30">
        <v>45778</v>
      </c>
      <c r="B1751" s="31" t="s">
        <v>1549</v>
      </c>
      <c r="C1751" s="28">
        <v>180</v>
      </c>
      <c r="D1751" s="28" t="str">
        <f>_xlfn.XLOOKUP(B1751,'Payee Ref'!A:A,'Payee Ref'!B:B,"unassigned",0,1)</f>
        <v>Health &amp; Medical</v>
      </c>
      <c r="E1751" s="29" t="str">
        <f>_xlfn.XLOOKUP(B1751,'Payee Ref'!A:A,'Payee Ref'!C:C,"unassigned",0,1)</f>
        <v>Basic</v>
      </c>
      <c r="F1751" s="28" t="s">
        <v>2207</v>
      </c>
    </row>
    <row r="1752" spans="1:6" x14ac:dyDescent="0.2">
      <c r="A1752" s="30">
        <v>45771</v>
      </c>
      <c r="B1752" s="31" t="s">
        <v>1549</v>
      </c>
      <c r="C1752" s="28">
        <v>180</v>
      </c>
      <c r="D1752" s="28" t="str">
        <f>_xlfn.XLOOKUP(B1752,'Payee Ref'!A:A,'Payee Ref'!B:B,"unassigned",0,1)</f>
        <v>Health &amp; Medical</v>
      </c>
      <c r="E1752" s="29" t="str">
        <f>_xlfn.XLOOKUP(B1752,'Payee Ref'!A:A,'Payee Ref'!C:C,"unassigned",0,1)</f>
        <v>Basic</v>
      </c>
      <c r="F1752" s="28" t="s">
        <v>2207</v>
      </c>
    </row>
    <row r="1753" spans="1:6" x14ac:dyDescent="0.2">
      <c r="A1753" s="30">
        <v>45765</v>
      </c>
      <c r="B1753" s="31" t="s">
        <v>1549</v>
      </c>
      <c r="C1753" s="28">
        <v>180</v>
      </c>
      <c r="D1753" s="28" t="str">
        <f>_xlfn.XLOOKUP(B1753,'Payee Ref'!A:A,'Payee Ref'!B:B,"unassigned",0,1)</f>
        <v>Health &amp; Medical</v>
      </c>
      <c r="E1753" s="29" t="str">
        <f>_xlfn.XLOOKUP(B1753,'Payee Ref'!A:A,'Payee Ref'!C:C,"unassigned",0,1)</f>
        <v>Basic</v>
      </c>
      <c r="F1753" s="28" t="s">
        <v>2207</v>
      </c>
    </row>
    <row r="1754" spans="1:6" x14ac:dyDescent="0.2">
      <c r="A1754" s="30">
        <v>45758</v>
      </c>
      <c r="B1754" s="31" t="s">
        <v>1549</v>
      </c>
      <c r="C1754" s="28">
        <v>180</v>
      </c>
      <c r="D1754" s="28" t="str">
        <f>_xlfn.XLOOKUP(B1754,'Payee Ref'!A:A,'Payee Ref'!B:B,"unassigned",0,1)</f>
        <v>Health &amp; Medical</v>
      </c>
      <c r="E1754" s="29" t="str">
        <f>_xlfn.XLOOKUP(B1754,'Payee Ref'!A:A,'Payee Ref'!C:C,"unassigned",0,1)</f>
        <v>Basic</v>
      </c>
      <c r="F1754" s="28" t="s">
        <v>2207</v>
      </c>
    </row>
    <row r="1755" spans="1:6" x14ac:dyDescent="0.2">
      <c r="A1755" s="30">
        <v>45744</v>
      </c>
      <c r="B1755" s="31" t="s">
        <v>1549</v>
      </c>
      <c r="C1755" s="28">
        <v>180</v>
      </c>
      <c r="D1755" s="28" t="str">
        <f>_xlfn.XLOOKUP(B1755,'Payee Ref'!A:A,'Payee Ref'!B:B,"unassigned",0,1)</f>
        <v>Health &amp; Medical</v>
      </c>
      <c r="E1755" s="29" t="str">
        <f>_xlfn.XLOOKUP(B1755,'Payee Ref'!A:A,'Payee Ref'!C:C,"unassigned",0,1)</f>
        <v>Basic</v>
      </c>
      <c r="F1755" s="28" t="s">
        <v>2207</v>
      </c>
    </row>
    <row r="1756" spans="1:6" x14ac:dyDescent="0.2">
      <c r="A1756" s="30">
        <v>45737</v>
      </c>
      <c r="B1756" s="31" t="s">
        <v>1549</v>
      </c>
      <c r="C1756" s="28">
        <v>180</v>
      </c>
      <c r="D1756" s="28" t="str">
        <f>_xlfn.XLOOKUP(B1756,'Payee Ref'!A:A,'Payee Ref'!B:B,"unassigned",0,1)</f>
        <v>Health &amp; Medical</v>
      </c>
      <c r="E1756" s="29" t="str">
        <f>_xlfn.XLOOKUP(B1756,'Payee Ref'!A:A,'Payee Ref'!C:C,"unassigned",0,1)</f>
        <v>Basic</v>
      </c>
      <c r="F1756" s="28" t="s">
        <v>2207</v>
      </c>
    </row>
    <row r="1757" spans="1:6" x14ac:dyDescent="0.2">
      <c r="A1757" s="30">
        <v>45736</v>
      </c>
      <c r="B1757" s="31" t="s">
        <v>1549</v>
      </c>
      <c r="C1757" s="28">
        <v>180</v>
      </c>
      <c r="D1757" s="28" t="str">
        <f>_xlfn.XLOOKUP(B1757,'Payee Ref'!A:A,'Payee Ref'!B:B,"unassigned",0,1)</f>
        <v>Health &amp; Medical</v>
      </c>
      <c r="E1757" s="29" t="str">
        <f>_xlfn.XLOOKUP(B1757,'Payee Ref'!A:A,'Payee Ref'!C:C,"unassigned",0,1)</f>
        <v>Basic</v>
      </c>
      <c r="F1757" s="28" t="s">
        <v>2207</v>
      </c>
    </row>
    <row r="1758" spans="1:6" x14ac:dyDescent="0.2">
      <c r="A1758" s="30">
        <v>45730</v>
      </c>
      <c r="B1758" s="31" t="s">
        <v>1549</v>
      </c>
      <c r="C1758" s="28">
        <v>180</v>
      </c>
      <c r="D1758" s="28" t="str">
        <f>_xlfn.XLOOKUP(B1758,'Payee Ref'!A:A,'Payee Ref'!B:B,"unassigned",0,1)</f>
        <v>Health &amp; Medical</v>
      </c>
      <c r="E1758" s="29" t="str">
        <f>_xlfn.XLOOKUP(B1758,'Payee Ref'!A:A,'Payee Ref'!C:C,"unassigned",0,1)</f>
        <v>Basic</v>
      </c>
      <c r="F1758" s="28" t="s">
        <v>2207</v>
      </c>
    </row>
    <row r="1759" spans="1:6" x14ac:dyDescent="0.2">
      <c r="A1759" s="30">
        <v>45729</v>
      </c>
      <c r="B1759" s="31" t="s">
        <v>1549</v>
      </c>
      <c r="C1759" s="28">
        <v>180</v>
      </c>
      <c r="D1759" s="28" t="str">
        <f>_xlfn.XLOOKUP(B1759,'Payee Ref'!A:A,'Payee Ref'!B:B,"unassigned",0,1)</f>
        <v>Health &amp; Medical</v>
      </c>
      <c r="E1759" s="29" t="str">
        <f>_xlfn.XLOOKUP(B1759,'Payee Ref'!A:A,'Payee Ref'!C:C,"unassigned",0,1)</f>
        <v>Basic</v>
      </c>
      <c r="F1759" s="28" t="s">
        <v>2207</v>
      </c>
    </row>
    <row r="1760" spans="1:6" x14ac:dyDescent="0.2">
      <c r="A1760" s="30">
        <v>45723</v>
      </c>
      <c r="B1760" s="31" t="s">
        <v>1549</v>
      </c>
      <c r="C1760" s="28">
        <v>180</v>
      </c>
      <c r="D1760" s="28" t="str">
        <f>_xlfn.XLOOKUP(B1760,'Payee Ref'!A:A,'Payee Ref'!B:B,"unassigned",0,1)</f>
        <v>Health &amp; Medical</v>
      </c>
      <c r="E1760" s="29" t="str">
        <f>_xlfn.XLOOKUP(B1760,'Payee Ref'!A:A,'Payee Ref'!C:C,"unassigned",0,1)</f>
        <v>Basic</v>
      </c>
      <c r="F1760" s="28" t="s">
        <v>2207</v>
      </c>
    </row>
    <row r="1761" spans="1:6" x14ac:dyDescent="0.2">
      <c r="A1761" s="30">
        <v>45722</v>
      </c>
      <c r="B1761" s="31" t="s">
        <v>1549</v>
      </c>
      <c r="C1761" s="28">
        <v>180</v>
      </c>
      <c r="D1761" s="28" t="str">
        <f>_xlfn.XLOOKUP(B1761,'Payee Ref'!A:A,'Payee Ref'!B:B,"unassigned",0,1)</f>
        <v>Health &amp; Medical</v>
      </c>
      <c r="E1761" s="29" t="str">
        <f>_xlfn.XLOOKUP(B1761,'Payee Ref'!A:A,'Payee Ref'!C:C,"unassigned",0,1)</f>
        <v>Basic</v>
      </c>
      <c r="F1761" s="28" t="s">
        <v>2207</v>
      </c>
    </row>
    <row r="1762" spans="1:6" x14ac:dyDescent="0.2">
      <c r="A1762" s="30">
        <v>45717</v>
      </c>
      <c r="B1762" s="31" t="s">
        <v>1549</v>
      </c>
      <c r="C1762" s="28">
        <v>180</v>
      </c>
      <c r="D1762" s="28" t="str">
        <f>_xlfn.XLOOKUP(B1762,'Payee Ref'!A:A,'Payee Ref'!B:B,"unassigned",0,1)</f>
        <v>Health &amp; Medical</v>
      </c>
      <c r="E1762" s="29" t="str">
        <f>_xlfn.XLOOKUP(B1762,'Payee Ref'!A:A,'Payee Ref'!C:C,"unassigned",0,1)</f>
        <v>Basic</v>
      </c>
      <c r="F1762" s="28" t="s">
        <v>2207</v>
      </c>
    </row>
    <row r="1763" spans="1:6" x14ac:dyDescent="0.2">
      <c r="A1763" s="30">
        <v>45702</v>
      </c>
      <c r="B1763" s="31" t="s">
        <v>1549</v>
      </c>
      <c r="C1763" s="28">
        <v>180</v>
      </c>
      <c r="D1763" s="28" t="str">
        <f>_xlfn.XLOOKUP(B1763,'Payee Ref'!A:A,'Payee Ref'!B:B,"unassigned",0,1)</f>
        <v>Health &amp; Medical</v>
      </c>
      <c r="E1763" s="29" t="str">
        <f>_xlfn.XLOOKUP(B1763,'Payee Ref'!A:A,'Payee Ref'!C:C,"unassigned",0,1)</f>
        <v>Basic</v>
      </c>
      <c r="F1763" s="28" t="s">
        <v>2207</v>
      </c>
    </row>
    <row r="1764" spans="1:6" x14ac:dyDescent="0.2">
      <c r="A1764" s="30">
        <v>45701</v>
      </c>
      <c r="B1764" s="31" t="s">
        <v>1549</v>
      </c>
      <c r="C1764" s="28">
        <v>180</v>
      </c>
      <c r="D1764" s="28" t="str">
        <f>_xlfn.XLOOKUP(B1764,'Payee Ref'!A:A,'Payee Ref'!B:B,"unassigned",0,1)</f>
        <v>Health &amp; Medical</v>
      </c>
      <c r="E1764" s="29" t="str">
        <f>_xlfn.XLOOKUP(B1764,'Payee Ref'!A:A,'Payee Ref'!C:C,"unassigned",0,1)</f>
        <v>Basic</v>
      </c>
      <c r="F1764" s="28" t="s">
        <v>2207</v>
      </c>
    </row>
    <row r="1765" spans="1:6" x14ac:dyDescent="0.2">
      <c r="A1765" s="30">
        <v>45695</v>
      </c>
      <c r="B1765" s="31" t="s">
        <v>1549</v>
      </c>
      <c r="C1765" s="28">
        <v>180</v>
      </c>
      <c r="D1765" s="28" t="str">
        <f>_xlfn.XLOOKUP(B1765,'Payee Ref'!A:A,'Payee Ref'!B:B,"unassigned",0,1)</f>
        <v>Health &amp; Medical</v>
      </c>
      <c r="E1765" s="29" t="str">
        <f>_xlfn.XLOOKUP(B1765,'Payee Ref'!A:A,'Payee Ref'!C:C,"unassigned",0,1)</f>
        <v>Basic</v>
      </c>
      <c r="F1765" s="28" t="s">
        <v>2207</v>
      </c>
    </row>
    <row r="1766" spans="1:6" x14ac:dyDescent="0.2">
      <c r="A1766" s="30">
        <v>45694</v>
      </c>
      <c r="B1766" s="31" t="s">
        <v>1549</v>
      </c>
      <c r="C1766" s="28">
        <v>180</v>
      </c>
      <c r="D1766" s="28" t="str">
        <f>_xlfn.XLOOKUP(B1766,'Payee Ref'!A:A,'Payee Ref'!B:B,"unassigned",0,1)</f>
        <v>Health &amp; Medical</v>
      </c>
      <c r="E1766" s="29" t="str">
        <f>_xlfn.XLOOKUP(B1766,'Payee Ref'!A:A,'Payee Ref'!C:C,"unassigned",0,1)</f>
        <v>Basic</v>
      </c>
      <c r="F1766" s="28" t="s">
        <v>2207</v>
      </c>
    </row>
    <row r="1767" spans="1:6" x14ac:dyDescent="0.2">
      <c r="A1767" s="30">
        <v>45688</v>
      </c>
      <c r="B1767" s="31" t="s">
        <v>1549</v>
      </c>
      <c r="C1767" s="28">
        <v>180</v>
      </c>
      <c r="D1767" s="28" t="str">
        <f>_xlfn.XLOOKUP(B1767,'Payee Ref'!A:A,'Payee Ref'!B:B,"unassigned",0,1)</f>
        <v>Health &amp; Medical</v>
      </c>
      <c r="E1767" s="29" t="str">
        <f>_xlfn.XLOOKUP(B1767,'Payee Ref'!A:A,'Payee Ref'!C:C,"unassigned",0,1)</f>
        <v>Basic</v>
      </c>
      <c r="F1767" s="28" t="s">
        <v>2207</v>
      </c>
    </row>
    <row r="1768" spans="1:6" x14ac:dyDescent="0.2">
      <c r="A1768" s="30">
        <v>45687</v>
      </c>
      <c r="B1768" s="31" t="s">
        <v>1549</v>
      </c>
      <c r="C1768" s="28">
        <v>180</v>
      </c>
      <c r="D1768" s="28" t="str">
        <f>_xlfn.XLOOKUP(B1768,'Payee Ref'!A:A,'Payee Ref'!B:B,"unassigned",0,1)</f>
        <v>Health &amp; Medical</v>
      </c>
      <c r="E1768" s="29" t="str">
        <f>_xlfn.XLOOKUP(B1768,'Payee Ref'!A:A,'Payee Ref'!C:C,"unassigned",0,1)</f>
        <v>Basic</v>
      </c>
      <c r="F1768" s="28" t="s">
        <v>2207</v>
      </c>
    </row>
    <row r="1769" spans="1:6" x14ac:dyDescent="0.2">
      <c r="A1769" s="30">
        <v>45681</v>
      </c>
      <c r="B1769" s="31" t="s">
        <v>1549</v>
      </c>
      <c r="C1769" s="28">
        <v>180</v>
      </c>
      <c r="D1769" s="28" t="str">
        <f>_xlfn.XLOOKUP(B1769,'Payee Ref'!A:A,'Payee Ref'!B:B,"unassigned",0,1)</f>
        <v>Health &amp; Medical</v>
      </c>
      <c r="E1769" s="29" t="str">
        <f>_xlfn.XLOOKUP(B1769,'Payee Ref'!A:A,'Payee Ref'!C:C,"unassigned",0,1)</f>
        <v>Basic</v>
      </c>
      <c r="F1769" s="28" t="s">
        <v>2207</v>
      </c>
    </row>
    <row r="1770" spans="1:6" x14ac:dyDescent="0.2">
      <c r="A1770" s="30">
        <v>45674</v>
      </c>
      <c r="B1770" s="31" t="s">
        <v>1549</v>
      </c>
      <c r="C1770" s="28">
        <v>180</v>
      </c>
      <c r="D1770" s="28" t="str">
        <f>_xlfn.XLOOKUP(B1770,'Payee Ref'!A:A,'Payee Ref'!B:B,"unassigned",0,1)</f>
        <v>Health &amp; Medical</v>
      </c>
      <c r="E1770" s="29" t="str">
        <f>_xlfn.XLOOKUP(B1770,'Payee Ref'!A:A,'Payee Ref'!C:C,"unassigned",0,1)</f>
        <v>Basic</v>
      </c>
      <c r="F1770" s="28" t="s">
        <v>2207</v>
      </c>
    </row>
    <row r="1771" spans="1:6" x14ac:dyDescent="0.2">
      <c r="A1771" s="30">
        <v>45673</v>
      </c>
      <c r="B1771" s="31" t="s">
        <v>1549</v>
      </c>
      <c r="C1771" s="28">
        <v>180</v>
      </c>
      <c r="D1771" s="28" t="str">
        <f>_xlfn.XLOOKUP(B1771,'Payee Ref'!A:A,'Payee Ref'!B:B,"unassigned",0,1)</f>
        <v>Health &amp; Medical</v>
      </c>
      <c r="E1771" s="29" t="str">
        <f>_xlfn.XLOOKUP(B1771,'Payee Ref'!A:A,'Payee Ref'!C:C,"unassigned",0,1)</f>
        <v>Basic</v>
      </c>
      <c r="F1771" s="28" t="s">
        <v>2207</v>
      </c>
    </row>
    <row r="1772" spans="1:6" x14ac:dyDescent="0.2">
      <c r="A1772" s="30">
        <v>45667</v>
      </c>
      <c r="B1772" s="31" t="s">
        <v>1549</v>
      </c>
      <c r="C1772" s="28">
        <v>180</v>
      </c>
      <c r="D1772" s="28" t="str">
        <f>_xlfn.XLOOKUP(B1772,'Payee Ref'!A:A,'Payee Ref'!B:B,"unassigned",0,1)</f>
        <v>Health &amp; Medical</v>
      </c>
      <c r="E1772" s="29" t="str">
        <f>_xlfn.XLOOKUP(B1772,'Payee Ref'!A:A,'Payee Ref'!C:C,"unassigned",0,1)</f>
        <v>Basic</v>
      </c>
      <c r="F1772" s="28" t="s">
        <v>2207</v>
      </c>
    </row>
    <row r="1773" spans="1:6" x14ac:dyDescent="0.2">
      <c r="A1773" s="30">
        <v>45666</v>
      </c>
      <c r="B1773" s="31" t="s">
        <v>1549</v>
      </c>
      <c r="C1773" s="28">
        <v>180</v>
      </c>
      <c r="D1773" s="28" t="str">
        <f>_xlfn.XLOOKUP(B1773,'Payee Ref'!A:A,'Payee Ref'!B:B,"unassigned",0,1)</f>
        <v>Health &amp; Medical</v>
      </c>
      <c r="E1773" s="29" t="str">
        <f>_xlfn.XLOOKUP(B1773,'Payee Ref'!A:A,'Payee Ref'!C:C,"unassigned",0,1)</f>
        <v>Basic</v>
      </c>
      <c r="F1773" s="28" t="s">
        <v>2207</v>
      </c>
    </row>
    <row r="1774" spans="1:6" x14ac:dyDescent="0.2">
      <c r="A1774" s="30">
        <v>45982</v>
      </c>
      <c r="B1774" s="28" t="s">
        <v>617</v>
      </c>
      <c r="C1774" s="28">
        <v>180</v>
      </c>
      <c r="D1774" s="28" t="str">
        <f>_xlfn.XLOOKUP(B1774,'Payee Ref'!A:A,'Payee Ref'!B:B,"unassigned",0,1)</f>
        <v>Health &amp; Medical</v>
      </c>
      <c r="E1774" s="29" t="str">
        <f>_xlfn.XLOOKUP(B1774,'Payee Ref'!A:A,'Payee Ref'!C:C,"unassigned",0,1)</f>
        <v>Basic</v>
      </c>
      <c r="F1774" s="28" t="s">
        <v>2207</v>
      </c>
    </row>
    <row r="1775" spans="1:6" x14ac:dyDescent="0.2">
      <c r="A1775" s="30">
        <v>45981</v>
      </c>
      <c r="B1775" s="28" t="s">
        <v>617</v>
      </c>
      <c r="C1775" s="28">
        <v>180</v>
      </c>
      <c r="D1775" s="28" t="str">
        <f>_xlfn.XLOOKUP(B1775,'Payee Ref'!A:A,'Payee Ref'!B:B,"unassigned",0,1)</f>
        <v>Health &amp; Medical</v>
      </c>
      <c r="E1775" s="29" t="str">
        <f>_xlfn.XLOOKUP(B1775,'Payee Ref'!A:A,'Payee Ref'!C:C,"unassigned",0,1)</f>
        <v>Basic</v>
      </c>
      <c r="F1775" s="28" t="s">
        <v>2207</v>
      </c>
    </row>
    <row r="1776" spans="1:6" x14ac:dyDescent="0.2">
      <c r="A1776" s="30">
        <v>45975</v>
      </c>
      <c r="B1776" s="28" t="s">
        <v>617</v>
      </c>
      <c r="C1776" s="28">
        <v>180</v>
      </c>
      <c r="D1776" s="28" t="str">
        <f>_xlfn.XLOOKUP(B1776,'Payee Ref'!A:A,'Payee Ref'!B:B,"unassigned",0,1)</f>
        <v>Health &amp; Medical</v>
      </c>
      <c r="E1776" s="29" t="str">
        <f>_xlfn.XLOOKUP(B1776,'Payee Ref'!A:A,'Payee Ref'!C:C,"unassigned",0,1)</f>
        <v>Basic</v>
      </c>
      <c r="F1776" s="28" t="s">
        <v>2207</v>
      </c>
    </row>
    <row r="1777" spans="1:6" x14ac:dyDescent="0.2">
      <c r="A1777" s="30">
        <v>45968</v>
      </c>
      <c r="B1777" s="28" t="s">
        <v>617</v>
      </c>
      <c r="C1777" s="28">
        <v>180</v>
      </c>
      <c r="D1777" s="28" t="str">
        <f>_xlfn.XLOOKUP(B1777,'Payee Ref'!A:A,'Payee Ref'!B:B,"unassigned",0,1)</f>
        <v>Health &amp; Medical</v>
      </c>
      <c r="E1777" s="29" t="str">
        <f>_xlfn.XLOOKUP(B1777,'Payee Ref'!A:A,'Payee Ref'!C:C,"unassigned",0,1)</f>
        <v>Basic</v>
      </c>
      <c r="F1777" s="28" t="s">
        <v>2207</v>
      </c>
    </row>
    <row r="1778" spans="1:6" x14ac:dyDescent="0.2">
      <c r="A1778" s="30">
        <v>45967</v>
      </c>
      <c r="B1778" s="28" t="s">
        <v>617</v>
      </c>
      <c r="C1778" s="28">
        <v>180</v>
      </c>
      <c r="D1778" s="28" t="str">
        <f>_xlfn.XLOOKUP(B1778,'Payee Ref'!A:A,'Payee Ref'!B:B,"unassigned",0,1)</f>
        <v>Health &amp; Medical</v>
      </c>
      <c r="E1778" s="29" t="str">
        <f>_xlfn.XLOOKUP(B1778,'Payee Ref'!A:A,'Payee Ref'!C:C,"unassigned",0,1)</f>
        <v>Basic</v>
      </c>
      <c r="F1778" s="28" t="s">
        <v>2207</v>
      </c>
    </row>
    <row r="1779" spans="1:6" x14ac:dyDescent="0.2">
      <c r="A1779" s="30">
        <v>45960</v>
      </c>
      <c r="B1779" s="28" t="s">
        <v>617</v>
      </c>
      <c r="C1779" s="28">
        <v>180</v>
      </c>
      <c r="D1779" s="28" t="str">
        <f>_xlfn.XLOOKUP(B1779,'Payee Ref'!A:A,'Payee Ref'!B:B,"unassigned",0,1)</f>
        <v>Health &amp; Medical</v>
      </c>
      <c r="E1779" s="29" t="str">
        <f>_xlfn.XLOOKUP(B1779,'Payee Ref'!A:A,'Payee Ref'!C:C,"unassigned",0,1)</f>
        <v>Basic</v>
      </c>
      <c r="F1779" s="28" t="s">
        <v>2207</v>
      </c>
    </row>
    <row r="1780" spans="1:6" x14ac:dyDescent="0.2">
      <c r="A1780" s="30">
        <v>45953</v>
      </c>
      <c r="B1780" s="28" t="s">
        <v>617</v>
      </c>
      <c r="C1780" s="28">
        <v>180</v>
      </c>
      <c r="D1780" s="28" t="str">
        <f>_xlfn.XLOOKUP(B1780,'Payee Ref'!A:A,'Payee Ref'!B:B,"unassigned",0,1)</f>
        <v>Health &amp; Medical</v>
      </c>
      <c r="E1780" s="29" t="str">
        <f>_xlfn.XLOOKUP(B1780,'Payee Ref'!A:A,'Payee Ref'!C:C,"unassigned",0,1)</f>
        <v>Basic</v>
      </c>
      <c r="F1780" s="28" t="s">
        <v>2207</v>
      </c>
    </row>
    <row r="1781" spans="1:6" x14ac:dyDescent="0.2">
      <c r="A1781" s="30">
        <v>45939</v>
      </c>
      <c r="B1781" s="28" t="s">
        <v>617</v>
      </c>
      <c r="C1781" s="28">
        <v>180</v>
      </c>
      <c r="D1781" s="28" t="str">
        <f>_xlfn.XLOOKUP(B1781,'Payee Ref'!A:A,'Payee Ref'!B:B,"unassigned",0,1)</f>
        <v>Health &amp; Medical</v>
      </c>
      <c r="E1781" s="29" t="str">
        <f>_xlfn.XLOOKUP(B1781,'Payee Ref'!A:A,'Payee Ref'!C:C,"unassigned",0,1)</f>
        <v>Basic</v>
      </c>
      <c r="F1781" s="28" t="s">
        <v>2207</v>
      </c>
    </row>
    <row r="1782" spans="1:6" x14ac:dyDescent="0.2">
      <c r="A1782" s="30">
        <v>45910</v>
      </c>
      <c r="B1782" s="28" t="s">
        <v>1654</v>
      </c>
      <c r="C1782" s="28">
        <v>182.09</v>
      </c>
      <c r="D1782" s="28" t="str">
        <f>_xlfn.XLOOKUP(B1782,'Payee Ref'!A:A,'Payee Ref'!B:B,"unassigned",0,1)</f>
        <v>Clothing</v>
      </c>
      <c r="E1782" s="29" t="str">
        <f>_xlfn.XLOOKUP(B1782,'Payee Ref'!A:A,'Payee Ref'!C:C,"unassigned",0,1)</f>
        <v>Basic</v>
      </c>
      <c r="F1782" s="28" t="s">
        <v>2207</v>
      </c>
    </row>
    <row r="1783" spans="1:6" x14ac:dyDescent="0.2">
      <c r="A1783" s="30">
        <v>45805</v>
      </c>
      <c r="B1783" s="28" t="s">
        <v>1551</v>
      </c>
      <c r="C1783" s="28">
        <v>182.78</v>
      </c>
      <c r="D1783" s="28" t="str">
        <f>_xlfn.XLOOKUP(B1783,'Payee Ref'!A:A,'Payee Ref'!B:B,"unassigned",0,1)</f>
        <v>Groceries</v>
      </c>
      <c r="E1783" s="29" t="str">
        <f>_xlfn.XLOOKUP(B1783,'Payee Ref'!A:A,'Payee Ref'!C:C,"unassigned",0,1)</f>
        <v>Basic</v>
      </c>
      <c r="F1783" s="28" t="s">
        <v>2207</v>
      </c>
    </row>
    <row r="1784" spans="1:6" x14ac:dyDescent="0.2">
      <c r="A1784" s="30">
        <v>45743</v>
      </c>
      <c r="B1784" s="31" t="s">
        <v>94</v>
      </c>
      <c r="C1784" s="28">
        <v>184.5</v>
      </c>
      <c r="D1784" s="28" t="str">
        <f>_xlfn.XLOOKUP(B1784,'Payee Ref'!A:A,'Payee Ref'!B:B,"unassigned",0,1)</f>
        <v>Charitable Contributions</v>
      </c>
      <c r="E1784" s="29" t="str">
        <f>_xlfn.XLOOKUP(B1784,'Payee Ref'!A:A,'Payee Ref'!C:C,"unassigned",0,1)</f>
        <v>Basic</v>
      </c>
      <c r="F1784" s="28" t="s">
        <v>2207</v>
      </c>
    </row>
    <row r="1785" spans="1:6" x14ac:dyDescent="0.2">
      <c r="A1785" s="30">
        <v>45680</v>
      </c>
      <c r="B1785" s="31" t="s">
        <v>2085</v>
      </c>
      <c r="C1785" s="28">
        <v>184.89</v>
      </c>
      <c r="D1785" s="28" t="str">
        <f>_xlfn.XLOOKUP(B1785,'Payee Ref'!A:A,'Payee Ref'!B:B,"unassigned",0,1)</f>
        <v>Travel</v>
      </c>
      <c r="E1785" s="29" t="str">
        <f>_xlfn.XLOOKUP(B1785,'Payee Ref'!A:A,'Payee Ref'!C:C,"unassigned",0,1)</f>
        <v>Luxury</v>
      </c>
      <c r="F1785" s="28" t="s">
        <v>2207</v>
      </c>
    </row>
    <row r="1786" spans="1:6" x14ac:dyDescent="0.2">
      <c r="A1786" s="30">
        <v>45703</v>
      </c>
      <c r="B1786" s="28" t="s">
        <v>1998</v>
      </c>
      <c r="C1786" s="28">
        <v>185.33</v>
      </c>
      <c r="D1786" s="28" t="str">
        <f>_xlfn.XLOOKUP(B1786,'Payee Ref'!A:A,'Payee Ref'!B:B,"unassigned",0,1)</f>
        <v>Travel</v>
      </c>
      <c r="E1786" s="29" t="str">
        <f>_xlfn.XLOOKUP(B1786,'Payee Ref'!A:A,'Payee Ref'!C:C,"unassigned",0,1)</f>
        <v>Luxury</v>
      </c>
      <c r="F1786" s="28" t="s">
        <v>2207</v>
      </c>
    </row>
    <row r="1787" spans="1:6" x14ac:dyDescent="0.2">
      <c r="A1787" s="30">
        <v>45954</v>
      </c>
      <c r="B1787" s="28" t="s">
        <v>546</v>
      </c>
      <c r="C1787" s="28">
        <v>186.46</v>
      </c>
      <c r="D1787" s="28" t="str">
        <f>_xlfn.XLOOKUP(B1787,'Payee Ref'!A:A,'Payee Ref'!B:B,"unassigned",0,1)</f>
        <v>Groceries</v>
      </c>
      <c r="E1787" s="29" t="str">
        <f>_xlfn.XLOOKUP(B1787,'Payee Ref'!A:A,'Payee Ref'!C:C,"unassigned",0,1)</f>
        <v>Basic</v>
      </c>
      <c r="F1787" s="28" t="s">
        <v>2207</v>
      </c>
    </row>
    <row r="1788" spans="1:6" x14ac:dyDescent="0.2">
      <c r="A1788" s="30">
        <v>45790</v>
      </c>
      <c r="B1788" s="28" t="s">
        <v>1536</v>
      </c>
      <c r="C1788" s="28">
        <v>186.6</v>
      </c>
      <c r="D1788" s="28" t="str">
        <f>_xlfn.XLOOKUP(B1788,'Payee Ref'!A:A,'Payee Ref'!B:B,"unassigned",0,1)</f>
        <v>Groceries</v>
      </c>
      <c r="E1788" s="29" t="str">
        <f>_xlfn.XLOOKUP(B1788,'Payee Ref'!A:A,'Payee Ref'!C:C,"unassigned",0,1)</f>
        <v>Basic</v>
      </c>
      <c r="F1788" s="28" t="s">
        <v>2207</v>
      </c>
    </row>
    <row r="1789" spans="1:6" x14ac:dyDescent="0.2">
      <c r="A1789" s="30">
        <v>45752</v>
      </c>
      <c r="B1789" s="28" t="s">
        <v>2048</v>
      </c>
      <c r="C1789" s="28">
        <v>186.77</v>
      </c>
      <c r="D1789" s="28" t="str">
        <f>_xlfn.XLOOKUP(B1789,'Payee Ref'!A:A,'Payee Ref'!B:B,"unassigned",0,1)</f>
        <v>Clothing</v>
      </c>
      <c r="E1789" s="29" t="str">
        <f>_xlfn.XLOOKUP(B1789,'Payee Ref'!A:A,'Payee Ref'!C:C,"unassigned",0,1)</f>
        <v>Basic</v>
      </c>
      <c r="F1789" s="28" t="s">
        <v>2207</v>
      </c>
    </row>
    <row r="1790" spans="1:6" x14ac:dyDescent="0.2">
      <c r="A1790" s="30">
        <v>45719</v>
      </c>
      <c r="B1790" s="28" t="s">
        <v>1571</v>
      </c>
      <c r="C1790" s="28">
        <v>188.2</v>
      </c>
      <c r="D1790" s="28" t="str">
        <f>_xlfn.XLOOKUP(B1790,'Payee Ref'!A:A,'Payee Ref'!B:B,"unassigned",0,1)</f>
        <v>Travel</v>
      </c>
      <c r="E1790" s="29" t="str">
        <f>_xlfn.XLOOKUP(B1790,'Payee Ref'!A:A,'Payee Ref'!C:C,"unassigned",0,1)</f>
        <v>Luxury</v>
      </c>
      <c r="F1790" s="28" t="s">
        <v>2207</v>
      </c>
    </row>
    <row r="1791" spans="1:6" x14ac:dyDescent="0.2">
      <c r="A1791" s="30">
        <v>45781</v>
      </c>
      <c r="B1791" s="28" t="s">
        <v>1571</v>
      </c>
      <c r="C1791" s="28">
        <v>190.07</v>
      </c>
      <c r="D1791" s="28" t="str">
        <f>_xlfn.XLOOKUP(B1791,'Payee Ref'!A:A,'Payee Ref'!B:B,"unassigned",0,1)</f>
        <v>Travel</v>
      </c>
      <c r="E1791" s="29" t="str">
        <f>_xlfn.XLOOKUP(B1791,'Payee Ref'!A:A,'Payee Ref'!C:C,"unassigned",0,1)</f>
        <v>Luxury</v>
      </c>
      <c r="F1791" s="28" t="s">
        <v>2207</v>
      </c>
    </row>
    <row r="1792" spans="1:6" x14ac:dyDescent="0.2">
      <c r="A1792" s="30">
        <v>45823</v>
      </c>
      <c r="B1792" s="28" t="s">
        <v>1935</v>
      </c>
      <c r="C1792" s="28">
        <v>190.94</v>
      </c>
      <c r="D1792" s="28" t="str">
        <f>_xlfn.XLOOKUP(B1792,'Payee Ref'!A:A,'Payee Ref'!B:B,"unassigned",0,1)</f>
        <v>Travel</v>
      </c>
      <c r="E1792" s="29" t="str">
        <f>_xlfn.XLOOKUP(B1792,'Payee Ref'!A:A,'Payee Ref'!C:C,"unassigned",0,1)</f>
        <v>Luxury</v>
      </c>
      <c r="F1792" s="28" t="s">
        <v>2207</v>
      </c>
    </row>
    <row r="1793" spans="1:6" x14ac:dyDescent="0.2">
      <c r="A1793" s="30">
        <v>45695</v>
      </c>
      <c r="B1793" s="28" t="s">
        <v>2006</v>
      </c>
      <c r="C1793" s="28">
        <v>192.74</v>
      </c>
      <c r="D1793" s="28" t="str">
        <f>_xlfn.XLOOKUP(B1793,'Payee Ref'!A:A,'Payee Ref'!B:B,"unassigned",0,1)</f>
        <v>Dining</v>
      </c>
      <c r="E1793" s="29" t="str">
        <f>_xlfn.XLOOKUP(B1793,'Payee Ref'!A:A,'Payee Ref'!C:C,"unassigned",0,1)</f>
        <v>Luxury</v>
      </c>
      <c r="F1793" s="28" t="s">
        <v>2207</v>
      </c>
    </row>
    <row r="1794" spans="1:6" x14ac:dyDescent="0.2">
      <c r="A1794" s="30">
        <v>45974</v>
      </c>
      <c r="B1794" s="28" t="s">
        <v>542</v>
      </c>
      <c r="C1794" s="28">
        <v>192.94</v>
      </c>
      <c r="D1794" s="28" t="str">
        <f>_xlfn.XLOOKUP(B1794,'Payee Ref'!A:A,'Payee Ref'!B:B,"unassigned",0,1)</f>
        <v>Groceries</v>
      </c>
      <c r="E1794" s="29" t="str">
        <f>_xlfn.XLOOKUP(B1794,'Payee Ref'!A:A,'Payee Ref'!C:C,"unassigned",0,1)</f>
        <v>Basic</v>
      </c>
      <c r="F1794" s="28" t="s">
        <v>2207</v>
      </c>
    </row>
    <row r="1795" spans="1:6" x14ac:dyDescent="0.2">
      <c r="A1795" s="30">
        <v>45730</v>
      </c>
      <c r="B1795" s="28" t="s">
        <v>2082</v>
      </c>
      <c r="C1795" s="28">
        <v>193.39</v>
      </c>
      <c r="D1795" s="28" t="str">
        <f>_xlfn.XLOOKUP(B1795,'Payee Ref'!A:A,'Payee Ref'!B:B,"unassigned",0,1)</f>
        <v>Groceries</v>
      </c>
      <c r="E1795" s="29" t="str">
        <f>_xlfn.XLOOKUP(B1795,'Payee Ref'!A:A,'Payee Ref'!C:C,"unassigned",0,1)</f>
        <v>Basic</v>
      </c>
      <c r="F1795" s="28" t="s">
        <v>2207</v>
      </c>
    </row>
    <row r="1796" spans="1:6" x14ac:dyDescent="0.2">
      <c r="A1796" s="30">
        <v>45823</v>
      </c>
      <c r="B1796" s="28" t="s">
        <v>1561</v>
      </c>
      <c r="C1796" s="28">
        <v>193.91</v>
      </c>
      <c r="D1796" s="28" t="str">
        <f>_xlfn.XLOOKUP(B1796,'Payee Ref'!A:A,'Payee Ref'!B:B,"unassigned",0,1)</f>
        <v>Travel</v>
      </c>
      <c r="E1796" s="29" t="str">
        <f>_xlfn.XLOOKUP(B1796,'Payee Ref'!A:A,'Payee Ref'!C:C,"unassigned",0,1)</f>
        <v>Luxury</v>
      </c>
      <c r="F1796" s="28" t="s">
        <v>2207</v>
      </c>
    </row>
    <row r="1797" spans="1:6" x14ac:dyDescent="0.2">
      <c r="A1797" s="30">
        <v>45792</v>
      </c>
      <c r="B1797" s="28" t="s">
        <v>1998</v>
      </c>
      <c r="C1797" s="28">
        <v>193.91</v>
      </c>
      <c r="D1797" s="28" t="str">
        <f>_xlfn.XLOOKUP(B1797,'Payee Ref'!A:A,'Payee Ref'!B:B,"unassigned",0,1)</f>
        <v>Travel</v>
      </c>
      <c r="E1797" s="29" t="str">
        <f>_xlfn.XLOOKUP(B1797,'Payee Ref'!A:A,'Payee Ref'!C:C,"unassigned",0,1)</f>
        <v>Luxury</v>
      </c>
      <c r="F1797" s="28" t="s">
        <v>2207</v>
      </c>
    </row>
    <row r="1798" spans="1:6" x14ac:dyDescent="0.2">
      <c r="A1798" s="30">
        <v>45762</v>
      </c>
      <c r="B1798" s="28" t="s">
        <v>1998</v>
      </c>
      <c r="C1798" s="28">
        <v>193.91</v>
      </c>
      <c r="D1798" s="28" t="str">
        <f>_xlfn.XLOOKUP(B1798,'Payee Ref'!A:A,'Payee Ref'!B:B,"unassigned",0,1)</f>
        <v>Travel</v>
      </c>
      <c r="E1798" s="29" t="str">
        <f>_xlfn.XLOOKUP(B1798,'Payee Ref'!A:A,'Payee Ref'!C:C,"unassigned",0,1)</f>
        <v>Luxury</v>
      </c>
      <c r="F1798" s="28" t="s">
        <v>2207</v>
      </c>
    </row>
    <row r="1799" spans="1:6" x14ac:dyDescent="0.2">
      <c r="A1799" s="30">
        <v>45731</v>
      </c>
      <c r="B1799" s="28" t="s">
        <v>1998</v>
      </c>
      <c r="C1799" s="28">
        <v>193.91</v>
      </c>
      <c r="D1799" s="28" t="str">
        <f>_xlfn.XLOOKUP(B1799,'Payee Ref'!A:A,'Payee Ref'!B:B,"unassigned",0,1)</f>
        <v>Travel</v>
      </c>
      <c r="E1799" s="29" t="str">
        <f>_xlfn.XLOOKUP(B1799,'Payee Ref'!A:A,'Payee Ref'!C:C,"unassigned",0,1)</f>
        <v>Luxury</v>
      </c>
      <c r="F1799" s="28" t="s">
        <v>2207</v>
      </c>
    </row>
    <row r="1800" spans="1:6" x14ac:dyDescent="0.2">
      <c r="A1800" s="30">
        <v>45976</v>
      </c>
      <c r="B1800" s="28" t="s">
        <v>1150</v>
      </c>
      <c r="C1800" s="28">
        <v>193.94</v>
      </c>
      <c r="D1800" s="28" t="str">
        <f>_xlfn.XLOOKUP(B1800,'Payee Ref'!A:A,'Payee Ref'!B:B,"unassigned",0,1)</f>
        <v>Travel</v>
      </c>
      <c r="E1800" s="29" t="str">
        <f>_xlfn.XLOOKUP(B1800,'Payee Ref'!A:A,'Payee Ref'!C:C,"unassigned",0,1)</f>
        <v>Luxury</v>
      </c>
      <c r="F1800" s="28" t="s">
        <v>2207</v>
      </c>
    </row>
    <row r="1801" spans="1:6" x14ac:dyDescent="0.2">
      <c r="A1801" s="30">
        <v>45945</v>
      </c>
      <c r="B1801" s="28" t="s">
        <v>1150</v>
      </c>
      <c r="C1801" s="28">
        <v>193.94</v>
      </c>
      <c r="D1801" s="28" t="str">
        <f>_xlfn.XLOOKUP(B1801,'Payee Ref'!A:A,'Payee Ref'!B:B,"unassigned",0,1)</f>
        <v>Travel</v>
      </c>
      <c r="E1801" s="29" t="str">
        <f>_xlfn.XLOOKUP(B1801,'Payee Ref'!A:A,'Payee Ref'!C:C,"unassigned",0,1)</f>
        <v>Luxury</v>
      </c>
      <c r="F1801" s="28" t="s">
        <v>2207</v>
      </c>
    </row>
    <row r="1802" spans="1:6" x14ac:dyDescent="0.2">
      <c r="A1802" s="30">
        <v>45915</v>
      </c>
      <c r="B1802" s="28" t="s">
        <v>1561</v>
      </c>
      <c r="C1802" s="28">
        <v>193.94</v>
      </c>
      <c r="D1802" s="28" t="str">
        <f>_xlfn.XLOOKUP(B1802,'Payee Ref'!A:A,'Payee Ref'!B:B,"unassigned",0,1)</f>
        <v>Travel</v>
      </c>
      <c r="E1802" s="29" t="str">
        <f>_xlfn.XLOOKUP(B1802,'Payee Ref'!A:A,'Payee Ref'!C:C,"unassigned",0,1)</f>
        <v>Luxury</v>
      </c>
      <c r="F1802" s="28" t="s">
        <v>2207</v>
      </c>
    </row>
    <row r="1803" spans="1:6" x14ac:dyDescent="0.2">
      <c r="A1803" s="30">
        <v>45884</v>
      </c>
      <c r="B1803" s="28" t="s">
        <v>1561</v>
      </c>
      <c r="C1803" s="28">
        <v>193.94</v>
      </c>
      <c r="D1803" s="28" t="str">
        <f>_xlfn.XLOOKUP(B1803,'Payee Ref'!A:A,'Payee Ref'!B:B,"unassigned",0,1)</f>
        <v>Travel</v>
      </c>
      <c r="E1803" s="29" t="str">
        <f>_xlfn.XLOOKUP(B1803,'Payee Ref'!A:A,'Payee Ref'!C:C,"unassigned",0,1)</f>
        <v>Luxury</v>
      </c>
      <c r="F1803" s="28" t="s">
        <v>2207</v>
      </c>
    </row>
    <row r="1804" spans="1:6" x14ac:dyDescent="0.2">
      <c r="A1804" s="30">
        <v>45853</v>
      </c>
      <c r="B1804" s="28" t="s">
        <v>1561</v>
      </c>
      <c r="C1804" s="28">
        <v>193.94</v>
      </c>
      <c r="D1804" s="28" t="str">
        <f>_xlfn.XLOOKUP(B1804,'Payee Ref'!A:A,'Payee Ref'!B:B,"unassigned",0,1)</f>
        <v>Travel</v>
      </c>
      <c r="E1804" s="29" t="str">
        <f>_xlfn.XLOOKUP(B1804,'Payee Ref'!A:A,'Payee Ref'!C:C,"unassigned",0,1)</f>
        <v>Luxury</v>
      </c>
      <c r="F1804" s="28" t="s">
        <v>2207</v>
      </c>
    </row>
    <row r="1805" spans="1:6" x14ac:dyDescent="0.2">
      <c r="A1805" s="30">
        <v>45665</v>
      </c>
      <c r="B1805" s="28" t="s">
        <v>73</v>
      </c>
      <c r="C1805" s="28">
        <v>196.67</v>
      </c>
      <c r="D1805" s="28" t="str">
        <f>_xlfn.XLOOKUP(B1805,'Payee Ref'!A:A,'Payee Ref'!B:B,"unassigned",0,1)</f>
        <v>Bank Fees</v>
      </c>
      <c r="E1805" s="29" t="str">
        <f>_xlfn.XLOOKUP(B1805,'Payee Ref'!A:A,'Payee Ref'!C:C,"unassigned",0,1)</f>
        <v>Luxury</v>
      </c>
      <c r="F1805" s="28" t="s">
        <v>2207</v>
      </c>
    </row>
    <row r="1806" spans="1:6" x14ac:dyDescent="0.2">
      <c r="A1806" s="30">
        <v>45886</v>
      </c>
      <c r="B1806" s="28" t="s">
        <v>1571</v>
      </c>
      <c r="C1806" s="28">
        <v>197.85</v>
      </c>
      <c r="D1806" s="28" t="str">
        <f>_xlfn.XLOOKUP(B1806,'Payee Ref'!A:A,'Payee Ref'!B:B,"unassigned",0,1)</f>
        <v>Travel</v>
      </c>
      <c r="E1806" s="29" t="str">
        <f>_xlfn.XLOOKUP(B1806,'Payee Ref'!A:A,'Payee Ref'!C:C,"unassigned",0,1)</f>
        <v>Luxury</v>
      </c>
      <c r="F1806" s="28" t="s">
        <v>2207</v>
      </c>
    </row>
    <row r="1807" spans="1:6" x14ac:dyDescent="0.2">
      <c r="A1807" s="30">
        <v>45815</v>
      </c>
      <c r="B1807" s="28" t="s">
        <v>1636</v>
      </c>
      <c r="C1807" s="28">
        <v>198</v>
      </c>
      <c r="D1807" s="28" t="str">
        <f>_xlfn.XLOOKUP(B1807,'Payee Ref'!A:A,'Payee Ref'!B:B,"unassigned",0,1)</f>
        <v>Home &amp; Garden</v>
      </c>
      <c r="E1807" s="29" t="str">
        <f>_xlfn.XLOOKUP(B1807,'Payee Ref'!A:A,'Payee Ref'!C:C,"unassigned",0,1)</f>
        <v>Basic</v>
      </c>
      <c r="F1807" s="28" t="s">
        <v>2207</v>
      </c>
    </row>
    <row r="1808" spans="1:6" x14ac:dyDescent="0.2">
      <c r="A1808" s="30">
        <v>45883</v>
      </c>
      <c r="B1808" s="28" t="s">
        <v>1654</v>
      </c>
      <c r="C1808" s="28">
        <v>198.63</v>
      </c>
      <c r="D1808" s="28" t="str">
        <f>_xlfn.XLOOKUP(B1808,'Payee Ref'!A:A,'Payee Ref'!B:B,"unassigned",0,1)</f>
        <v>Clothing</v>
      </c>
      <c r="E1808" s="29" t="str">
        <f>_xlfn.XLOOKUP(B1808,'Payee Ref'!A:A,'Payee Ref'!C:C,"unassigned",0,1)</f>
        <v>Basic</v>
      </c>
      <c r="F1808" s="28" t="s">
        <v>2207</v>
      </c>
    </row>
    <row r="1809" spans="1:6" x14ac:dyDescent="0.2">
      <c r="A1809" s="30">
        <v>45863</v>
      </c>
      <c r="B1809" s="31" t="s">
        <v>1801</v>
      </c>
      <c r="C1809" s="28">
        <v>198.65</v>
      </c>
      <c r="D1809" s="28" t="str">
        <f>_xlfn.XLOOKUP(B1809,'Payee Ref'!A:A,'Payee Ref'!B:B,"unassigned",0,1)</f>
        <v>Clothing</v>
      </c>
      <c r="E1809" s="29" t="str">
        <f>_xlfn.XLOOKUP(B1809,'Payee Ref'!A:A,'Payee Ref'!C:C,"unassigned",0,1)</f>
        <v>Basic</v>
      </c>
      <c r="F1809" s="28" t="s">
        <v>2207</v>
      </c>
    </row>
    <row r="1810" spans="1:6" x14ac:dyDescent="0.2">
      <c r="A1810" s="30">
        <v>45930</v>
      </c>
      <c r="B1810" s="28" t="s">
        <v>1581</v>
      </c>
      <c r="C1810" s="28">
        <v>199.98</v>
      </c>
      <c r="D1810" s="28" t="str">
        <f>_xlfn.XLOOKUP(B1810,'Payee Ref'!A:A,'Payee Ref'!B:B,"unassigned",0,1)</f>
        <v>Groceries</v>
      </c>
      <c r="E1810" s="29" t="str">
        <f>_xlfn.XLOOKUP(B1810,'Payee Ref'!A:A,'Payee Ref'!C:C,"unassigned",0,1)</f>
        <v>Basic</v>
      </c>
      <c r="F1810" s="28" t="s">
        <v>2207</v>
      </c>
    </row>
    <row r="1811" spans="1:6" x14ac:dyDescent="0.2">
      <c r="A1811" s="30">
        <v>45919</v>
      </c>
      <c r="B1811" s="31" t="s">
        <v>1639</v>
      </c>
      <c r="C1811" s="28">
        <v>200</v>
      </c>
      <c r="D1811" s="28" t="str">
        <f>_xlfn.XLOOKUP(B1811,'Payee Ref'!A:A,'Payee Ref'!B:B,"unassigned",0,1)</f>
        <v>Health &amp; Medical</v>
      </c>
      <c r="E1811" s="29" t="str">
        <f>_xlfn.XLOOKUP(B1811,'Payee Ref'!A:A,'Payee Ref'!C:C,"unassigned",0,1)</f>
        <v>Basic</v>
      </c>
      <c r="F1811" s="28" t="s">
        <v>2207</v>
      </c>
    </row>
    <row r="1812" spans="1:6" x14ac:dyDescent="0.2">
      <c r="A1812" s="30">
        <v>45815</v>
      </c>
      <c r="B1812" s="31" t="s">
        <v>1639</v>
      </c>
      <c r="C1812" s="28">
        <v>200</v>
      </c>
      <c r="D1812" s="28" t="str">
        <f>_xlfn.XLOOKUP(B1812,'Payee Ref'!A:A,'Payee Ref'!B:B,"unassigned",0,1)</f>
        <v>Health &amp; Medical</v>
      </c>
      <c r="E1812" s="29" t="str">
        <f>_xlfn.XLOOKUP(B1812,'Payee Ref'!A:A,'Payee Ref'!C:C,"unassigned",0,1)</f>
        <v>Basic</v>
      </c>
      <c r="F1812" s="28" t="s">
        <v>2207</v>
      </c>
    </row>
    <row r="1813" spans="1:6" x14ac:dyDescent="0.2">
      <c r="A1813" s="30">
        <v>45786</v>
      </c>
      <c r="B1813" s="31" t="s">
        <v>1639</v>
      </c>
      <c r="C1813" s="28">
        <v>200</v>
      </c>
      <c r="D1813" s="28" t="str">
        <f>_xlfn.XLOOKUP(B1813,'Payee Ref'!A:A,'Payee Ref'!B:B,"unassigned",0,1)</f>
        <v>Health &amp; Medical</v>
      </c>
      <c r="E1813" s="29" t="str">
        <f>_xlfn.XLOOKUP(B1813,'Payee Ref'!A:A,'Payee Ref'!C:C,"unassigned",0,1)</f>
        <v>Basic</v>
      </c>
      <c r="F1813" s="28" t="s">
        <v>2207</v>
      </c>
    </row>
    <row r="1814" spans="1:6" x14ac:dyDescent="0.2">
      <c r="A1814" s="30">
        <v>45751</v>
      </c>
      <c r="B1814" s="31" t="s">
        <v>1639</v>
      </c>
      <c r="C1814" s="28">
        <v>200</v>
      </c>
      <c r="D1814" s="28" t="str">
        <f>_xlfn.XLOOKUP(B1814,'Payee Ref'!A:A,'Payee Ref'!B:B,"unassigned",0,1)</f>
        <v>Health &amp; Medical</v>
      </c>
      <c r="E1814" s="29" t="str">
        <f>_xlfn.XLOOKUP(B1814,'Payee Ref'!A:A,'Payee Ref'!C:C,"unassigned",0,1)</f>
        <v>Basic</v>
      </c>
      <c r="F1814" s="28" t="s">
        <v>2207</v>
      </c>
    </row>
    <row r="1815" spans="1:6" x14ac:dyDescent="0.2">
      <c r="A1815" s="30">
        <v>45726</v>
      </c>
      <c r="B1815" s="31" t="s">
        <v>1639</v>
      </c>
      <c r="C1815" s="28">
        <v>200</v>
      </c>
      <c r="D1815" s="28" t="str">
        <f>_xlfn.XLOOKUP(B1815,'Payee Ref'!A:A,'Payee Ref'!B:B,"unassigned",0,1)</f>
        <v>Health &amp; Medical</v>
      </c>
      <c r="E1815" s="29" t="str">
        <f>_xlfn.XLOOKUP(B1815,'Payee Ref'!A:A,'Payee Ref'!C:C,"unassigned",0,1)</f>
        <v>Basic</v>
      </c>
      <c r="F1815" s="28" t="s">
        <v>2207</v>
      </c>
    </row>
    <row r="1816" spans="1:6" x14ac:dyDescent="0.2">
      <c r="A1816" s="30">
        <v>45686</v>
      </c>
      <c r="B1816" s="31" t="s">
        <v>1639</v>
      </c>
      <c r="C1816" s="28">
        <v>200</v>
      </c>
      <c r="D1816" s="28" t="str">
        <f>_xlfn.XLOOKUP(B1816,'Payee Ref'!A:A,'Payee Ref'!B:B,"unassigned",0,1)</f>
        <v>Health &amp; Medical</v>
      </c>
      <c r="E1816" s="29" t="str">
        <f>_xlfn.XLOOKUP(B1816,'Payee Ref'!A:A,'Payee Ref'!C:C,"unassigned",0,1)</f>
        <v>Basic</v>
      </c>
      <c r="F1816" s="28" t="s">
        <v>2207</v>
      </c>
    </row>
    <row r="1817" spans="1:6" x14ac:dyDescent="0.2">
      <c r="A1817" s="30">
        <v>45772</v>
      </c>
      <c r="B1817" s="28" t="s">
        <v>2021</v>
      </c>
      <c r="C1817" s="28">
        <v>200</v>
      </c>
      <c r="D1817" s="28" t="str">
        <f>_xlfn.XLOOKUP(B1817,'Payee Ref'!A:A,'Payee Ref'!B:B,"unassigned",0,1)</f>
        <v>Personal Care</v>
      </c>
      <c r="E1817" s="29" t="str">
        <f>_xlfn.XLOOKUP(B1817,'Payee Ref'!A:A,'Payee Ref'!C:C,"unassigned",0,1)</f>
        <v>Basic</v>
      </c>
      <c r="F1817" s="28" t="s">
        <v>2207</v>
      </c>
    </row>
    <row r="1818" spans="1:6" x14ac:dyDescent="0.2">
      <c r="A1818" s="30">
        <v>45670</v>
      </c>
      <c r="B1818" s="31" t="s">
        <v>2167</v>
      </c>
      <c r="C1818" s="28">
        <v>208.97</v>
      </c>
      <c r="D1818" s="28" t="str">
        <f>_xlfn.XLOOKUP(B1818,'Payee Ref'!A:A,'Payee Ref'!B:B,"unassigned",0,1)</f>
        <v>Travel</v>
      </c>
      <c r="E1818" s="29" t="str">
        <f>_xlfn.XLOOKUP(B1818,'Payee Ref'!A:A,'Payee Ref'!C:C,"unassigned",0,1)</f>
        <v>Luxury</v>
      </c>
      <c r="F1818" s="28" t="s">
        <v>2207</v>
      </c>
    </row>
    <row r="1819" spans="1:6" x14ac:dyDescent="0.2">
      <c r="A1819" s="30">
        <v>45678</v>
      </c>
      <c r="B1819" s="31" t="s">
        <v>2158</v>
      </c>
      <c r="C1819" s="28">
        <v>209.65</v>
      </c>
      <c r="D1819" s="28" t="str">
        <f>_xlfn.XLOOKUP(B1819,'Payee Ref'!A:A,'Payee Ref'!B:B,"unassigned",0,1)</f>
        <v>Home &amp; Garden</v>
      </c>
      <c r="E1819" s="29" t="str">
        <f>_xlfn.XLOOKUP(B1819,'Payee Ref'!A:A,'Payee Ref'!C:C,"unassigned",0,1)</f>
        <v>Basic</v>
      </c>
      <c r="F1819" s="28" t="s">
        <v>2207</v>
      </c>
    </row>
    <row r="1820" spans="1:6" x14ac:dyDescent="0.2">
      <c r="A1820" s="30">
        <v>45954</v>
      </c>
      <c r="B1820" s="28" t="s">
        <v>591</v>
      </c>
      <c r="C1820" s="28">
        <v>216.57</v>
      </c>
      <c r="D1820" s="28" t="str">
        <f>_xlfn.XLOOKUP(B1820,'Payee Ref'!A:A,'Payee Ref'!B:B,"unassigned",0,1)</f>
        <v>Groceries</v>
      </c>
      <c r="E1820" s="29" t="str">
        <f>_xlfn.XLOOKUP(B1820,'Payee Ref'!A:A,'Payee Ref'!C:C,"unassigned",0,1)</f>
        <v>Basic</v>
      </c>
      <c r="F1820" s="28" t="s">
        <v>2207</v>
      </c>
    </row>
    <row r="1821" spans="1:6" x14ac:dyDescent="0.2">
      <c r="A1821" s="30">
        <v>45969</v>
      </c>
      <c r="B1821" s="28" t="s">
        <v>546</v>
      </c>
      <c r="C1821" s="28">
        <v>216.78</v>
      </c>
      <c r="D1821" s="28" t="str">
        <f>_xlfn.XLOOKUP(B1821,'Payee Ref'!A:A,'Payee Ref'!B:B,"unassigned",0,1)</f>
        <v>Groceries</v>
      </c>
      <c r="E1821" s="29" t="str">
        <f>_xlfn.XLOOKUP(B1821,'Payee Ref'!A:A,'Payee Ref'!C:C,"unassigned",0,1)</f>
        <v>Basic</v>
      </c>
      <c r="F1821" s="28" t="s">
        <v>2207</v>
      </c>
    </row>
    <row r="1822" spans="1:6" x14ac:dyDescent="0.2">
      <c r="A1822" s="30">
        <v>45779</v>
      </c>
      <c r="B1822" s="28" t="s">
        <v>2014</v>
      </c>
      <c r="C1822" s="28">
        <v>218.5</v>
      </c>
      <c r="D1822" s="28" t="str">
        <f>_xlfn.XLOOKUP(B1822,'Payee Ref'!A:A,'Payee Ref'!B:B,"unassigned",0,1)</f>
        <v>R&amp;R</v>
      </c>
      <c r="E1822" s="29" t="str">
        <f>_xlfn.XLOOKUP(B1822,'Payee Ref'!A:A,'Payee Ref'!C:C,"unassigned",0,1)</f>
        <v>Luxury</v>
      </c>
      <c r="F1822" s="28" t="s">
        <v>2207</v>
      </c>
    </row>
    <row r="1823" spans="1:6" x14ac:dyDescent="0.2">
      <c r="A1823" s="30">
        <v>45870</v>
      </c>
      <c r="B1823" s="28" t="s">
        <v>1757</v>
      </c>
      <c r="C1823" s="28">
        <v>218.62</v>
      </c>
      <c r="D1823" s="28" t="str">
        <f>_xlfn.XLOOKUP(B1823,'Payee Ref'!A:A,'Payee Ref'!B:B,"unassigned",0,1)</f>
        <v>Dining</v>
      </c>
      <c r="E1823" s="29" t="str">
        <f>_xlfn.XLOOKUP(B1823,'Payee Ref'!A:A,'Payee Ref'!C:C,"unassigned",0,1)</f>
        <v>Luxury</v>
      </c>
      <c r="F1823" s="28" t="s">
        <v>2207</v>
      </c>
    </row>
    <row r="1824" spans="1:6" x14ac:dyDescent="0.2">
      <c r="A1824" s="30">
        <v>45696</v>
      </c>
      <c r="B1824" s="28" t="s">
        <v>1571</v>
      </c>
      <c r="C1824" s="28">
        <v>220.1</v>
      </c>
      <c r="D1824" s="28" t="str">
        <f>_xlfn.XLOOKUP(B1824,'Payee Ref'!A:A,'Payee Ref'!B:B,"unassigned",0,1)</f>
        <v>Travel</v>
      </c>
      <c r="E1824" s="29" t="str">
        <f>_xlfn.XLOOKUP(B1824,'Payee Ref'!A:A,'Payee Ref'!C:C,"unassigned",0,1)</f>
        <v>Luxury</v>
      </c>
      <c r="F1824" s="28" t="s">
        <v>2207</v>
      </c>
    </row>
    <row r="1825" spans="1:6" x14ac:dyDescent="0.2">
      <c r="A1825" s="30">
        <v>45910</v>
      </c>
      <c r="B1825" s="28" t="s">
        <v>1551</v>
      </c>
      <c r="C1825" s="28">
        <v>220.8</v>
      </c>
      <c r="D1825" s="28" t="str">
        <f>_xlfn.XLOOKUP(B1825,'Payee Ref'!A:A,'Payee Ref'!B:B,"unassigned",0,1)</f>
        <v>Groceries</v>
      </c>
      <c r="E1825" s="29" t="str">
        <f>_xlfn.XLOOKUP(B1825,'Payee Ref'!A:A,'Payee Ref'!C:C,"unassigned",0,1)</f>
        <v>Basic</v>
      </c>
      <c r="F1825" s="28" t="s">
        <v>2207</v>
      </c>
    </row>
    <row r="1826" spans="1:6" x14ac:dyDescent="0.2">
      <c r="A1826" s="30">
        <v>45833</v>
      </c>
      <c r="B1826" s="28" t="s">
        <v>1899</v>
      </c>
      <c r="C1826" s="28">
        <v>221.02</v>
      </c>
      <c r="D1826" s="28" t="str">
        <f>_xlfn.XLOOKUP(B1826,'Payee Ref'!A:A,'Payee Ref'!B:B,"unassigned",0,1)</f>
        <v>Travel</v>
      </c>
      <c r="E1826" s="29" t="str">
        <f>_xlfn.XLOOKUP(B1826,'Payee Ref'!A:A,'Payee Ref'!C:C,"unassigned",0,1)</f>
        <v>Luxury</v>
      </c>
      <c r="F1826" s="28" t="s">
        <v>2207</v>
      </c>
    </row>
    <row r="1827" spans="1:6" x14ac:dyDescent="0.2">
      <c r="A1827" s="30">
        <v>45674</v>
      </c>
      <c r="B1827" s="28" t="s">
        <v>1536</v>
      </c>
      <c r="C1827" s="28">
        <v>221.56</v>
      </c>
      <c r="D1827" s="28" t="str">
        <f>_xlfn.XLOOKUP(B1827,'Payee Ref'!A:A,'Payee Ref'!B:B,"unassigned",0,1)</f>
        <v>Groceries</v>
      </c>
      <c r="E1827" s="29" t="str">
        <f>_xlfn.XLOOKUP(B1827,'Payee Ref'!A:A,'Payee Ref'!C:C,"unassigned",0,1)</f>
        <v>Basic</v>
      </c>
      <c r="F1827" s="28" t="s">
        <v>2207</v>
      </c>
    </row>
    <row r="1828" spans="1:6" x14ac:dyDescent="0.2">
      <c r="A1828" s="30">
        <v>45976</v>
      </c>
      <c r="B1828" s="28" t="s">
        <v>457</v>
      </c>
      <c r="C1828" s="28">
        <v>230.51</v>
      </c>
      <c r="D1828" s="28" t="str">
        <f>_xlfn.XLOOKUP(B1828,'Payee Ref'!A:A,'Payee Ref'!B:B,"unassigned",0,1)</f>
        <v>Dining</v>
      </c>
      <c r="E1828" s="29" t="str">
        <f>_xlfn.XLOOKUP(B1828,'Payee Ref'!A:A,'Payee Ref'!C:C,"unassigned",0,1)</f>
        <v>Luxury</v>
      </c>
      <c r="F1828" s="28" t="s">
        <v>2207</v>
      </c>
    </row>
    <row r="1829" spans="1:6" x14ac:dyDescent="0.2">
      <c r="A1829" s="30">
        <v>45785</v>
      </c>
      <c r="B1829" s="28" t="s">
        <v>73</v>
      </c>
      <c r="C1829" s="28">
        <v>240.59</v>
      </c>
      <c r="D1829" s="28" t="str">
        <f>_xlfn.XLOOKUP(B1829,'Payee Ref'!A:A,'Payee Ref'!B:B,"unassigned",0,1)</f>
        <v>Bank Fees</v>
      </c>
      <c r="E1829" s="29" t="str">
        <f>_xlfn.XLOOKUP(B1829,'Payee Ref'!A:A,'Payee Ref'!C:C,"unassigned",0,1)</f>
        <v>Luxury</v>
      </c>
      <c r="F1829" s="28" t="s">
        <v>2207</v>
      </c>
    </row>
    <row r="1830" spans="1:6" x14ac:dyDescent="0.2">
      <c r="A1830" s="30">
        <v>45952</v>
      </c>
      <c r="B1830" s="28" t="s">
        <v>484</v>
      </c>
      <c r="C1830" s="28">
        <v>243.19</v>
      </c>
      <c r="D1830" s="28" t="str">
        <f>_xlfn.XLOOKUP(B1830,'Payee Ref'!A:A,'Payee Ref'!B:B,"unassigned",0,1)</f>
        <v>Enrichment</v>
      </c>
      <c r="E1830" s="29" t="str">
        <f>_xlfn.XLOOKUP(B1830,'Payee Ref'!A:A,'Payee Ref'!C:C,"unassigned",0,1)</f>
        <v>Luxury</v>
      </c>
      <c r="F1830" s="28" t="s">
        <v>2207</v>
      </c>
    </row>
    <row r="1831" spans="1:6" x14ac:dyDescent="0.2">
      <c r="A1831" s="30">
        <v>45836</v>
      </c>
      <c r="B1831" s="28" t="s">
        <v>1876</v>
      </c>
      <c r="C1831" s="28">
        <v>245.7</v>
      </c>
      <c r="D1831" s="28" t="str">
        <f>_xlfn.XLOOKUP(B1831,'Payee Ref'!A:A,'Payee Ref'!B:B,"unassigned",0,1)</f>
        <v>Travel</v>
      </c>
      <c r="E1831" s="29" t="str">
        <f>_xlfn.XLOOKUP(B1831,'Payee Ref'!A:A,'Payee Ref'!C:C,"unassigned",0,1)</f>
        <v>Luxury</v>
      </c>
      <c r="F1831" s="28" t="s">
        <v>2207</v>
      </c>
    </row>
    <row r="1832" spans="1:6" x14ac:dyDescent="0.2">
      <c r="A1832" s="30">
        <v>45836</v>
      </c>
      <c r="B1832" s="28" t="s">
        <v>1876</v>
      </c>
      <c r="C1832" s="28">
        <v>245.7</v>
      </c>
      <c r="D1832" s="28" t="str">
        <f>_xlfn.XLOOKUP(B1832,'Payee Ref'!A:A,'Payee Ref'!B:B,"unassigned",0,1)</f>
        <v>Travel</v>
      </c>
      <c r="E1832" s="29" t="str">
        <f>_xlfn.XLOOKUP(B1832,'Payee Ref'!A:A,'Payee Ref'!C:C,"unassigned",0,1)</f>
        <v>Luxury</v>
      </c>
      <c r="F1832" s="28" t="s">
        <v>2207</v>
      </c>
    </row>
    <row r="1833" spans="1:6" x14ac:dyDescent="0.2">
      <c r="A1833" s="30">
        <v>45893</v>
      </c>
      <c r="B1833" s="31" t="s">
        <v>1543</v>
      </c>
      <c r="C1833" s="28">
        <v>249</v>
      </c>
      <c r="D1833" s="28" t="str">
        <f>_xlfn.XLOOKUP(B1833,'Payee Ref'!A:A,'Payee Ref'!B:B,"unassigned",0,1)</f>
        <v>Subscriptions / Digital</v>
      </c>
      <c r="E1833" s="29" t="str">
        <f>_xlfn.XLOOKUP(B1833,'Payee Ref'!A:A,'Payee Ref'!C:C,"unassigned",0,1)</f>
        <v>Luxury</v>
      </c>
      <c r="F1833" s="28" t="s">
        <v>2207</v>
      </c>
    </row>
    <row r="1834" spans="1:6" x14ac:dyDescent="0.2">
      <c r="A1834" s="30">
        <v>45711</v>
      </c>
      <c r="B1834" s="28" t="s">
        <v>2011</v>
      </c>
      <c r="C1834" s="28">
        <v>250</v>
      </c>
      <c r="D1834" s="28" t="str">
        <f>_xlfn.XLOOKUP(B1834,'Payee Ref'!A:A,'Payee Ref'!B:B,"unassigned",0,1)</f>
        <v>Charitable Contributions</v>
      </c>
      <c r="E1834" s="29" t="str">
        <f>_xlfn.XLOOKUP(B1834,'Payee Ref'!A:A,'Payee Ref'!C:C,"unassigned",0,1)</f>
        <v>Basic</v>
      </c>
      <c r="F1834" s="28" t="s">
        <v>2207</v>
      </c>
    </row>
    <row r="1835" spans="1:6" x14ac:dyDescent="0.2">
      <c r="A1835" s="30">
        <v>45893</v>
      </c>
      <c r="B1835" s="31" t="s">
        <v>1698</v>
      </c>
      <c r="C1835" s="28">
        <v>250</v>
      </c>
      <c r="D1835" s="28" t="str">
        <f>_xlfn.XLOOKUP(B1835,'Payee Ref'!A:A,'Payee Ref'!B:B,"unassigned",0,1)</f>
        <v>Health &amp; Medical</v>
      </c>
      <c r="E1835" s="29" t="str">
        <f>_xlfn.XLOOKUP(B1835,'Payee Ref'!A:A,'Payee Ref'!C:C,"unassigned",0,1)</f>
        <v>Basic</v>
      </c>
      <c r="F1835" s="28" t="s">
        <v>2207</v>
      </c>
    </row>
    <row r="1836" spans="1:6" x14ac:dyDescent="0.2">
      <c r="A1836" s="30">
        <v>45791</v>
      </c>
      <c r="B1836" s="31" t="s">
        <v>1698</v>
      </c>
      <c r="C1836" s="28">
        <v>250</v>
      </c>
      <c r="D1836" s="28" t="str">
        <f>_xlfn.XLOOKUP(B1836,'Payee Ref'!A:A,'Payee Ref'!B:B,"unassigned",0,1)</f>
        <v>Health &amp; Medical</v>
      </c>
      <c r="E1836" s="29" t="str">
        <f>_xlfn.XLOOKUP(B1836,'Payee Ref'!A:A,'Payee Ref'!C:C,"unassigned",0,1)</f>
        <v>Basic</v>
      </c>
      <c r="F1836" s="28" t="s">
        <v>2207</v>
      </c>
    </row>
    <row r="1837" spans="1:6" x14ac:dyDescent="0.2">
      <c r="A1837" s="30">
        <v>45747</v>
      </c>
      <c r="B1837" s="31" t="s">
        <v>1698</v>
      </c>
      <c r="C1837" s="28">
        <v>250</v>
      </c>
      <c r="D1837" s="28" t="str">
        <f>_xlfn.XLOOKUP(B1837,'Payee Ref'!A:A,'Payee Ref'!B:B,"unassigned",0,1)</f>
        <v>Health &amp; Medical</v>
      </c>
      <c r="E1837" s="29" t="str">
        <f>_xlfn.XLOOKUP(B1837,'Payee Ref'!A:A,'Payee Ref'!C:C,"unassigned",0,1)</f>
        <v>Basic</v>
      </c>
      <c r="F1837" s="28" t="s">
        <v>2207</v>
      </c>
    </row>
    <row r="1838" spans="1:6" x14ac:dyDescent="0.2">
      <c r="A1838" s="30">
        <v>45683</v>
      </c>
      <c r="B1838" s="31" t="s">
        <v>1698</v>
      </c>
      <c r="C1838" s="28">
        <v>250</v>
      </c>
      <c r="D1838" s="28" t="str">
        <f>_xlfn.XLOOKUP(B1838,'Payee Ref'!A:A,'Payee Ref'!B:B,"unassigned",0,1)</f>
        <v>Health &amp; Medical</v>
      </c>
      <c r="E1838" s="29" t="str">
        <f>_xlfn.XLOOKUP(B1838,'Payee Ref'!A:A,'Payee Ref'!C:C,"unassigned",0,1)</f>
        <v>Basic</v>
      </c>
      <c r="F1838" s="28" t="s">
        <v>2207</v>
      </c>
    </row>
    <row r="1839" spans="1:6" x14ac:dyDescent="0.2">
      <c r="A1839" s="30">
        <v>45803</v>
      </c>
      <c r="B1839" s="28" t="s">
        <v>1593</v>
      </c>
      <c r="C1839" s="28">
        <v>251.58</v>
      </c>
      <c r="D1839" s="28" t="str">
        <f>_xlfn.XLOOKUP(B1839,'Payee Ref'!A:A,'Payee Ref'!B:B,"unassigned",0,1)</f>
        <v>Auto</v>
      </c>
      <c r="E1839" s="29" t="str">
        <f>_xlfn.XLOOKUP(B1839,'Payee Ref'!A:A,'Payee Ref'!C:C,"unassigned",0,1)</f>
        <v>Basic</v>
      </c>
      <c r="F1839" s="28" t="s">
        <v>2207</v>
      </c>
    </row>
    <row r="1840" spans="1:6" x14ac:dyDescent="0.2">
      <c r="A1840" s="30">
        <v>45811</v>
      </c>
      <c r="B1840" s="28" t="s">
        <v>1959</v>
      </c>
      <c r="C1840" s="28">
        <v>252.14</v>
      </c>
      <c r="D1840" s="28" t="str">
        <f>_xlfn.XLOOKUP(B1840,'Payee Ref'!A:A,'Payee Ref'!B:B,"unassigned",0,1)</f>
        <v>Home &amp; Garden</v>
      </c>
      <c r="E1840" s="29" t="str">
        <f>_xlfn.XLOOKUP(B1840,'Payee Ref'!A:A,'Payee Ref'!C:C,"unassigned",0,1)</f>
        <v>Basic</v>
      </c>
      <c r="F1840" s="28" t="s">
        <v>2207</v>
      </c>
    </row>
    <row r="1841" spans="1:6" x14ac:dyDescent="0.2">
      <c r="A1841" s="30">
        <v>45723</v>
      </c>
      <c r="B1841" s="28" t="s">
        <v>73</v>
      </c>
      <c r="C1841" s="28">
        <v>252.22</v>
      </c>
      <c r="D1841" s="28" t="str">
        <f>_xlfn.XLOOKUP(B1841,'Payee Ref'!A:A,'Payee Ref'!B:B,"unassigned",0,1)</f>
        <v>Bank Fees</v>
      </c>
      <c r="E1841" s="29" t="str">
        <f>_xlfn.XLOOKUP(B1841,'Payee Ref'!A:A,'Payee Ref'!C:C,"unassigned",0,1)</f>
        <v>Luxury</v>
      </c>
      <c r="F1841" s="28" t="s">
        <v>2207</v>
      </c>
    </row>
    <row r="1842" spans="1:6" x14ac:dyDescent="0.2">
      <c r="A1842" s="30">
        <v>45670</v>
      </c>
      <c r="B1842" s="28" t="s">
        <v>2168</v>
      </c>
      <c r="C1842" s="28">
        <v>253.07</v>
      </c>
      <c r="D1842" s="28" t="str">
        <f>_xlfn.XLOOKUP(B1842,'Payee Ref'!A:A,'Payee Ref'!B:B,"unassigned",0,1)</f>
        <v>Travel</v>
      </c>
      <c r="E1842" s="29" t="str">
        <f>_xlfn.XLOOKUP(B1842,'Payee Ref'!A:A,'Payee Ref'!C:C,"unassigned",0,1)</f>
        <v>Luxury</v>
      </c>
      <c r="F1842" s="28" t="s">
        <v>2207</v>
      </c>
    </row>
    <row r="1843" spans="1:6" x14ac:dyDescent="0.2">
      <c r="A1843" s="30">
        <v>45739</v>
      </c>
      <c r="B1843" s="28" t="s">
        <v>2072</v>
      </c>
      <c r="C1843" s="28">
        <v>259.5</v>
      </c>
      <c r="D1843" s="28" t="str">
        <f>_xlfn.XLOOKUP(B1843,'Payee Ref'!A:A,'Payee Ref'!B:B,"unassigned",0,1)</f>
        <v>Health &amp; Medical</v>
      </c>
      <c r="E1843" s="29" t="str">
        <f>_xlfn.XLOOKUP(B1843,'Payee Ref'!A:A,'Payee Ref'!C:C,"unassigned",0,1)</f>
        <v>Basic</v>
      </c>
      <c r="F1843" s="28" t="s">
        <v>2207</v>
      </c>
    </row>
    <row r="1844" spans="1:6" x14ac:dyDescent="0.2">
      <c r="A1844" s="30">
        <v>45663</v>
      </c>
      <c r="B1844" s="28" t="s">
        <v>2168</v>
      </c>
      <c r="C1844" s="28">
        <v>269.98</v>
      </c>
      <c r="D1844" s="28" t="str">
        <f>_xlfn.XLOOKUP(B1844,'Payee Ref'!A:A,'Payee Ref'!B:B,"unassigned",0,1)</f>
        <v>Travel</v>
      </c>
      <c r="E1844" s="29" t="str">
        <f>_xlfn.XLOOKUP(B1844,'Payee Ref'!A:A,'Payee Ref'!C:C,"unassigned",0,1)</f>
        <v>Luxury</v>
      </c>
      <c r="F1844" s="28" t="s">
        <v>2207</v>
      </c>
    </row>
    <row r="1845" spans="1:6" x14ac:dyDescent="0.2">
      <c r="A1845" s="30">
        <v>45705</v>
      </c>
      <c r="B1845" s="28" t="s">
        <v>1571</v>
      </c>
      <c r="C1845" s="28">
        <v>269.99</v>
      </c>
      <c r="D1845" s="28" t="str">
        <f>_xlfn.XLOOKUP(B1845,'Payee Ref'!A:A,'Payee Ref'!B:B,"unassigned",0,1)</f>
        <v>Travel</v>
      </c>
      <c r="E1845" s="29" t="str">
        <f>_xlfn.XLOOKUP(B1845,'Payee Ref'!A:A,'Payee Ref'!C:C,"unassigned",0,1)</f>
        <v>Luxury</v>
      </c>
      <c r="F1845" s="28" t="s">
        <v>2207</v>
      </c>
    </row>
    <row r="1846" spans="1:6" x14ac:dyDescent="0.2">
      <c r="A1846" s="30">
        <v>45944</v>
      </c>
      <c r="B1846" s="28" t="s">
        <v>1103</v>
      </c>
      <c r="C1846" s="28">
        <v>273.94</v>
      </c>
      <c r="D1846" s="28" t="str">
        <f>_xlfn.XLOOKUP(B1846,'Payee Ref'!A:A,'Payee Ref'!B:B,"unassigned",0,1)</f>
        <v>Travel</v>
      </c>
      <c r="E1846" s="29" t="str">
        <f>_xlfn.XLOOKUP(B1846,'Payee Ref'!A:A,'Payee Ref'!C:C,"unassigned",0,1)</f>
        <v>Luxury</v>
      </c>
      <c r="F1846" s="28" t="s">
        <v>2207</v>
      </c>
    </row>
    <row r="1847" spans="1:6" x14ac:dyDescent="0.2">
      <c r="A1847" s="30">
        <v>45670</v>
      </c>
      <c r="B1847" s="28" t="s">
        <v>2169</v>
      </c>
      <c r="C1847" s="28">
        <v>275</v>
      </c>
      <c r="D1847" s="28" t="str">
        <f>_xlfn.XLOOKUP(B1847,'Payee Ref'!A:A,'Payee Ref'!B:B,"unassigned",0,1)</f>
        <v>Health &amp; Medical</v>
      </c>
      <c r="E1847" s="29" t="str">
        <f>_xlfn.XLOOKUP(B1847,'Payee Ref'!A:A,'Payee Ref'!C:C,"unassigned",0,1)</f>
        <v>Basic</v>
      </c>
      <c r="F1847" s="28" t="s">
        <v>2207</v>
      </c>
    </row>
    <row r="1848" spans="1:6" x14ac:dyDescent="0.2">
      <c r="A1848" s="30">
        <v>45862</v>
      </c>
      <c r="B1848" s="28" t="s">
        <v>1654</v>
      </c>
      <c r="C1848" s="28">
        <v>279.02</v>
      </c>
      <c r="D1848" s="28" t="str">
        <f>_xlfn.XLOOKUP(B1848,'Payee Ref'!A:A,'Payee Ref'!B:B,"unassigned",0,1)</f>
        <v>Clothing</v>
      </c>
      <c r="E1848" s="29" t="str">
        <f>_xlfn.XLOOKUP(B1848,'Payee Ref'!A:A,'Payee Ref'!C:C,"unassigned",0,1)</f>
        <v>Basic</v>
      </c>
      <c r="F1848" s="28" t="s">
        <v>2207</v>
      </c>
    </row>
    <row r="1849" spans="1:6" x14ac:dyDescent="0.2">
      <c r="A1849" s="30">
        <v>45693</v>
      </c>
      <c r="B1849" s="28" t="s">
        <v>73</v>
      </c>
      <c r="C1849" s="28">
        <v>279.12</v>
      </c>
      <c r="D1849" s="28" t="str">
        <f>_xlfn.XLOOKUP(B1849,'Payee Ref'!A:A,'Payee Ref'!B:B,"unassigned",0,1)</f>
        <v>Bank Fees</v>
      </c>
      <c r="E1849" s="29" t="str">
        <f>_xlfn.XLOOKUP(B1849,'Payee Ref'!A:A,'Payee Ref'!C:C,"unassigned",0,1)</f>
        <v>Luxury</v>
      </c>
      <c r="F1849" s="28" t="s">
        <v>2207</v>
      </c>
    </row>
    <row r="1850" spans="1:6" x14ac:dyDescent="0.2">
      <c r="A1850" s="30">
        <v>45772</v>
      </c>
      <c r="B1850" s="31" t="s">
        <v>2023</v>
      </c>
      <c r="C1850" s="28">
        <v>281.18</v>
      </c>
      <c r="D1850" s="28" t="str">
        <f>_xlfn.XLOOKUP(B1850,'Payee Ref'!A:A,'Payee Ref'!B:B,"unassigned",0,1)</f>
        <v>Travel</v>
      </c>
      <c r="E1850" s="29" t="str">
        <f>_xlfn.XLOOKUP(B1850,'Payee Ref'!A:A,'Payee Ref'!C:C,"unassigned",0,1)</f>
        <v>Luxury</v>
      </c>
      <c r="F1850" s="28" t="s">
        <v>2207</v>
      </c>
    </row>
    <row r="1851" spans="1:6" x14ac:dyDescent="0.2">
      <c r="A1851" s="30">
        <v>45982</v>
      </c>
      <c r="B1851" s="28" t="s">
        <v>583</v>
      </c>
      <c r="C1851" s="28">
        <v>290.63</v>
      </c>
      <c r="D1851" s="28" t="str">
        <f>_xlfn.XLOOKUP(B1851,'Payee Ref'!A:A,'Payee Ref'!B:B,"unassigned",0,1)</f>
        <v>Groceries</v>
      </c>
      <c r="E1851" s="29" t="str">
        <f>_xlfn.XLOOKUP(B1851,'Payee Ref'!A:A,'Payee Ref'!C:C,"unassigned",0,1)</f>
        <v>Basic</v>
      </c>
      <c r="F1851" s="28" t="s">
        <v>2207</v>
      </c>
    </row>
    <row r="1852" spans="1:6" x14ac:dyDescent="0.2">
      <c r="A1852" s="30">
        <v>45799</v>
      </c>
      <c r="B1852" s="31" t="s">
        <v>1584</v>
      </c>
      <c r="C1852" s="28">
        <v>292.14</v>
      </c>
      <c r="D1852" s="28" t="str">
        <f>_xlfn.XLOOKUP(B1852,'Payee Ref'!A:A,'Payee Ref'!B:B,"unassigned",0,1)</f>
        <v>Travel</v>
      </c>
      <c r="E1852" s="29" t="str">
        <f>_xlfn.XLOOKUP(B1852,'Payee Ref'!A:A,'Payee Ref'!C:C,"unassigned",0,1)</f>
        <v>Luxury</v>
      </c>
      <c r="F1852" s="28" t="s">
        <v>2207</v>
      </c>
    </row>
    <row r="1853" spans="1:6" x14ac:dyDescent="0.2">
      <c r="A1853" s="30">
        <v>45844</v>
      </c>
      <c r="B1853" s="28" t="s">
        <v>1536</v>
      </c>
      <c r="C1853" s="28">
        <v>293.88</v>
      </c>
      <c r="D1853" s="28" t="str">
        <f>_xlfn.XLOOKUP(B1853,'Payee Ref'!A:A,'Payee Ref'!B:B,"unassigned",0,1)</f>
        <v>Groceries</v>
      </c>
      <c r="E1853" s="29" t="str">
        <f>_xlfn.XLOOKUP(B1853,'Payee Ref'!A:A,'Payee Ref'!C:C,"unassigned",0,1)</f>
        <v>Basic</v>
      </c>
      <c r="F1853" s="28" t="s">
        <v>2207</v>
      </c>
    </row>
    <row r="1854" spans="1:6" x14ac:dyDescent="0.2">
      <c r="A1854" s="30">
        <v>45902</v>
      </c>
      <c r="B1854" s="28" t="s">
        <v>1668</v>
      </c>
      <c r="C1854" s="28">
        <v>298.69</v>
      </c>
      <c r="D1854" s="28">
        <f>_xlfn.XLOOKUP(B1854,'Payee Ref'!A:A,'Payee Ref'!B:B,"unassigned",0,1)</f>
        <v>0</v>
      </c>
      <c r="E1854" s="29">
        <f>_xlfn.XLOOKUP(B1854,'Payee Ref'!A:A,'Payee Ref'!C:C,"unassigned",0,1)</f>
        <v>0</v>
      </c>
      <c r="F1854" s="28" t="s">
        <v>2207</v>
      </c>
    </row>
    <row r="1855" spans="1:6" x14ac:dyDescent="0.2">
      <c r="A1855" s="30">
        <v>45941</v>
      </c>
      <c r="B1855" s="31" t="s">
        <v>935</v>
      </c>
      <c r="C1855" s="28">
        <v>300</v>
      </c>
      <c r="D1855" s="28" t="str">
        <f>_xlfn.XLOOKUP(B1855,'Payee Ref'!A:A,'Payee Ref'!B:B,"unassigned",0,1)</f>
        <v>Subscriptions / Digital</v>
      </c>
      <c r="E1855" s="29" t="str">
        <f>_xlfn.XLOOKUP(B1855,'Payee Ref'!A:A,'Payee Ref'!C:C,"unassigned",0,1)</f>
        <v>Luxury</v>
      </c>
      <c r="F1855" s="28" t="s">
        <v>2207</v>
      </c>
    </row>
    <row r="1856" spans="1:6" x14ac:dyDescent="0.2">
      <c r="A1856" s="30">
        <v>45908</v>
      </c>
      <c r="B1856" s="28" t="s">
        <v>1564</v>
      </c>
      <c r="C1856" s="28">
        <v>300</v>
      </c>
      <c r="D1856" s="28" t="str">
        <f>_xlfn.XLOOKUP(B1856,'Payee Ref'!A:A,'Payee Ref'!B:B,"unassigned",0,1)</f>
        <v>Dining</v>
      </c>
      <c r="E1856" s="29" t="str">
        <f>_xlfn.XLOOKUP(B1856,'Payee Ref'!A:A,'Payee Ref'!C:C,"unassigned",0,1)</f>
        <v>Luxury</v>
      </c>
      <c r="F1856" s="28" t="s">
        <v>2207</v>
      </c>
    </row>
    <row r="1857" spans="1:6" x14ac:dyDescent="0.2">
      <c r="A1857" s="30">
        <v>45897</v>
      </c>
      <c r="B1857" s="28" t="s">
        <v>1687</v>
      </c>
      <c r="C1857" s="28">
        <v>303.47000000000003</v>
      </c>
      <c r="D1857" s="28" t="str">
        <f>_xlfn.XLOOKUP(B1857,'Payee Ref'!A:A,'Payee Ref'!B:B,"unassigned",0,1)</f>
        <v>Home &amp; Garden</v>
      </c>
      <c r="E1857" s="29" t="str">
        <f>_xlfn.XLOOKUP(B1857,'Payee Ref'!A:A,'Payee Ref'!C:C,"unassigned",0,1)</f>
        <v>Basic</v>
      </c>
      <c r="F1857" s="28" t="s">
        <v>2207</v>
      </c>
    </row>
    <row r="1858" spans="1:6" x14ac:dyDescent="0.2">
      <c r="A1858" s="30">
        <v>45871</v>
      </c>
      <c r="B1858" s="28" t="s">
        <v>1753</v>
      </c>
      <c r="C1858" s="28">
        <v>307.14</v>
      </c>
      <c r="D1858" s="28" t="str">
        <f>_xlfn.XLOOKUP(B1858,'Payee Ref'!A:A,'Payee Ref'!B:B,"unassigned",0,1)</f>
        <v>Travel</v>
      </c>
      <c r="E1858" s="29" t="str">
        <f>_xlfn.XLOOKUP(B1858,'Payee Ref'!A:A,'Payee Ref'!C:C,"unassigned",0,1)</f>
        <v>Luxury</v>
      </c>
      <c r="F1858" s="28" t="s">
        <v>2207</v>
      </c>
    </row>
    <row r="1859" spans="1:6" x14ac:dyDescent="0.2">
      <c r="A1859" s="30">
        <v>45926</v>
      </c>
      <c r="B1859" s="28" t="s">
        <v>1571</v>
      </c>
      <c r="C1859" s="28">
        <v>308.26</v>
      </c>
      <c r="D1859" s="28" t="str">
        <f>_xlfn.XLOOKUP(B1859,'Payee Ref'!A:A,'Payee Ref'!B:B,"unassigned",0,1)</f>
        <v>Travel</v>
      </c>
      <c r="E1859" s="29" t="str">
        <f>_xlfn.XLOOKUP(B1859,'Payee Ref'!A:A,'Payee Ref'!C:C,"unassigned",0,1)</f>
        <v>Luxury</v>
      </c>
      <c r="F1859" s="28" t="s">
        <v>2207</v>
      </c>
    </row>
    <row r="1860" spans="1:6" x14ac:dyDescent="0.2">
      <c r="A1860" s="30">
        <v>45840</v>
      </c>
      <c r="B1860" s="31" t="s">
        <v>1864</v>
      </c>
      <c r="C1860" s="28">
        <v>308.88</v>
      </c>
      <c r="D1860" s="28" t="str">
        <f>_xlfn.XLOOKUP(B1860,'Payee Ref'!A:A,'Payee Ref'!B:B,"unassigned",0,1)</f>
        <v>Home &amp; Garden</v>
      </c>
      <c r="E1860" s="29" t="str">
        <f>_xlfn.XLOOKUP(B1860,'Payee Ref'!A:A,'Payee Ref'!C:C,"unassigned",0,1)</f>
        <v>Basic</v>
      </c>
      <c r="F1860" s="28" t="s">
        <v>2207</v>
      </c>
    </row>
    <row r="1861" spans="1:6" x14ac:dyDescent="0.2">
      <c r="A1861" s="30">
        <v>45963</v>
      </c>
      <c r="B1861" s="28" t="s">
        <v>1187</v>
      </c>
      <c r="C1861" s="28">
        <v>308.97000000000003</v>
      </c>
      <c r="D1861" s="28" t="str">
        <f>_xlfn.XLOOKUP(B1861,'Payee Ref'!A:A,'Payee Ref'!B:B,"unassigned",0,1)</f>
        <v>Auto</v>
      </c>
      <c r="E1861" s="29" t="str">
        <f>_xlfn.XLOOKUP(B1861,'Payee Ref'!A:A,'Payee Ref'!C:C,"unassigned",0,1)</f>
        <v>Basic</v>
      </c>
      <c r="F1861" s="28" t="s">
        <v>2207</v>
      </c>
    </row>
    <row r="1862" spans="1:6" x14ac:dyDescent="0.2">
      <c r="A1862" s="30">
        <v>45886</v>
      </c>
      <c r="B1862" s="28" t="s">
        <v>1713</v>
      </c>
      <c r="C1862" s="28">
        <v>314.55</v>
      </c>
      <c r="D1862" s="28" t="str">
        <f>_xlfn.XLOOKUP(B1862,'Payee Ref'!A:A,'Payee Ref'!B:B,"unassigned",0,1)</f>
        <v>Travel</v>
      </c>
      <c r="E1862" s="29" t="str">
        <f>_xlfn.XLOOKUP(B1862,'Payee Ref'!A:A,'Payee Ref'!C:C,"unassigned",0,1)</f>
        <v>Luxury</v>
      </c>
      <c r="F1862" s="28" t="s">
        <v>2207</v>
      </c>
    </row>
    <row r="1863" spans="1:6" x14ac:dyDescent="0.2">
      <c r="A1863" s="30">
        <v>45881</v>
      </c>
      <c r="B1863" s="28" t="s">
        <v>1732</v>
      </c>
      <c r="C1863" s="28">
        <v>328.14</v>
      </c>
      <c r="D1863" s="28" t="str">
        <f>_xlfn.XLOOKUP(B1863,'Payee Ref'!A:A,'Payee Ref'!B:B,"unassigned",0,1)</f>
        <v>Travel</v>
      </c>
      <c r="E1863" s="29" t="str">
        <f>_xlfn.XLOOKUP(B1863,'Payee Ref'!A:A,'Payee Ref'!C:C,"unassigned",0,1)</f>
        <v>Luxury</v>
      </c>
      <c r="F1863" s="28" t="s">
        <v>2207</v>
      </c>
    </row>
    <row r="1864" spans="1:6" x14ac:dyDescent="0.2">
      <c r="A1864" s="30">
        <v>45708</v>
      </c>
      <c r="B1864" s="28" t="s">
        <v>2114</v>
      </c>
      <c r="C1864" s="28">
        <v>338.35</v>
      </c>
      <c r="D1864" s="28" t="str">
        <f>_xlfn.XLOOKUP(B1864,'Payee Ref'!A:A,'Payee Ref'!B:B,"unassigned",0,1)</f>
        <v>Travel</v>
      </c>
      <c r="E1864" s="29" t="str">
        <f>_xlfn.XLOOKUP(B1864,'Payee Ref'!A:A,'Payee Ref'!C:C,"unassigned",0,1)</f>
        <v>Luxury</v>
      </c>
      <c r="F1864" s="28" t="s">
        <v>2207</v>
      </c>
    </row>
    <row r="1865" spans="1:6" x14ac:dyDescent="0.2">
      <c r="A1865" s="30">
        <v>45957</v>
      </c>
      <c r="B1865" s="28" t="s">
        <v>520</v>
      </c>
      <c r="C1865" s="28">
        <v>345.44</v>
      </c>
      <c r="D1865" s="28" t="str">
        <f>_xlfn.XLOOKUP(B1865,'Payee Ref'!A:A,'Payee Ref'!B:B,"unassigned",0,1)</f>
        <v>Travel</v>
      </c>
      <c r="E1865" s="29" t="str">
        <f>_xlfn.XLOOKUP(B1865,'Payee Ref'!A:A,'Payee Ref'!C:C,"unassigned",0,1)</f>
        <v>Luxury</v>
      </c>
      <c r="F1865" s="28" t="s">
        <v>2207</v>
      </c>
    </row>
    <row r="1866" spans="1:6" x14ac:dyDescent="0.2">
      <c r="A1866" s="30">
        <v>45729</v>
      </c>
      <c r="B1866" s="28" t="s">
        <v>2087</v>
      </c>
      <c r="C1866" s="28">
        <v>351.48</v>
      </c>
      <c r="D1866" s="28" t="str">
        <f>_xlfn.XLOOKUP(B1866,'Payee Ref'!A:A,'Payee Ref'!B:B,"unassigned",0,1)</f>
        <v>Health &amp; Medical</v>
      </c>
      <c r="E1866" s="29" t="str">
        <f>_xlfn.XLOOKUP(B1866,'Payee Ref'!A:A,'Payee Ref'!C:C,"unassigned",0,1)</f>
        <v>Basic</v>
      </c>
      <c r="F1866" s="28" t="s">
        <v>2207</v>
      </c>
    </row>
    <row r="1867" spans="1:6" x14ac:dyDescent="0.2">
      <c r="A1867" s="30">
        <v>45690</v>
      </c>
      <c r="B1867" s="28" t="s">
        <v>1571</v>
      </c>
      <c r="C1867" s="28">
        <v>353.14</v>
      </c>
      <c r="D1867" s="28" t="str">
        <f>_xlfn.XLOOKUP(B1867,'Payee Ref'!A:A,'Payee Ref'!B:B,"unassigned",0,1)</f>
        <v>Travel</v>
      </c>
      <c r="E1867" s="29" t="str">
        <f>_xlfn.XLOOKUP(B1867,'Payee Ref'!A:A,'Payee Ref'!C:C,"unassigned",0,1)</f>
        <v>Luxury</v>
      </c>
      <c r="F1867" s="28" t="s">
        <v>2207</v>
      </c>
    </row>
    <row r="1868" spans="1:6" x14ac:dyDescent="0.2">
      <c r="A1868" s="30">
        <v>45988</v>
      </c>
      <c r="B1868" s="28" t="s">
        <v>1526</v>
      </c>
      <c r="C1868" s="28">
        <v>360.51</v>
      </c>
      <c r="D1868" s="28" t="str">
        <f>_xlfn.XLOOKUP(B1868,'Payee Ref'!A:A,'Payee Ref'!B:B,"unassigned",0,1)</f>
        <v>Travel</v>
      </c>
      <c r="E1868" s="29" t="str">
        <f>_xlfn.XLOOKUP(B1868,'Payee Ref'!A:A,'Payee Ref'!C:C,"unassigned",0,1)</f>
        <v>Luxury</v>
      </c>
      <c r="F1868" s="28" t="s">
        <v>2207</v>
      </c>
    </row>
    <row r="1869" spans="1:6" x14ac:dyDescent="0.2">
      <c r="A1869" s="30">
        <v>45729</v>
      </c>
      <c r="B1869" s="28" t="s">
        <v>2086</v>
      </c>
      <c r="C1869" s="28">
        <v>364.65</v>
      </c>
      <c r="D1869" s="28" t="str">
        <f>_xlfn.XLOOKUP(B1869,'Payee Ref'!A:A,'Payee Ref'!B:B,"unassigned",0,1)</f>
        <v>Travel</v>
      </c>
      <c r="E1869" s="29" t="str">
        <f>_xlfn.XLOOKUP(B1869,'Payee Ref'!A:A,'Payee Ref'!C:C,"unassigned",0,1)</f>
        <v>Luxury</v>
      </c>
      <c r="F1869" s="28" t="s">
        <v>2207</v>
      </c>
    </row>
    <row r="1870" spans="1:6" x14ac:dyDescent="0.2">
      <c r="A1870" s="30">
        <v>45871</v>
      </c>
      <c r="B1870" s="28" t="s">
        <v>1599</v>
      </c>
      <c r="C1870" s="28">
        <v>369.4</v>
      </c>
      <c r="D1870" s="28" t="str">
        <f>_xlfn.XLOOKUP(B1870,'Payee Ref'!A:A,'Payee Ref'!B:B,"unassigned",0,1)</f>
        <v>Home &amp; Garden</v>
      </c>
      <c r="E1870" s="29" t="str">
        <f>_xlfn.XLOOKUP(B1870,'Payee Ref'!A:A,'Payee Ref'!C:C,"unassigned",0,1)</f>
        <v>Basic</v>
      </c>
      <c r="F1870" s="28" t="s">
        <v>2207</v>
      </c>
    </row>
    <row r="1871" spans="1:6" x14ac:dyDescent="0.2">
      <c r="A1871" s="30">
        <v>45795</v>
      </c>
      <c r="B1871" s="28" t="s">
        <v>1728</v>
      </c>
      <c r="C1871" s="28">
        <v>369.67</v>
      </c>
      <c r="D1871" s="28" t="str">
        <f>_xlfn.XLOOKUP(B1871,'Payee Ref'!A:A,'Payee Ref'!B:B,"unassigned",0,1)</f>
        <v>Travel</v>
      </c>
      <c r="E1871" s="29" t="str">
        <f>_xlfn.XLOOKUP(B1871,'Payee Ref'!A:A,'Payee Ref'!C:C,"unassigned",0,1)</f>
        <v>Luxury</v>
      </c>
      <c r="F1871" s="28" t="s">
        <v>2207</v>
      </c>
    </row>
    <row r="1872" spans="1:6" x14ac:dyDescent="0.2">
      <c r="A1872" s="30">
        <v>45840</v>
      </c>
      <c r="B1872" s="28" t="s">
        <v>1867</v>
      </c>
      <c r="C1872" s="28">
        <v>370</v>
      </c>
      <c r="D1872" s="28" t="str">
        <f>_xlfn.XLOOKUP(B1872,'Payee Ref'!A:A,'Payee Ref'!B:B,"unassigned",0,1)</f>
        <v>Auto</v>
      </c>
      <c r="E1872" s="29" t="str">
        <f>_xlfn.XLOOKUP(B1872,'Payee Ref'!A:A,'Payee Ref'!C:C,"unassigned",0,1)</f>
        <v>Basic</v>
      </c>
      <c r="F1872" s="28" t="s">
        <v>2207</v>
      </c>
    </row>
    <row r="1873" spans="1:6" x14ac:dyDescent="0.2">
      <c r="A1873" s="30">
        <v>45740</v>
      </c>
      <c r="B1873" s="28" t="s">
        <v>2066</v>
      </c>
      <c r="C1873" s="28">
        <v>372.45</v>
      </c>
      <c r="D1873" s="28" t="str">
        <f>_xlfn.XLOOKUP(B1873,'Payee Ref'!A:A,'Payee Ref'!B:B,"unassigned",0,1)</f>
        <v>Travel</v>
      </c>
      <c r="E1873" s="29" t="str">
        <f>_xlfn.XLOOKUP(B1873,'Payee Ref'!A:A,'Payee Ref'!C:C,"unassigned",0,1)</f>
        <v>Luxury</v>
      </c>
      <c r="F1873" s="28" t="s">
        <v>2207</v>
      </c>
    </row>
    <row r="1874" spans="1:6" x14ac:dyDescent="0.2">
      <c r="A1874" s="30">
        <v>45848</v>
      </c>
      <c r="B1874" s="28" t="s">
        <v>1567</v>
      </c>
      <c r="C1874" s="28">
        <v>374.09</v>
      </c>
      <c r="D1874" s="28" t="str">
        <f>_xlfn.XLOOKUP(B1874,'Payee Ref'!A:A,'Payee Ref'!B:B,"unassigned",0,1)</f>
        <v>Van</v>
      </c>
      <c r="E1874" s="29" t="str">
        <f>_xlfn.XLOOKUP(B1874,'Payee Ref'!A:A,'Payee Ref'!C:C,"unassigned",0,1)</f>
        <v>Luxury</v>
      </c>
      <c r="F1874" s="28" t="s">
        <v>2207</v>
      </c>
    </row>
    <row r="1875" spans="1:6" x14ac:dyDescent="0.2">
      <c r="A1875" s="30">
        <v>45903</v>
      </c>
      <c r="B1875" s="28" t="s">
        <v>1591</v>
      </c>
      <c r="C1875" s="28">
        <v>374.33</v>
      </c>
      <c r="D1875" s="28" t="str">
        <f>_xlfn.XLOOKUP(B1875,'Payee Ref'!A:A,'Payee Ref'!B:B,"unassigned",0,1)</f>
        <v>Travel</v>
      </c>
      <c r="E1875" s="29" t="str">
        <f>_xlfn.XLOOKUP(B1875,'Payee Ref'!A:A,'Payee Ref'!C:C,"unassigned",0,1)</f>
        <v>Luxury</v>
      </c>
      <c r="F1875" s="28" t="s">
        <v>2207</v>
      </c>
    </row>
    <row r="1876" spans="1:6" x14ac:dyDescent="0.2">
      <c r="A1876" s="30">
        <v>45962</v>
      </c>
      <c r="B1876" s="28" t="s">
        <v>542</v>
      </c>
      <c r="C1876" s="28">
        <v>374.47</v>
      </c>
      <c r="D1876" s="28" t="str">
        <f>_xlfn.XLOOKUP(B1876,'Payee Ref'!A:A,'Payee Ref'!B:B,"unassigned",0,1)</f>
        <v>Groceries</v>
      </c>
      <c r="E1876" s="29" t="str">
        <f>_xlfn.XLOOKUP(B1876,'Payee Ref'!A:A,'Payee Ref'!C:C,"unassigned",0,1)</f>
        <v>Basic</v>
      </c>
      <c r="F1876" s="28" t="s">
        <v>2207</v>
      </c>
    </row>
    <row r="1877" spans="1:6" x14ac:dyDescent="0.2">
      <c r="A1877" s="30">
        <v>45988</v>
      </c>
      <c r="B1877" s="28" t="s">
        <v>1524</v>
      </c>
      <c r="C1877" s="28">
        <v>377.6</v>
      </c>
      <c r="D1877" s="28" t="str">
        <f>_xlfn.XLOOKUP(B1877,'Payee Ref'!A:A,'Payee Ref'!B:B,"unassigned",0,1)</f>
        <v>Travel</v>
      </c>
      <c r="E1877" s="29" t="str">
        <f>_xlfn.XLOOKUP(B1877,'Payee Ref'!A:A,'Payee Ref'!C:C,"unassigned",0,1)</f>
        <v>Luxury</v>
      </c>
      <c r="F1877" s="28" t="s">
        <v>2207</v>
      </c>
    </row>
    <row r="1878" spans="1:6" x14ac:dyDescent="0.2">
      <c r="A1878" s="30">
        <v>45817</v>
      </c>
      <c r="B1878" s="28" t="s">
        <v>1644</v>
      </c>
      <c r="C1878" s="28">
        <v>378.25</v>
      </c>
      <c r="D1878" s="28" t="str">
        <f>_xlfn.XLOOKUP(B1878,'Payee Ref'!A:A,'Payee Ref'!B:B,"unassigned",0,1)</f>
        <v>Insurance</v>
      </c>
      <c r="E1878" s="29" t="str">
        <f>_xlfn.XLOOKUP(B1878,'Payee Ref'!A:A,'Payee Ref'!C:C,"unassigned",0,1)</f>
        <v>Basic</v>
      </c>
      <c r="F1878" s="28" t="s">
        <v>2207</v>
      </c>
    </row>
    <row r="1879" spans="1:6" x14ac:dyDescent="0.2">
      <c r="A1879" s="30">
        <v>45944</v>
      </c>
      <c r="B1879" s="28" t="s">
        <v>542</v>
      </c>
      <c r="C1879" s="28">
        <v>381.6</v>
      </c>
      <c r="D1879" s="28" t="str">
        <f>_xlfn.XLOOKUP(B1879,'Payee Ref'!A:A,'Payee Ref'!B:B,"unassigned",0,1)</f>
        <v>Groceries</v>
      </c>
      <c r="E1879" s="29" t="str">
        <f>_xlfn.XLOOKUP(B1879,'Payee Ref'!A:A,'Payee Ref'!C:C,"unassigned",0,1)</f>
        <v>Basic</v>
      </c>
      <c r="F1879" s="28" t="s">
        <v>2207</v>
      </c>
    </row>
    <row r="1880" spans="1:6" x14ac:dyDescent="0.2">
      <c r="A1880" s="30">
        <v>45808</v>
      </c>
      <c r="B1880" s="31" t="s">
        <v>1584</v>
      </c>
      <c r="C1880" s="28">
        <v>381.72</v>
      </c>
      <c r="D1880" s="28" t="str">
        <f>_xlfn.XLOOKUP(B1880,'Payee Ref'!A:A,'Payee Ref'!B:B,"unassigned",0,1)</f>
        <v>Travel</v>
      </c>
      <c r="E1880" s="29" t="str">
        <f>_xlfn.XLOOKUP(B1880,'Payee Ref'!A:A,'Payee Ref'!C:C,"unassigned",0,1)</f>
        <v>Luxury</v>
      </c>
      <c r="F1880" s="28" t="s">
        <v>2207</v>
      </c>
    </row>
    <row r="1881" spans="1:6" x14ac:dyDescent="0.2">
      <c r="A1881" s="30">
        <v>45918</v>
      </c>
      <c r="B1881" s="28" t="s">
        <v>1644</v>
      </c>
      <c r="C1881" s="28">
        <v>388.25</v>
      </c>
      <c r="D1881" s="28" t="str">
        <f>_xlfn.XLOOKUP(B1881,'Payee Ref'!A:A,'Payee Ref'!B:B,"unassigned",0,1)</f>
        <v>Insurance</v>
      </c>
      <c r="E1881" s="29" t="str">
        <f>_xlfn.XLOOKUP(B1881,'Payee Ref'!A:A,'Payee Ref'!C:C,"unassigned",0,1)</f>
        <v>Basic</v>
      </c>
      <c r="F1881" s="28" t="s">
        <v>2207</v>
      </c>
    </row>
    <row r="1882" spans="1:6" x14ac:dyDescent="0.2">
      <c r="A1882" s="30">
        <v>45784</v>
      </c>
      <c r="B1882" s="28" t="s">
        <v>1568</v>
      </c>
      <c r="C1882" s="28">
        <v>400</v>
      </c>
      <c r="D1882" s="28" t="str">
        <f>_xlfn.XLOOKUP(B1882,'Payee Ref'!A:A,'Payee Ref'!B:B,"unassigned",0,1)</f>
        <v>Credit Card Payment</v>
      </c>
      <c r="E1882" s="29" t="str">
        <f>_xlfn.XLOOKUP(B1882,'Payee Ref'!A:A,'Payee Ref'!C:C,"unassigned",0,1)</f>
        <v>Basic</v>
      </c>
      <c r="F1882" s="28" t="s">
        <v>2207</v>
      </c>
    </row>
    <row r="1883" spans="1:6" x14ac:dyDescent="0.2">
      <c r="A1883" s="30">
        <v>45783</v>
      </c>
      <c r="B1883" s="28" t="s">
        <v>1568</v>
      </c>
      <c r="C1883" s="28">
        <v>400</v>
      </c>
      <c r="D1883" s="28" t="str">
        <f>_xlfn.XLOOKUP(B1883,'Payee Ref'!A:A,'Payee Ref'!B:B,"unassigned",0,1)</f>
        <v>Credit Card Payment</v>
      </c>
      <c r="E1883" s="29" t="str">
        <f>_xlfn.XLOOKUP(B1883,'Payee Ref'!A:A,'Payee Ref'!C:C,"unassigned",0,1)</f>
        <v>Basic</v>
      </c>
      <c r="F1883" s="28" t="s">
        <v>2207</v>
      </c>
    </row>
    <row r="1884" spans="1:6" x14ac:dyDescent="0.2">
      <c r="A1884" s="30">
        <v>45937</v>
      </c>
      <c r="B1884" s="28" t="s">
        <v>492</v>
      </c>
      <c r="C1884" s="28">
        <v>400</v>
      </c>
      <c r="D1884" s="28" t="str">
        <f>_xlfn.XLOOKUP(B1884,'Payee Ref'!A:A,'Payee Ref'!B:B,"unassigned",0,1)</f>
        <v>Transfer</v>
      </c>
      <c r="E1884" s="29" t="str">
        <f>_xlfn.XLOOKUP(B1884,'Payee Ref'!A:A,'Payee Ref'!C:C,"unassigned",0,1)</f>
        <v>Basic</v>
      </c>
      <c r="F1884" s="28" t="s">
        <v>2207</v>
      </c>
    </row>
    <row r="1885" spans="1:6" x14ac:dyDescent="0.2">
      <c r="A1885" s="30">
        <v>45729</v>
      </c>
      <c r="B1885" s="31" t="s">
        <v>2085</v>
      </c>
      <c r="C1885" s="28">
        <v>426.07</v>
      </c>
      <c r="D1885" s="28" t="str">
        <f>_xlfn.XLOOKUP(B1885,'Payee Ref'!A:A,'Payee Ref'!B:B,"unassigned",0,1)</f>
        <v>Travel</v>
      </c>
      <c r="E1885" s="29" t="str">
        <f>_xlfn.XLOOKUP(B1885,'Payee Ref'!A:A,'Payee Ref'!C:C,"unassigned",0,1)</f>
        <v>Luxury</v>
      </c>
      <c r="F1885" s="28" t="s">
        <v>2207</v>
      </c>
    </row>
    <row r="1886" spans="1:6" x14ac:dyDescent="0.2">
      <c r="A1886" s="30">
        <v>45755</v>
      </c>
      <c r="B1886" s="31" t="s">
        <v>1584</v>
      </c>
      <c r="C1886" s="28">
        <v>427.24</v>
      </c>
      <c r="D1886" s="28" t="str">
        <f>_xlfn.XLOOKUP(B1886,'Payee Ref'!A:A,'Payee Ref'!B:B,"unassigned",0,1)</f>
        <v>Travel</v>
      </c>
      <c r="E1886" s="29" t="str">
        <f>_xlfn.XLOOKUP(B1886,'Payee Ref'!A:A,'Payee Ref'!C:C,"unassigned",0,1)</f>
        <v>Luxury</v>
      </c>
      <c r="F1886" s="28" t="s">
        <v>2207</v>
      </c>
    </row>
    <row r="1887" spans="1:6" x14ac:dyDescent="0.2">
      <c r="A1887" s="30">
        <v>45900</v>
      </c>
      <c r="B1887" s="28" t="s">
        <v>1672</v>
      </c>
      <c r="C1887" s="28">
        <v>453.16</v>
      </c>
      <c r="D1887" s="28" t="str">
        <f>_xlfn.XLOOKUP(B1887,'Payee Ref'!A:A,'Payee Ref'!B:B,"unassigned",0,1)</f>
        <v>Enrichment</v>
      </c>
      <c r="E1887" s="29" t="str">
        <f>_xlfn.XLOOKUP(B1887,'Payee Ref'!A:A,'Payee Ref'!C:C,"unassigned",0,1)</f>
        <v>Luxury</v>
      </c>
      <c r="F1887" s="28" t="s">
        <v>2207</v>
      </c>
    </row>
    <row r="1888" spans="1:6" x14ac:dyDescent="0.2">
      <c r="A1888" s="30">
        <v>45853</v>
      </c>
      <c r="B1888" s="31" t="s">
        <v>1584</v>
      </c>
      <c r="C1888" s="28">
        <v>463.69</v>
      </c>
      <c r="D1888" s="28" t="str">
        <f>_xlfn.XLOOKUP(B1888,'Payee Ref'!A:A,'Payee Ref'!B:B,"unassigned",0,1)</f>
        <v>Travel</v>
      </c>
      <c r="E1888" s="29" t="str">
        <f>_xlfn.XLOOKUP(B1888,'Payee Ref'!A:A,'Payee Ref'!C:C,"unassigned",0,1)</f>
        <v>Luxury</v>
      </c>
      <c r="F1888" s="28" t="s">
        <v>2207</v>
      </c>
    </row>
    <row r="1889" spans="1:6" x14ac:dyDescent="0.2">
      <c r="A1889" s="30">
        <v>45856</v>
      </c>
      <c r="B1889" s="28" t="s">
        <v>1824</v>
      </c>
      <c r="C1889" s="28">
        <v>484.43</v>
      </c>
      <c r="D1889" s="28" t="str">
        <f>_xlfn.XLOOKUP(B1889,'Payee Ref'!A:A,'Payee Ref'!B:B,"unassigned",0,1)</f>
        <v>Professional</v>
      </c>
      <c r="E1889" s="29" t="str">
        <f>_xlfn.XLOOKUP(B1889,'Payee Ref'!A:A,'Payee Ref'!C:C,"unassigned",0,1)</f>
        <v>Luxury</v>
      </c>
      <c r="F1889" s="28" t="s">
        <v>2207</v>
      </c>
    </row>
    <row r="1890" spans="1:6" x14ac:dyDescent="0.2">
      <c r="A1890" s="30">
        <v>45935</v>
      </c>
      <c r="B1890" s="28" t="s">
        <v>546</v>
      </c>
      <c r="C1890" s="28">
        <v>490.15</v>
      </c>
      <c r="D1890" s="28" t="str">
        <f>_xlfn.XLOOKUP(B1890,'Payee Ref'!A:A,'Payee Ref'!B:B,"unassigned",0,1)</f>
        <v>Groceries</v>
      </c>
      <c r="E1890" s="29" t="str">
        <f>_xlfn.XLOOKUP(B1890,'Payee Ref'!A:A,'Payee Ref'!C:C,"unassigned",0,1)</f>
        <v>Basic</v>
      </c>
      <c r="F1890" s="28" t="s">
        <v>2207</v>
      </c>
    </row>
    <row r="1891" spans="1:6" x14ac:dyDescent="0.2">
      <c r="A1891" s="30">
        <v>45871</v>
      </c>
      <c r="B1891" s="31" t="s">
        <v>1584</v>
      </c>
      <c r="C1891" s="28">
        <v>494.5</v>
      </c>
      <c r="D1891" s="28" t="str">
        <f>_xlfn.XLOOKUP(B1891,'Payee Ref'!A:A,'Payee Ref'!B:B,"unassigned",0,1)</f>
        <v>Travel</v>
      </c>
      <c r="E1891" s="29" t="str">
        <f>_xlfn.XLOOKUP(B1891,'Payee Ref'!A:A,'Payee Ref'!C:C,"unassigned",0,1)</f>
        <v>Luxury</v>
      </c>
      <c r="F1891" s="28" t="s">
        <v>2207</v>
      </c>
    </row>
    <row r="1892" spans="1:6" x14ac:dyDescent="0.2">
      <c r="A1892" s="30">
        <v>45817</v>
      </c>
      <c r="B1892" s="28" t="s">
        <v>1954</v>
      </c>
      <c r="C1892" s="28">
        <v>495.47</v>
      </c>
      <c r="D1892" s="28" t="str">
        <f>_xlfn.XLOOKUP(B1892,'Payee Ref'!A:A,'Payee Ref'!B:B,"unassigned",0,1)</f>
        <v>Home &amp; Garden</v>
      </c>
      <c r="E1892" s="29" t="str">
        <f>_xlfn.XLOOKUP(B1892,'Payee Ref'!A:A,'Payee Ref'!C:C,"unassigned",0,1)</f>
        <v>Basic</v>
      </c>
      <c r="F1892" s="28" t="s">
        <v>2207</v>
      </c>
    </row>
    <row r="1893" spans="1:6" x14ac:dyDescent="0.2">
      <c r="A1893" s="30">
        <v>45842</v>
      </c>
      <c r="B1893" s="28" t="s">
        <v>1654</v>
      </c>
      <c r="C1893" s="28">
        <v>500</v>
      </c>
      <c r="D1893" s="28" t="str">
        <f>_xlfn.XLOOKUP(B1893,'Payee Ref'!A:A,'Payee Ref'!B:B,"unassigned",0,1)</f>
        <v>Clothing</v>
      </c>
      <c r="E1893" s="29" t="str">
        <f>_xlfn.XLOOKUP(B1893,'Payee Ref'!A:A,'Payee Ref'!C:C,"unassigned",0,1)</f>
        <v>Basic</v>
      </c>
      <c r="F1893" s="28" t="s">
        <v>2207</v>
      </c>
    </row>
    <row r="1894" spans="1:6" x14ac:dyDescent="0.2">
      <c r="A1894" s="30">
        <v>45866</v>
      </c>
      <c r="B1894" s="28" t="s">
        <v>1789</v>
      </c>
      <c r="C1894" s="28">
        <v>500</v>
      </c>
      <c r="D1894" s="28" t="str">
        <f>_xlfn.XLOOKUP(B1894,'Payee Ref'!A:A,'Payee Ref'!B:B,"unassigned",0,1)</f>
        <v>Travel</v>
      </c>
      <c r="E1894" s="29" t="str">
        <f>_xlfn.XLOOKUP(B1894,'Payee Ref'!A:A,'Payee Ref'!C:C,"unassigned",0,1)</f>
        <v>Luxury</v>
      </c>
      <c r="F1894" s="28" t="s">
        <v>2207</v>
      </c>
    </row>
    <row r="1895" spans="1:6" x14ac:dyDescent="0.2">
      <c r="A1895" s="30">
        <v>45768</v>
      </c>
      <c r="B1895" s="31" t="s">
        <v>1584</v>
      </c>
      <c r="C1895" s="28">
        <v>509.77</v>
      </c>
      <c r="D1895" s="28" t="str">
        <f>_xlfn.XLOOKUP(B1895,'Payee Ref'!A:A,'Payee Ref'!B:B,"unassigned",0,1)</f>
        <v>Travel</v>
      </c>
      <c r="E1895" s="29" t="str">
        <f>_xlfn.XLOOKUP(B1895,'Payee Ref'!A:A,'Payee Ref'!C:C,"unassigned",0,1)</f>
        <v>Luxury</v>
      </c>
      <c r="F1895" s="28" t="s">
        <v>2207</v>
      </c>
    </row>
    <row r="1896" spans="1:6" x14ac:dyDescent="0.2">
      <c r="A1896" s="30">
        <v>45886</v>
      </c>
      <c r="B1896" s="28" t="s">
        <v>1570</v>
      </c>
      <c r="C1896" s="28">
        <v>514.79999999999995</v>
      </c>
      <c r="D1896" s="28" t="str">
        <f>_xlfn.XLOOKUP(B1896,'Payee Ref'!A:A,'Payee Ref'!B:B,"unassigned",0,1)</f>
        <v>Professional</v>
      </c>
      <c r="E1896" s="29" t="str">
        <f>_xlfn.XLOOKUP(B1896,'Payee Ref'!A:A,'Payee Ref'!C:C,"unassigned",0,1)</f>
        <v>Luxury</v>
      </c>
      <c r="F1896" s="28" t="s">
        <v>2207</v>
      </c>
    </row>
    <row r="1897" spans="1:6" x14ac:dyDescent="0.2">
      <c r="A1897" s="30">
        <v>45837</v>
      </c>
      <c r="B1897" s="31" t="s">
        <v>1584</v>
      </c>
      <c r="C1897" s="28">
        <v>545.21</v>
      </c>
      <c r="D1897" s="28" t="str">
        <f>_xlfn.XLOOKUP(B1897,'Payee Ref'!A:A,'Payee Ref'!B:B,"unassigned",0,1)</f>
        <v>Travel</v>
      </c>
      <c r="E1897" s="29" t="str">
        <f>_xlfn.XLOOKUP(B1897,'Payee Ref'!A:A,'Payee Ref'!C:C,"unassigned",0,1)</f>
        <v>Luxury</v>
      </c>
      <c r="F1897" s="28" t="s">
        <v>2207</v>
      </c>
    </row>
    <row r="1898" spans="1:6" x14ac:dyDescent="0.2">
      <c r="A1898" s="30">
        <v>45835</v>
      </c>
      <c r="B1898" s="31" t="s">
        <v>1890</v>
      </c>
      <c r="C1898" s="28">
        <v>580.67999999999995</v>
      </c>
      <c r="D1898" s="28" t="str">
        <f>_xlfn.XLOOKUP(B1898,'Payee Ref'!A:A,'Payee Ref'!B:B,"unassigned",0,1)</f>
        <v>Travel</v>
      </c>
      <c r="E1898" s="29" t="str">
        <f>_xlfn.XLOOKUP(B1898,'Payee Ref'!A:A,'Payee Ref'!C:C,"unassigned",0,1)</f>
        <v>Luxury</v>
      </c>
      <c r="F1898" s="28" t="s">
        <v>2207</v>
      </c>
    </row>
    <row r="1899" spans="1:6" x14ac:dyDescent="0.2">
      <c r="A1899" s="30">
        <v>45987</v>
      </c>
      <c r="B1899" s="28" t="s">
        <v>1037</v>
      </c>
      <c r="C1899" s="28">
        <v>590.66</v>
      </c>
      <c r="D1899" s="28" t="str">
        <f>_xlfn.XLOOKUP(B1899,'Payee Ref'!A:A,'Payee Ref'!B:B,"unassigned",0,1)</f>
        <v>Travel</v>
      </c>
      <c r="E1899" s="29" t="str">
        <f>_xlfn.XLOOKUP(B1899,'Payee Ref'!A:A,'Payee Ref'!C:C,"unassigned",0,1)</f>
        <v>Luxury</v>
      </c>
      <c r="F1899" s="28" t="s">
        <v>2207</v>
      </c>
    </row>
    <row r="1900" spans="1:6" x14ac:dyDescent="0.2">
      <c r="A1900" s="30">
        <v>45697</v>
      </c>
      <c r="B1900" s="31" t="s">
        <v>1545</v>
      </c>
      <c r="C1900" s="28">
        <v>600</v>
      </c>
      <c r="D1900" s="28" t="str">
        <f>_xlfn.XLOOKUP(B1900,'Payee Ref'!A:A,'Payee Ref'!B:B,"unassigned",0,1)</f>
        <v>Health &amp; Medical</v>
      </c>
      <c r="E1900" s="29" t="str">
        <f>_xlfn.XLOOKUP(B1900,'Payee Ref'!A:A,'Payee Ref'!C:C,"unassigned",0,1)</f>
        <v>Basic</v>
      </c>
      <c r="F1900" s="28" t="s">
        <v>2207</v>
      </c>
    </row>
    <row r="1901" spans="1:6" x14ac:dyDescent="0.2">
      <c r="A1901" s="30">
        <v>45953</v>
      </c>
      <c r="B1901" s="28" t="s">
        <v>1138</v>
      </c>
      <c r="C1901" s="28">
        <v>658.43</v>
      </c>
      <c r="D1901" s="28" t="str">
        <f>_xlfn.XLOOKUP(B1901,'Payee Ref'!A:A,'Payee Ref'!B:B,"unassigned",0,1)</f>
        <v>Travel</v>
      </c>
      <c r="E1901" s="29" t="str">
        <f>_xlfn.XLOOKUP(B1901,'Payee Ref'!A:A,'Payee Ref'!C:C,"unassigned",0,1)</f>
        <v>Luxury</v>
      </c>
      <c r="F1901" s="28" t="s">
        <v>2207</v>
      </c>
    </row>
    <row r="1902" spans="1:6" x14ac:dyDescent="0.2">
      <c r="A1902" s="30">
        <v>45755</v>
      </c>
      <c r="B1902" s="28" t="s">
        <v>2046</v>
      </c>
      <c r="C1902" s="28">
        <v>670.97</v>
      </c>
      <c r="D1902" s="28" t="str">
        <f>_xlfn.XLOOKUP(B1902,'Payee Ref'!A:A,'Payee Ref'!B:B,"unassigned",0,1)</f>
        <v>Utilities</v>
      </c>
      <c r="E1902" s="29" t="str">
        <f>_xlfn.XLOOKUP(B1902,'Payee Ref'!A:A,'Payee Ref'!C:C,"unassigned",0,1)</f>
        <v>Basic</v>
      </c>
      <c r="F1902" s="28" t="s">
        <v>2207</v>
      </c>
    </row>
    <row r="1903" spans="1:6" x14ac:dyDescent="0.2">
      <c r="A1903" s="30">
        <v>45928</v>
      </c>
      <c r="B1903" s="31" t="s">
        <v>1545</v>
      </c>
      <c r="C1903" s="28">
        <v>680</v>
      </c>
      <c r="D1903" s="28" t="str">
        <f>_xlfn.XLOOKUP(B1903,'Payee Ref'!A:A,'Payee Ref'!B:B,"unassigned",0,1)</f>
        <v>Health &amp; Medical</v>
      </c>
      <c r="E1903" s="29" t="str">
        <f>_xlfn.XLOOKUP(B1903,'Payee Ref'!A:A,'Payee Ref'!C:C,"unassigned",0,1)</f>
        <v>Basic</v>
      </c>
      <c r="F1903" s="28" t="s">
        <v>2207</v>
      </c>
    </row>
    <row r="1904" spans="1:6" x14ac:dyDescent="0.2">
      <c r="A1904" s="30">
        <v>45822</v>
      </c>
      <c r="B1904" s="31" t="s">
        <v>1545</v>
      </c>
      <c r="C1904" s="28">
        <v>680</v>
      </c>
      <c r="D1904" s="28" t="str">
        <f>_xlfn.XLOOKUP(B1904,'Payee Ref'!A:A,'Payee Ref'!B:B,"unassigned",0,1)</f>
        <v>Health &amp; Medical</v>
      </c>
      <c r="E1904" s="29" t="str">
        <f>_xlfn.XLOOKUP(B1904,'Payee Ref'!A:A,'Payee Ref'!C:C,"unassigned",0,1)</f>
        <v>Basic</v>
      </c>
      <c r="F1904" s="28" t="s">
        <v>2207</v>
      </c>
    </row>
    <row r="1905" spans="1:6" x14ac:dyDescent="0.2">
      <c r="A1905" s="30">
        <v>45955</v>
      </c>
      <c r="B1905" s="28" t="s">
        <v>1207</v>
      </c>
      <c r="C1905" s="28">
        <v>680</v>
      </c>
      <c r="D1905" s="28" t="str">
        <f>_xlfn.XLOOKUP(B1905,'Payee Ref'!A:A,'Payee Ref'!B:B,"unassigned",0,1)</f>
        <v>Health &amp; Medical</v>
      </c>
      <c r="E1905" s="29" t="str">
        <f>_xlfn.XLOOKUP(B1905,'Payee Ref'!A:A,'Payee Ref'!C:C,"unassigned",0,1)</f>
        <v>Basic</v>
      </c>
      <c r="F1905" s="28" t="s">
        <v>2207</v>
      </c>
    </row>
    <row r="1906" spans="1:6" x14ac:dyDescent="0.2">
      <c r="A1906" s="30">
        <v>45797</v>
      </c>
      <c r="B1906" s="31" t="s">
        <v>1988</v>
      </c>
      <c r="C1906" s="28">
        <v>693.52</v>
      </c>
      <c r="D1906" s="28" t="str">
        <f>_xlfn.XLOOKUP(B1906,'Payee Ref'!A:A,'Payee Ref'!B:B,"unassigned",0,1)</f>
        <v>Travel</v>
      </c>
      <c r="E1906" s="29" t="str">
        <f>_xlfn.XLOOKUP(B1906,'Payee Ref'!A:A,'Payee Ref'!C:C,"unassigned",0,1)</f>
        <v>Luxury</v>
      </c>
      <c r="F1906" s="28" t="s">
        <v>2207</v>
      </c>
    </row>
    <row r="1907" spans="1:6" x14ac:dyDescent="0.2">
      <c r="A1907" s="30">
        <v>45974</v>
      </c>
      <c r="B1907" s="28" t="s">
        <v>492</v>
      </c>
      <c r="C1907" s="28">
        <v>700</v>
      </c>
      <c r="D1907" s="28" t="str">
        <f>_xlfn.XLOOKUP(B1907,'Payee Ref'!A:A,'Payee Ref'!B:B,"unassigned",0,1)</f>
        <v>Transfer</v>
      </c>
      <c r="E1907" s="29" t="str">
        <f>_xlfn.XLOOKUP(B1907,'Payee Ref'!A:A,'Payee Ref'!C:C,"unassigned",0,1)</f>
        <v>Basic</v>
      </c>
      <c r="F1907" s="28" t="s">
        <v>2207</v>
      </c>
    </row>
    <row r="1908" spans="1:6" x14ac:dyDescent="0.2">
      <c r="A1908" s="30">
        <v>45724</v>
      </c>
      <c r="B1908" s="28" t="s">
        <v>2098</v>
      </c>
      <c r="C1908" s="28">
        <v>704.01</v>
      </c>
      <c r="D1908" s="28" t="str">
        <f>_xlfn.XLOOKUP(B1908,'Payee Ref'!A:A,'Payee Ref'!B:B,"unassigned",0,1)</f>
        <v>Auto</v>
      </c>
      <c r="E1908" s="29" t="str">
        <f>_xlfn.XLOOKUP(B1908,'Payee Ref'!A:A,'Payee Ref'!C:C,"unassigned",0,1)</f>
        <v>Basic</v>
      </c>
      <c r="F1908" s="28" t="s">
        <v>2207</v>
      </c>
    </row>
    <row r="1909" spans="1:6" x14ac:dyDescent="0.2">
      <c r="A1909" s="30">
        <v>45736</v>
      </c>
      <c r="B1909" s="28" t="s">
        <v>1570</v>
      </c>
      <c r="C1909" s="28">
        <v>720.6</v>
      </c>
      <c r="D1909" s="28" t="str">
        <f>_xlfn.XLOOKUP(B1909,'Payee Ref'!A:A,'Payee Ref'!B:B,"unassigned",0,1)</f>
        <v>Professional</v>
      </c>
      <c r="E1909" s="29" t="str">
        <f>_xlfn.XLOOKUP(B1909,'Payee Ref'!A:A,'Payee Ref'!C:C,"unassigned",0,1)</f>
        <v>Luxury</v>
      </c>
      <c r="F1909" s="28" t="s">
        <v>2207</v>
      </c>
    </row>
    <row r="1910" spans="1:6" x14ac:dyDescent="0.2">
      <c r="A1910" s="30">
        <v>45887</v>
      </c>
      <c r="B1910" s="28" t="s">
        <v>1644</v>
      </c>
      <c r="C1910" s="28">
        <v>761.5</v>
      </c>
      <c r="D1910" s="28" t="str">
        <f>_xlfn.XLOOKUP(B1910,'Payee Ref'!A:A,'Payee Ref'!B:B,"unassigned",0,1)</f>
        <v>Insurance</v>
      </c>
      <c r="E1910" s="29" t="str">
        <f>_xlfn.XLOOKUP(B1910,'Payee Ref'!A:A,'Payee Ref'!C:C,"unassigned",0,1)</f>
        <v>Basic</v>
      </c>
      <c r="F1910" s="28" t="s">
        <v>2207</v>
      </c>
    </row>
    <row r="1911" spans="1:6" x14ac:dyDescent="0.2">
      <c r="A1911" s="30">
        <v>45804</v>
      </c>
      <c r="B1911" s="31" t="s">
        <v>1955</v>
      </c>
      <c r="C1911" s="28">
        <v>783.8</v>
      </c>
      <c r="D1911" s="28" t="str">
        <f>_xlfn.XLOOKUP(B1911,'Payee Ref'!A:A,'Payee Ref'!B:B,"unassigned",0,1)</f>
        <v>Travel</v>
      </c>
      <c r="E1911" s="29" t="str">
        <f>_xlfn.XLOOKUP(B1911,'Payee Ref'!A:A,'Payee Ref'!C:C,"unassigned",0,1)</f>
        <v>Luxury</v>
      </c>
      <c r="F1911" s="28" t="s">
        <v>2207</v>
      </c>
    </row>
    <row r="1912" spans="1:6" x14ac:dyDescent="0.2">
      <c r="A1912" s="30">
        <v>45797</v>
      </c>
      <c r="B1912" s="28" t="s">
        <v>1987</v>
      </c>
      <c r="C1912" s="28">
        <v>810</v>
      </c>
      <c r="D1912" s="28" t="str">
        <f>_xlfn.XLOOKUP(B1912,'Payee Ref'!A:A,'Payee Ref'!B:B,"unassigned",0,1)</f>
        <v>Travel</v>
      </c>
      <c r="E1912" s="29" t="str">
        <f>_xlfn.XLOOKUP(B1912,'Payee Ref'!A:A,'Payee Ref'!C:C,"unassigned",0,1)</f>
        <v>Luxury</v>
      </c>
      <c r="F1912" s="28" t="s">
        <v>2207</v>
      </c>
    </row>
    <row r="1913" spans="1:6" x14ac:dyDescent="0.2">
      <c r="A1913" s="30">
        <v>45816</v>
      </c>
      <c r="B1913" s="28" t="s">
        <v>1956</v>
      </c>
      <c r="C1913" s="28">
        <v>852.01</v>
      </c>
      <c r="D1913" s="28" t="str">
        <f>_xlfn.XLOOKUP(B1913,'Payee Ref'!A:A,'Payee Ref'!B:B,"unassigned",0,1)</f>
        <v>Membership</v>
      </c>
      <c r="E1913" s="29" t="str">
        <f>_xlfn.XLOOKUP(B1913,'Payee Ref'!A:A,'Payee Ref'!C:C,"unassigned",0,1)</f>
        <v>Luxury</v>
      </c>
      <c r="F1913" s="28" t="s">
        <v>2207</v>
      </c>
    </row>
    <row r="1914" spans="1:6" x14ac:dyDescent="0.2">
      <c r="A1914" s="30">
        <v>45974</v>
      </c>
      <c r="B1914" s="28" t="s">
        <v>889</v>
      </c>
      <c r="C1914" s="28">
        <v>876.63</v>
      </c>
      <c r="D1914" s="28" t="str">
        <f>_xlfn.XLOOKUP(B1914,'Payee Ref'!A:A,'Payee Ref'!B:B,"unassigned",0,1)</f>
        <v>Professional</v>
      </c>
      <c r="E1914" s="29" t="str">
        <f>_xlfn.XLOOKUP(B1914,'Payee Ref'!A:A,'Payee Ref'!C:C,"unassigned",0,1)</f>
        <v>Luxury</v>
      </c>
      <c r="F1914" s="28" t="s">
        <v>2207</v>
      </c>
    </row>
    <row r="1915" spans="1:6" x14ac:dyDescent="0.2">
      <c r="A1915" s="30">
        <v>45980</v>
      </c>
      <c r="B1915" s="28" t="s">
        <v>1557</v>
      </c>
      <c r="C1915" s="28">
        <v>983.46</v>
      </c>
      <c r="D1915" s="28" t="str">
        <f>_xlfn.XLOOKUP(B1915,'Payee Ref'!A:A,'Payee Ref'!B:B,"unassigned",0,1)</f>
        <v>Travel</v>
      </c>
      <c r="E1915" s="29" t="str">
        <f>_xlfn.XLOOKUP(B1915,'Payee Ref'!A:A,'Payee Ref'!C:C,"unassigned",0,1)</f>
        <v>Luxury</v>
      </c>
      <c r="F1915" s="28" t="s">
        <v>2207</v>
      </c>
    </row>
    <row r="1916" spans="1:6" x14ac:dyDescent="0.2">
      <c r="A1916" s="30">
        <v>45680</v>
      </c>
      <c r="B1916" s="31" t="s">
        <v>1639</v>
      </c>
      <c r="C1916" s="28">
        <v>1000</v>
      </c>
      <c r="D1916" s="28" t="str">
        <f>_xlfn.XLOOKUP(B1916,'Payee Ref'!A:A,'Payee Ref'!B:B,"unassigned",0,1)</f>
        <v>Health &amp; Medical</v>
      </c>
      <c r="E1916" s="29" t="str">
        <f>_xlfn.XLOOKUP(B1916,'Payee Ref'!A:A,'Payee Ref'!C:C,"unassigned",0,1)</f>
        <v>Basic</v>
      </c>
      <c r="F1916" s="28" t="s">
        <v>2207</v>
      </c>
    </row>
    <row r="1917" spans="1:6" x14ac:dyDescent="0.2">
      <c r="A1917" s="30">
        <v>45928</v>
      </c>
      <c r="B1917" s="31" t="s">
        <v>1545</v>
      </c>
      <c r="C1917" s="28">
        <v>1020</v>
      </c>
      <c r="D1917" s="28" t="str">
        <f>_xlfn.XLOOKUP(B1917,'Payee Ref'!A:A,'Payee Ref'!B:B,"unassigned",0,1)</f>
        <v>Health &amp; Medical</v>
      </c>
      <c r="E1917" s="29" t="str">
        <f>_xlfn.XLOOKUP(B1917,'Payee Ref'!A:A,'Payee Ref'!C:C,"unassigned",0,1)</f>
        <v>Basic</v>
      </c>
      <c r="F1917" s="28" t="s">
        <v>2207</v>
      </c>
    </row>
    <row r="1918" spans="1:6" x14ac:dyDescent="0.2">
      <c r="A1918" s="30">
        <v>45822</v>
      </c>
      <c r="B1918" s="31" t="s">
        <v>1545</v>
      </c>
      <c r="C1918" s="28">
        <v>1020</v>
      </c>
      <c r="D1918" s="28" t="str">
        <f>_xlfn.XLOOKUP(B1918,'Payee Ref'!A:A,'Payee Ref'!B:B,"unassigned",0,1)</f>
        <v>Health &amp; Medical</v>
      </c>
      <c r="E1918" s="29" t="str">
        <f>_xlfn.XLOOKUP(B1918,'Payee Ref'!A:A,'Payee Ref'!C:C,"unassigned",0,1)</f>
        <v>Basic</v>
      </c>
      <c r="F1918" s="28" t="s">
        <v>2207</v>
      </c>
    </row>
    <row r="1919" spans="1:6" x14ac:dyDescent="0.2">
      <c r="A1919" s="30">
        <v>45737</v>
      </c>
      <c r="B1919" s="31" t="s">
        <v>1545</v>
      </c>
      <c r="C1919" s="28">
        <v>1020</v>
      </c>
      <c r="D1919" s="28" t="str">
        <f>_xlfn.XLOOKUP(B1919,'Payee Ref'!A:A,'Payee Ref'!B:B,"unassigned",0,1)</f>
        <v>Health &amp; Medical</v>
      </c>
      <c r="E1919" s="29" t="str">
        <f>_xlfn.XLOOKUP(B1919,'Payee Ref'!A:A,'Payee Ref'!C:C,"unassigned",0,1)</f>
        <v>Basic</v>
      </c>
      <c r="F1919" s="28" t="s">
        <v>2207</v>
      </c>
    </row>
    <row r="1920" spans="1:6" x14ac:dyDescent="0.2">
      <c r="A1920" s="30">
        <v>45983</v>
      </c>
      <c r="B1920" s="28" t="s">
        <v>1207</v>
      </c>
      <c r="C1920" s="28">
        <v>1020</v>
      </c>
      <c r="D1920" s="28" t="str">
        <f>_xlfn.XLOOKUP(B1920,'Payee Ref'!A:A,'Payee Ref'!B:B,"unassigned",0,1)</f>
        <v>Health &amp; Medical</v>
      </c>
      <c r="E1920" s="29" t="str">
        <f>_xlfn.XLOOKUP(B1920,'Payee Ref'!A:A,'Payee Ref'!C:C,"unassigned",0,1)</f>
        <v>Basic</v>
      </c>
      <c r="F1920" s="28" t="s">
        <v>2207</v>
      </c>
    </row>
    <row r="1921" spans="1:6" x14ac:dyDescent="0.2">
      <c r="A1921" s="30">
        <v>45694</v>
      </c>
      <c r="B1921" s="28" t="s">
        <v>2125</v>
      </c>
      <c r="C1921" s="28">
        <v>1029.3</v>
      </c>
      <c r="D1921" s="28" t="str">
        <f>_xlfn.XLOOKUP(B1921,'Payee Ref'!A:A,'Payee Ref'!B:B,"unassigned",0,1)</f>
        <v>Van</v>
      </c>
      <c r="E1921" s="29" t="str">
        <f>_xlfn.XLOOKUP(B1921,'Payee Ref'!A:A,'Payee Ref'!C:C,"unassigned",0,1)</f>
        <v>Luxury</v>
      </c>
      <c r="F1921" s="28" t="s">
        <v>2207</v>
      </c>
    </row>
    <row r="1922" spans="1:6" x14ac:dyDescent="0.2">
      <c r="A1922" s="30">
        <v>45752</v>
      </c>
      <c r="B1922" s="28" t="s">
        <v>2049</v>
      </c>
      <c r="C1922" s="28">
        <v>1031.58</v>
      </c>
      <c r="D1922" s="28" t="str">
        <f>_xlfn.XLOOKUP(B1922,'Payee Ref'!A:A,'Payee Ref'!B:B,"unassigned",0,1)</f>
        <v>Travel</v>
      </c>
      <c r="E1922" s="29" t="str">
        <f>_xlfn.XLOOKUP(B1922,'Payee Ref'!A:A,'Payee Ref'!C:C,"unassigned",0,1)</f>
        <v>Luxury</v>
      </c>
      <c r="F1922" s="28" t="s">
        <v>2207</v>
      </c>
    </row>
    <row r="1923" spans="1:6" x14ac:dyDescent="0.2">
      <c r="A1923" s="30">
        <v>45829</v>
      </c>
      <c r="B1923" s="31" t="s">
        <v>1922</v>
      </c>
      <c r="C1923" s="28">
        <v>1033.1500000000001</v>
      </c>
      <c r="D1923" s="28" t="str">
        <f>_xlfn.XLOOKUP(B1923,'Payee Ref'!A:A,'Payee Ref'!B:B,"unassigned",0,1)</f>
        <v>Auto</v>
      </c>
      <c r="E1923" s="29" t="str">
        <f>_xlfn.XLOOKUP(B1923,'Payee Ref'!A:A,'Payee Ref'!C:C,"unassigned",0,1)</f>
        <v>Basic</v>
      </c>
      <c r="F1923" s="28" t="s">
        <v>2207</v>
      </c>
    </row>
    <row r="1924" spans="1:6" x14ac:dyDescent="0.2">
      <c r="A1924" s="30">
        <v>45979</v>
      </c>
      <c r="B1924" s="28" t="s">
        <v>1558</v>
      </c>
      <c r="C1924" s="28">
        <v>1036</v>
      </c>
      <c r="D1924" s="28">
        <f>_xlfn.XLOOKUP(B1924,'Payee Ref'!A:A,'Payee Ref'!B:B,"unassigned",0,1)</f>
        <v>0</v>
      </c>
      <c r="E1924" s="29">
        <f>_xlfn.XLOOKUP(B1924,'Payee Ref'!A:A,'Payee Ref'!C:C,"unassigned",0,1)</f>
        <v>0</v>
      </c>
      <c r="F1924" s="28" t="s">
        <v>2207</v>
      </c>
    </row>
    <row r="1925" spans="1:6" x14ac:dyDescent="0.2">
      <c r="A1925" s="30">
        <v>45874</v>
      </c>
      <c r="B1925" s="28" t="s">
        <v>1750</v>
      </c>
      <c r="C1925" s="28">
        <v>1083.04</v>
      </c>
      <c r="D1925" s="28" t="str">
        <f>_xlfn.XLOOKUP(B1925,'Payee Ref'!A:A,'Payee Ref'!B:B,"unassigned",0,1)</f>
        <v>Auto</v>
      </c>
      <c r="E1925" s="29" t="str">
        <f>_xlfn.XLOOKUP(B1925,'Payee Ref'!A:A,'Payee Ref'!C:C,"unassigned",0,1)</f>
        <v>Basic</v>
      </c>
      <c r="F1925" s="28" t="s">
        <v>2207</v>
      </c>
    </row>
    <row r="1926" spans="1:6" x14ac:dyDescent="0.2">
      <c r="A1926" s="30">
        <v>45782</v>
      </c>
      <c r="B1926" s="28" t="s">
        <v>2011</v>
      </c>
      <c r="C1926" s="28">
        <v>1200</v>
      </c>
      <c r="D1926" s="28" t="str">
        <f>_xlfn.XLOOKUP(B1926,'Payee Ref'!A:A,'Payee Ref'!B:B,"unassigned",0,1)</f>
        <v>Charitable Contributions</v>
      </c>
      <c r="E1926" s="29" t="str">
        <f>_xlfn.XLOOKUP(B1926,'Payee Ref'!A:A,'Payee Ref'!C:C,"unassigned",0,1)</f>
        <v>Basic</v>
      </c>
      <c r="F1926" s="28" t="s">
        <v>2207</v>
      </c>
    </row>
    <row r="1927" spans="1:6" x14ac:dyDescent="0.2">
      <c r="A1927" s="30">
        <v>45915</v>
      </c>
      <c r="B1927" s="31" t="s">
        <v>1560</v>
      </c>
      <c r="C1927" s="28">
        <v>1233.43</v>
      </c>
      <c r="D1927" s="28" t="str">
        <f>_xlfn.XLOOKUP(B1927,'Payee Ref'!A:A,'Payee Ref'!B:B,"unassigned",0,1)</f>
        <v>Insurance</v>
      </c>
      <c r="E1927" s="29" t="str">
        <f>_xlfn.XLOOKUP(B1927,'Payee Ref'!A:A,'Payee Ref'!C:C,"unassigned",0,1)</f>
        <v>Basic</v>
      </c>
      <c r="F1927" s="28" t="s">
        <v>2207</v>
      </c>
    </row>
    <row r="1928" spans="1:6" x14ac:dyDescent="0.2">
      <c r="A1928" s="30">
        <v>45884</v>
      </c>
      <c r="B1928" s="31" t="s">
        <v>1560</v>
      </c>
      <c r="C1928" s="28">
        <v>1233.43</v>
      </c>
      <c r="D1928" s="28" t="str">
        <f>_xlfn.XLOOKUP(B1928,'Payee Ref'!A:A,'Payee Ref'!B:B,"unassigned",0,1)</f>
        <v>Insurance</v>
      </c>
      <c r="E1928" s="29" t="str">
        <f>_xlfn.XLOOKUP(B1928,'Payee Ref'!A:A,'Payee Ref'!C:C,"unassigned",0,1)</f>
        <v>Basic</v>
      </c>
      <c r="F1928" s="28" t="s">
        <v>2207</v>
      </c>
    </row>
    <row r="1929" spans="1:6" x14ac:dyDescent="0.2">
      <c r="A1929" s="30">
        <v>45945</v>
      </c>
      <c r="B1929" s="28" t="s">
        <v>791</v>
      </c>
      <c r="C1929" s="28">
        <v>1233.43</v>
      </c>
      <c r="D1929" s="28" t="str">
        <f>_xlfn.XLOOKUP(B1929,'Payee Ref'!A:A,'Payee Ref'!B:B,"unassigned",0,1)</f>
        <v>Insurance</v>
      </c>
      <c r="E1929" s="29" t="str">
        <f>_xlfn.XLOOKUP(B1929,'Payee Ref'!A:A,'Payee Ref'!C:C,"unassigned",0,1)</f>
        <v>Basic</v>
      </c>
      <c r="F1929" s="28" t="s">
        <v>2207</v>
      </c>
    </row>
    <row r="1930" spans="1:6" x14ac:dyDescent="0.2">
      <c r="A1930" s="30">
        <v>45977</v>
      </c>
      <c r="B1930" s="28" t="s">
        <v>791</v>
      </c>
      <c r="C1930" s="28">
        <v>1233.47</v>
      </c>
      <c r="D1930" s="28" t="str">
        <f>_xlfn.XLOOKUP(B1930,'Payee Ref'!A:A,'Payee Ref'!B:B,"unassigned",0,1)</f>
        <v>Insurance</v>
      </c>
      <c r="E1930" s="29" t="str">
        <f>_xlfn.XLOOKUP(B1930,'Payee Ref'!A:A,'Payee Ref'!C:C,"unassigned",0,1)</f>
        <v>Basic</v>
      </c>
      <c r="F1930" s="28" t="s">
        <v>2207</v>
      </c>
    </row>
    <row r="1931" spans="1:6" x14ac:dyDescent="0.2">
      <c r="A1931" s="30">
        <v>46006</v>
      </c>
      <c r="B1931" s="28" t="s">
        <v>790</v>
      </c>
      <c r="C1931" s="28">
        <v>1233.93</v>
      </c>
      <c r="D1931" s="29"/>
      <c r="E1931" s="29" t="str">
        <f>_xlfn.XLOOKUP(B1931,'Payee Ref'!A:A,'Payee Ref'!C:C,"unassigned",0,1)</f>
        <v>Basic</v>
      </c>
      <c r="F1931" s="28" t="s">
        <v>2207</v>
      </c>
    </row>
    <row r="1932" spans="1:6" x14ac:dyDescent="0.2">
      <c r="A1932" s="30">
        <v>45823</v>
      </c>
      <c r="B1932" s="31" t="s">
        <v>1560</v>
      </c>
      <c r="C1932" s="28">
        <v>1255.5899999999999</v>
      </c>
      <c r="D1932" s="28" t="str">
        <f>_xlfn.XLOOKUP(B1932,'Payee Ref'!A:A,'Payee Ref'!B:B,"unassigned",0,1)</f>
        <v>Insurance</v>
      </c>
      <c r="E1932" s="29" t="str">
        <f>_xlfn.XLOOKUP(B1932,'Payee Ref'!A:A,'Payee Ref'!C:C,"unassigned",0,1)</f>
        <v>Basic</v>
      </c>
      <c r="F1932" s="28" t="s">
        <v>2207</v>
      </c>
    </row>
    <row r="1933" spans="1:6" x14ac:dyDescent="0.2">
      <c r="A1933" s="30">
        <v>45792</v>
      </c>
      <c r="B1933" s="31" t="s">
        <v>1560</v>
      </c>
      <c r="C1933" s="28">
        <v>1255.6500000000001</v>
      </c>
      <c r="D1933" s="28" t="str">
        <f>_xlfn.XLOOKUP(B1933,'Payee Ref'!A:A,'Payee Ref'!B:B,"unassigned",0,1)</f>
        <v>Insurance</v>
      </c>
      <c r="E1933" s="29" t="str">
        <f>_xlfn.XLOOKUP(B1933,'Payee Ref'!A:A,'Payee Ref'!C:C,"unassigned",0,1)</f>
        <v>Basic</v>
      </c>
      <c r="F1933" s="28" t="s">
        <v>2207</v>
      </c>
    </row>
    <row r="1934" spans="1:6" x14ac:dyDescent="0.2">
      <c r="A1934" s="30">
        <v>45762</v>
      </c>
      <c r="B1934" s="31" t="s">
        <v>1560</v>
      </c>
      <c r="C1934" s="28">
        <v>1255.6500000000001</v>
      </c>
      <c r="D1934" s="28" t="str">
        <f>_xlfn.XLOOKUP(B1934,'Payee Ref'!A:A,'Payee Ref'!B:B,"unassigned",0,1)</f>
        <v>Insurance</v>
      </c>
      <c r="E1934" s="29" t="str">
        <f>_xlfn.XLOOKUP(B1934,'Payee Ref'!A:A,'Payee Ref'!C:C,"unassigned",0,1)</f>
        <v>Basic</v>
      </c>
      <c r="F1934" s="28" t="s">
        <v>2207</v>
      </c>
    </row>
    <row r="1935" spans="1:6" x14ac:dyDescent="0.2">
      <c r="A1935" s="30">
        <v>45731</v>
      </c>
      <c r="B1935" s="31" t="s">
        <v>1560</v>
      </c>
      <c r="C1935" s="28">
        <v>1255.6500000000001</v>
      </c>
      <c r="D1935" s="28" t="str">
        <f>_xlfn.XLOOKUP(B1935,'Payee Ref'!A:A,'Payee Ref'!B:B,"unassigned",0,1)</f>
        <v>Insurance</v>
      </c>
      <c r="E1935" s="29" t="str">
        <f>_xlfn.XLOOKUP(B1935,'Payee Ref'!A:A,'Payee Ref'!C:C,"unassigned",0,1)</f>
        <v>Basic</v>
      </c>
      <c r="F1935" s="28" t="s">
        <v>2207</v>
      </c>
    </row>
    <row r="1936" spans="1:6" x14ac:dyDescent="0.2">
      <c r="A1936" s="30">
        <v>45703</v>
      </c>
      <c r="B1936" s="31" t="s">
        <v>1560</v>
      </c>
      <c r="C1936" s="28">
        <v>1255.6500000000001</v>
      </c>
      <c r="D1936" s="28" t="str">
        <f>_xlfn.XLOOKUP(B1936,'Payee Ref'!A:A,'Payee Ref'!B:B,"unassigned",0,1)</f>
        <v>Insurance</v>
      </c>
      <c r="E1936" s="29" t="str">
        <f>_xlfn.XLOOKUP(B1936,'Payee Ref'!A:A,'Payee Ref'!C:C,"unassigned",0,1)</f>
        <v>Basic</v>
      </c>
      <c r="F1936" s="28" t="s">
        <v>2207</v>
      </c>
    </row>
    <row r="1937" spans="1:6" x14ac:dyDescent="0.2">
      <c r="A1937" s="30">
        <v>45853</v>
      </c>
      <c r="B1937" s="31" t="s">
        <v>1560</v>
      </c>
      <c r="C1937" s="28">
        <v>1288.96</v>
      </c>
      <c r="D1937" s="28" t="str">
        <f>_xlfn.XLOOKUP(B1937,'Payee Ref'!A:A,'Payee Ref'!B:B,"unassigned",0,1)</f>
        <v>Insurance</v>
      </c>
      <c r="E1937" s="29" t="str">
        <f>_xlfn.XLOOKUP(B1937,'Payee Ref'!A:A,'Payee Ref'!C:C,"unassigned",0,1)</f>
        <v>Basic</v>
      </c>
      <c r="F1937" s="28" t="s">
        <v>2207</v>
      </c>
    </row>
    <row r="1938" spans="1:6" x14ac:dyDescent="0.2">
      <c r="A1938" s="30">
        <v>45697</v>
      </c>
      <c r="B1938" s="31" t="s">
        <v>1545</v>
      </c>
      <c r="C1938" s="28">
        <v>1360</v>
      </c>
      <c r="D1938" s="28" t="str">
        <f>_xlfn.XLOOKUP(B1938,'Payee Ref'!A:A,'Payee Ref'!B:B,"unassigned",0,1)</f>
        <v>Health &amp; Medical</v>
      </c>
      <c r="E1938" s="29" t="str">
        <f>_xlfn.XLOOKUP(B1938,'Payee Ref'!A:A,'Payee Ref'!C:C,"unassigned",0,1)</f>
        <v>Basic</v>
      </c>
      <c r="F1938" s="28" t="s">
        <v>2207</v>
      </c>
    </row>
    <row r="1939" spans="1:6" x14ac:dyDescent="0.2">
      <c r="A1939" s="30">
        <v>45672</v>
      </c>
      <c r="B1939" s="31" t="s">
        <v>1560</v>
      </c>
      <c r="C1939" s="28">
        <v>1418.43</v>
      </c>
      <c r="D1939" s="28" t="str">
        <f>_xlfn.XLOOKUP(B1939,'Payee Ref'!A:A,'Payee Ref'!B:B,"unassigned",0,1)</f>
        <v>Insurance</v>
      </c>
      <c r="E1939" s="29" t="str">
        <f>_xlfn.XLOOKUP(B1939,'Payee Ref'!A:A,'Payee Ref'!C:C,"unassigned",0,1)</f>
        <v>Basic</v>
      </c>
      <c r="F1939" s="28" t="s">
        <v>2207</v>
      </c>
    </row>
    <row r="1940" spans="1:6" x14ac:dyDescent="0.2">
      <c r="A1940" s="30">
        <v>45739</v>
      </c>
      <c r="B1940" s="28" t="s">
        <v>2072</v>
      </c>
      <c r="C1940" s="28">
        <v>1427.5</v>
      </c>
      <c r="D1940" s="28" t="str">
        <f>_xlfn.XLOOKUP(B1940,'Payee Ref'!A:A,'Payee Ref'!B:B,"unassigned",0,1)</f>
        <v>Health &amp; Medical</v>
      </c>
      <c r="E1940" s="29" t="str">
        <f>_xlfn.XLOOKUP(B1940,'Payee Ref'!A:A,'Payee Ref'!C:C,"unassigned",0,1)</f>
        <v>Basic</v>
      </c>
      <c r="F1940" s="28" t="s">
        <v>2207</v>
      </c>
    </row>
    <row r="1941" spans="1:6" x14ac:dyDescent="0.2">
      <c r="A1941" s="30">
        <v>45723</v>
      </c>
      <c r="B1941" s="28" t="s">
        <v>2100</v>
      </c>
      <c r="C1941" s="28">
        <v>1547.11</v>
      </c>
      <c r="D1941" s="28" t="str">
        <f>_xlfn.XLOOKUP(B1941,'Payee Ref'!A:A,'Payee Ref'!B:B,"unassigned",0,1)</f>
        <v>Charitable Contributions</v>
      </c>
      <c r="E1941" s="29" t="str">
        <f>_xlfn.XLOOKUP(B1941,'Payee Ref'!A:A,'Payee Ref'!C:C,"unassigned",0,1)</f>
        <v>Basic</v>
      </c>
      <c r="F1941" s="28" t="s">
        <v>2207</v>
      </c>
    </row>
    <row r="1942" spans="1:6" x14ac:dyDescent="0.2">
      <c r="A1942" s="30">
        <v>45795</v>
      </c>
      <c r="B1942" s="28" t="s">
        <v>1828</v>
      </c>
      <c r="C1942" s="28">
        <v>1595.61</v>
      </c>
      <c r="D1942" s="28" t="str">
        <f>_xlfn.XLOOKUP(B1942,'Payee Ref'!A:A,'Payee Ref'!B:B,"unassigned",0,1)</f>
        <v>Extracirricular</v>
      </c>
      <c r="E1942" s="29" t="str">
        <f>_xlfn.XLOOKUP(B1942,'Payee Ref'!A:A,'Payee Ref'!C:C,"unassigned",0,1)</f>
        <v>Basic</v>
      </c>
      <c r="F1942" s="28" t="s">
        <v>2207</v>
      </c>
    </row>
    <row r="1943" spans="1:6" x14ac:dyDescent="0.2">
      <c r="A1943" s="30">
        <v>45822</v>
      </c>
      <c r="B1943" s="31" t="s">
        <v>1545</v>
      </c>
      <c r="C1943" s="28">
        <v>1700</v>
      </c>
      <c r="D1943" s="28" t="str">
        <f>_xlfn.XLOOKUP(B1943,'Payee Ref'!A:A,'Payee Ref'!B:B,"unassigned",0,1)</f>
        <v>Health &amp; Medical</v>
      </c>
      <c r="E1943" s="29" t="str">
        <f>_xlfn.XLOOKUP(B1943,'Payee Ref'!A:A,'Payee Ref'!C:C,"unassigned",0,1)</f>
        <v>Basic</v>
      </c>
      <c r="F1943" s="28" t="s">
        <v>2207</v>
      </c>
    </row>
    <row r="1944" spans="1:6" x14ac:dyDescent="0.2">
      <c r="A1944" s="30">
        <v>45866</v>
      </c>
      <c r="B1944" s="28" t="s">
        <v>1792</v>
      </c>
      <c r="C1944" s="28">
        <v>2000</v>
      </c>
      <c r="D1944" s="28" t="str">
        <f>_xlfn.XLOOKUP(B1944,'Payee Ref'!A:A,'Payee Ref'!B:B,"unassigned",0,1)</f>
        <v>Van</v>
      </c>
      <c r="E1944" s="29" t="str">
        <f>_xlfn.XLOOKUP(B1944,'Payee Ref'!A:A,'Payee Ref'!C:C,"unassigned",0,1)</f>
        <v>Luxury</v>
      </c>
      <c r="F1944" s="28" t="s">
        <v>2207</v>
      </c>
    </row>
    <row r="1945" spans="1:6" x14ac:dyDescent="0.2">
      <c r="A1945" s="30">
        <v>45747</v>
      </c>
      <c r="B1945" s="28" t="s">
        <v>2055</v>
      </c>
      <c r="C1945" s="28">
        <v>2083.13</v>
      </c>
      <c r="D1945" s="28" t="str">
        <f>_xlfn.XLOOKUP(B1945,'Payee Ref'!A:A,'Payee Ref'!B:B,"unassigned",0,1)</f>
        <v>Travel</v>
      </c>
      <c r="E1945" s="29" t="str">
        <f>_xlfn.XLOOKUP(B1945,'Payee Ref'!A:A,'Payee Ref'!C:C,"unassigned",0,1)</f>
        <v>Luxury</v>
      </c>
      <c r="F1945" s="28" t="s">
        <v>2207</v>
      </c>
    </row>
    <row r="1946" spans="1:6" x14ac:dyDescent="0.2">
      <c r="A1946" s="30">
        <v>45724</v>
      </c>
      <c r="B1946" s="28" t="s">
        <v>2097</v>
      </c>
      <c r="C1946" s="28">
        <v>2384.09</v>
      </c>
      <c r="D1946" s="28" t="str">
        <f>_xlfn.XLOOKUP(B1946,'Payee Ref'!A:A,'Payee Ref'!B:B,"unassigned",0,1)</f>
        <v>Auto</v>
      </c>
      <c r="E1946" s="29" t="str">
        <f>_xlfn.XLOOKUP(B1946,'Payee Ref'!A:A,'Payee Ref'!C:C,"unassigned",0,1)</f>
        <v>Basic</v>
      </c>
      <c r="F1946" s="28" t="s">
        <v>2207</v>
      </c>
    </row>
    <row r="1947" spans="1:6" x14ac:dyDescent="0.2">
      <c r="A1947" s="30">
        <v>45822</v>
      </c>
      <c r="B1947" s="28" t="s">
        <v>1940</v>
      </c>
      <c r="C1947" s="28">
        <v>2491.35</v>
      </c>
      <c r="D1947" s="28" t="str">
        <f>_xlfn.XLOOKUP(B1947,'Payee Ref'!A:A,'Payee Ref'!B:B,"unassigned",0,1)</f>
        <v>Travel</v>
      </c>
      <c r="E1947" s="29" t="str">
        <f>_xlfn.XLOOKUP(B1947,'Payee Ref'!A:A,'Payee Ref'!C:C,"unassigned",0,1)</f>
        <v>Luxury</v>
      </c>
      <c r="F1947" s="28" t="s">
        <v>2207</v>
      </c>
    </row>
    <row r="1948" spans="1:6" x14ac:dyDescent="0.2">
      <c r="A1948" s="30">
        <v>45822</v>
      </c>
      <c r="B1948" s="28" t="s">
        <v>1940</v>
      </c>
      <c r="C1948" s="28">
        <v>2491.35</v>
      </c>
      <c r="D1948" s="28" t="str">
        <f>_xlfn.XLOOKUP(B1948,'Payee Ref'!A:A,'Payee Ref'!B:B,"unassigned",0,1)</f>
        <v>Travel</v>
      </c>
      <c r="E1948" s="29" t="str">
        <f>_xlfn.XLOOKUP(B1948,'Payee Ref'!A:A,'Payee Ref'!C:C,"unassigned",0,1)</f>
        <v>Luxury</v>
      </c>
      <c r="F1948" s="28" t="s">
        <v>2207</v>
      </c>
    </row>
    <row r="1949" spans="1:6" x14ac:dyDescent="0.2">
      <c r="A1949" s="30">
        <v>45966</v>
      </c>
      <c r="B1949" s="28" t="s">
        <v>492</v>
      </c>
      <c r="C1949" s="28">
        <v>2800</v>
      </c>
      <c r="D1949" s="28" t="str">
        <f>_xlfn.XLOOKUP(B1949,'Payee Ref'!A:A,'Payee Ref'!B:B,"unassigned",0,1)</f>
        <v>Transfer</v>
      </c>
      <c r="E1949" s="29" t="str">
        <f>_xlfn.XLOOKUP(B1949,'Payee Ref'!A:A,'Payee Ref'!C:C,"unassigned",0,1)</f>
        <v>Basic</v>
      </c>
      <c r="F1949" s="28" t="s">
        <v>2207</v>
      </c>
    </row>
    <row r="1950" spans="1:6" x14ac:dyDescent="0.2">
      <c r="A1950" s="30">
        <v>45782</v>
      </c>
      <c r="B1950" s="28" t="s">
        <v>1568</v>
      </c>
      <c r="C1950" s="28">
        <v>3000</v>
      </c>
      <c r="D1950" s="28" t="str">
        <f>_xlfn.XLOOKUP(B1950,'Payee Ref'!A:A,'Payee Ref'!B:B,"unassigned",0,1)</f>
        <v>Credit Card Payment</v>
      </c>
      <c r="E1950" s="29" t="str">
        <f>_xlfn.XLOOKUP(B1950,'Payee Ref'!A:A,'Payee Ref'!C:C,"unassigned",0,1)</f>
        <v>Basic</v>
      </c>
      <c r="F1950" s="28" t="s">
        <v>2207</v>
      </c>
    </row>
    <row r="1951" spans="1:6" x14ac:dyDescent="0.2">
      <c r="A1951" s="30">
        <v>45721</v>
      </c>
      <c r="B1951" s="28" t="s">
        <v>1568</v>
      </c>
      <c r="C1951" s="28">
        <v>3700</v>
      </c>
      <c r="D1951" s="28" t="str">
        <f>_xlfn.XLOOKUP(B1951,'Payee Ref'!A:A,'Payee Ref'!B:B,"unassigned",0,1)</f>
        <v>Credit Card Payment</v>
      </c>
      <c r="E1951" s="29" t="str">
        <f>_xlfn.XLOOKUP(B1951,'Payee Ref'!A:A,'Payee Ref'!C:C,"unassigned",0,1)</f>
        <v>Basic</v>
      </c>
      <c r="F1951" s="28" t="s">
        <v>2207</v>
      </c>
    </row>
    <row r="1952" spans="1:6" x14ac:dyDescent="0.2">
      <c r="A1952" s="30">
        <v>45936</v>
      </c>
      <c r="B1952" s="28" t="s">
        <v>492</v>
      </c>
      <c r="C1952" s="28">
        <v>4200</v>
      </c>
      <c r="D1952" s="28" t="str">
        <f>_xlfn.XLOOKUP(B1952,'Payee Ref'!A:A,'Payee Ref'!B:B,"unassigned",0,1)</f>
        <v>Transfer</v>
      </c>
      <c r="E1952" s="29" t="str">
        <f>_xlfn.XLOOKUP(B1952,'Payee Ref'!A:A,'Payee Ref'!C:C,"unassigned",0,1)</f>
        <v>Basic</v>
      </c>
      <c r="F1952" s="28" t="s">
        <v>2207</v>
      </c>
    </row>
    <row r="1953" spans="1:6" x14ac:dyDescent="0.2">
      <c r="A1953" s="30">
        <v>45899</v>
      </c>
      <c r="B1953" s="28" t="s">
        <v>1678</v>
      </c>
      <c r="C1953" s="28">
        <v>8097.57</v>
      </c>
      <c r="D1953" s="28" t="str">
        <f>_xlfn.XLOOKUP(B1953,'Payee Ref'!A:A,'Payee Ref'!B:B,"unassigned",0,1)</f>
        <v>Travel</v>
      </c>
      <c r="E1953" s="29" t="str">
        <f>_xlfn.XLOOKUP(B1953,'Payee Ref'!A:A,'Payee Ref'!C:C,"unassigned",0,1)</f>
        <v>Luxury</v>
      </c>
      <c r="F1953" s="28" t="s">
        <v>2207</v>
      </c>
    </row>
    <row r="1954" spans="1:6" x14ac:dyDescent="0.2">
      <c r="A1954" s="30">
        <v>45862</v>
      </c>
      <c r="B1954" s="28" t="s">
        <v>1807</v>
      </c>
      <c r="C1954" s="28">
        <v>9010.41</v>
      </c>
      <c r="D1954" s="28" t="str">
        <f>_xlfn.XLOOKUP(B1954,'Payee Ref'!A:A,'Payee Ref'!B:B,"unassigned",0,1)</f>
        <v>Van</v>
      </c>
      <c r="E1954" s="29" t="str">
        <f>_xlfn.XLOOKUP(B1954,'Payee Ref'!A:A,'Payee Ref'!C:C,"unassigned",0,1)</f>
        <v>Luxury</v>
      </c>
      <c r="F1954" s="28" t="s">
        <v>2207</v>
      </c>
    </row>
  </sheetData>
  <hyperlinks>
    <hyperlink ref="B1434" r:id="rId1" display="http://tonal.com/" xr:uid="{79EBBB2C-5F8A-894B-A693-F69F275F5606}"/>
    <hyperlink ref="B1384" r:id="rId2" display="http://brownpapertickets.com/" xr:uid="{F87CD537-1D8C-734C-B90B-160ED10ABFF3}"/>
    <hyperlink ref="B710" r:id="rId3" display="http://libro.fm/" xr:uid="{00053082-4EE7-AC4F-8BC6-5234561A4ED4}"/>
    <hyperlink ref="B1435" r:id="rId4" display="http://tonal.com/" xr:uid="{A3DB6FC4-BE23-B045-8AE0-1CD227B0F9EB}"/>
    <hyperlink ref="B711" r:id="rId5" display="http://libro.fm/" xr:uid="{A4C485E8-8CC0-3843-B52D-3F15908C23FD}"/>
    <hyperlink ref="B1855" r:id="rId6" display="http://thefp.com/" xr:uid="{F3725092-9652-6A46-B731-AF37F794C8D5}"/>
    <hyperlink ref="B49" r:id="rId7" location="CA" display="http://g.co/HelpPay - CA" xr:uid="{059C25FD-54F7-3D45-9746-832D907D6765}"/>
    <hyperlink ref="B1917" r:id="rId8" display="http://pllcgosq.com/" xr:uid="{A40A73C5-AE6C-D941-851F-811F8C212766}"/>
    <hyperlink ref="B1903" r:id="rId9" display="http://pllcgosq.com/" xr:uid="{4B3A8B4B-29F4-9942-A1ED-B81196DE7532}"/>
    <hyperlink ref="B1626" r:id="rId10" display="http://www.rowlandphoto.com/" xr:uid="{5E87A8A3-3F5D-AD40-868C-F75D28DECE3E}"/>
    <hyperlink ref="B1724" r:id="rId11" display="http://gosq.com/" xr:uid="{84A2D133-DEA8-3644-A9F0-2908FFD59C9C}"/>
    <hyperlink ref="B1127" r:id="rId12" display="http://apple.com/BILL" xr:uid="{66EE458D-C9B5-8342-A958-69F21AC9791E}"/>
    <hyperlink ref="B1425" r:id="rId13" display="http://tonal.com/" xr:uid="{3C2F2300-3DCC-E94D-97B8-17CC8E84D0CE}"/>
    <hyperlink ref="B712" r:id="rId14" display="http://apple.com/BILL" xr:uid="{1F0FF5A2-14D9-B041-B70B-40F114DD9D6D}"/>
    <hyperlink ref="B1811" r:id="rId15" display="http://www.inua.groumt/" xr:uid="{124E1781-BFC6-9B41-8E28-D0ED756CF0AB}"/>
    <hyperlink ref="B451" r:id="rId16" display="http://apple.com/BILL" xr:uid="{B56D5AA8-DCD1-7E40-9078-F19DEF1C84F6}"/>
    <hyperlink ref="B1927" r:id="rId17" display="http://www.usaa.com/" xr:uid="{CBAD77B4-FEEC-0349-A612-51DE9E3DF970}"/>
    <hyperlink ref="B1238" r:id="rId18" display="http://apple.com/BILL" xr:uid="{0CD2FC6C-8077-1041-9694-41A85A783565}"/>
    <hyperlink ref="B399" r:id="rId19" display="http://apple.com/BILL" xr:uid="{49E939C6-DD7B-7243-BF9A-E2638DC43E05}"/>
    <hyperlink ref="B1725" r:id="rId20" display="http://gosq.com/" xr:uid="{E94D4F13-2F98-AF4B-89CC-F53D8E6F67A1}"/>
    <hyperlink ref="B1726" r:id="rId21" display="http://gosq.com/" xr:uid="{02E2A62C-32BD-BA45-A438-E3A7670CE722}"/>
    <hyperlink ref="B201" r:id="rId22" display="http://spothero.com/" xr:uid="{F5A46D4B-B6BD-3143-B94D-E397BD593747}"/>
    <hyperlink ref="B1833" r:id="rId23" display="http://apple.com/BILL" xr:uid="{CA9F9CB8-9B4A-3C4A-AD04-B9BE496CAC65}"/>
    <hyperlink ref="B1835" r:id="rId24" display="http://linkedin.com/WA" xr:uid="{4D26A486-541E-7B40-BC40-278CD3C8EEE3}"/>
    <hyperlink ref="B1128" r:id="rId25" display="http://apple.com/BILL" xr:uid="{0FEC580A-2F95-8E4C-A7FF-035CE3BADC0B}"/>
    <hyperlink ref="B1426" r:id="rId26" display="http://tonal.com/" xr:uid="{1494D2AD-BC03-4C44-BFF0-7F891392BC75}"/>
    <hyperlink ref="B1407" r:id="rId27" display="http://etsy.com/" xr:uid="{B7719F00-0065-A947-8CA9-4C7F1DED826F}"/>
    <hyperlink ref="B1727" r:id="rId28" display="http://gosq.com/" xr:uid="{46BC9DE8-7F7D-6C4F-B547-766AEDB0A3EB}"/>
    <hyperlink ref="B1728" r:id="rId29" display="http://gosq.com/" xr:uid="{5F8777CE-F401-4B44-9ADA-B141FC10C53A}"/>
    <hyperlink ref="B1186" r:id="rId30" display="http://amzn.com/billWA" xr:uid="{D62B0EBB-55F3-EC47-B477-EFB772CCA79A}"/>
    <hyperlink ref="B452" r:id="rId31" display="http://apple.com/BILL" xr:uid="{9E78BF02-6B2C-7545-9D96-706D051E3BB6}"/>
    <hyperlink ref="B460" r:id="rId32" display="http://apple.com/BILL" xr:uid="{070E237B-1B06-374F-B1FC-971009DE4730}"/>
    <hyperlink ref="B1729" r:id="rId33" display="http://gosq.com/" xr:uid="{74598415-4BF3-1D4F-8FA8-774BF32B4ACD}"/>
    <hyperlink ref="B1730" r:id="rId34" display="http://gosq.com/" xr:uid="{DC845BD3-1C46-4347-A967-7C303D36B23B}"/>
    <hyperlink ref="B1928" r:id="rId35" display="http://www.usaa.com/" xr:uid="{E1E865E5-2728-2D40-B0A0-3E6625CA8D12}"/>
    <hyperlink ref="B787" r:id="rId36" display="http://mdseelig.com/" xr:uid="{B932FC0C-7C4E-854F-B025-F399E1374A58}"/>
    <hyperlink ref="B400" r:id="rId37" display="http://apple.com/BILL" xr:uid="{1D05D4E4-A9EC-8341-9440-ECC887754586}"/>
    <hyperlink ref="B1688" r:id="rId38" display="http://etsy.com/" xr:uid="{78652CAA-1AB7-0049-B81F-E3B2E4C3B6EF}"/>
    <hyperlink ref="B1612" r:id="rId39" display="http://doordash.com/" xr:uid="{9C98CEC2-3BFB-1442-9DBB-953CCDA3B7CE}"/>
    <hyperlink ref="B1731" r:id="rId40" display="http://gosq.com/" xr:uid="{A8AAB047-015D-0D40-948B-9238327A9490}"/>
    <hyperlink ref="B34" r:id="rId41" display="http://amzn.com/bil" xr:uid="{6B86FAFA-C63F-FE43-B83C-66D6A3717DB6}"/>
    <hyperlink ref="B1891" r:id="rId42" display="http://www.costco.cowa/" xr:uid="{61E08B2F-CA04-2B4B-93E2-CBE6F6EC4158}"/>
    <hyperlink ref="B982" r:id="rId43" display="http://hulu.com/billCA" xr:uid="{1AC54B81-6A38-C741-8859-DCBD6EBF776D}"/>
    <hyperlink ref="B162" r:id="rId44" display="http://apple.com/BILL" xr:uid="{363512E4-2342-CA4C-ACE1-74B17F9D20AC}"/>
    <hyperlink ref="B1624" r:id="rId45" display="http://www.jfsseattle.org/" xr:uid="{631BDC26-C142-F14E-9225-6840A3E9EE21}"/>
    <hyperlink ref="B1468" r:id="rId46" display="http://www.corryscleaning.com/" xr:uid="{F2C71212-BBFB-A748-AC14-184CF8C38FF1}"/>
    <hyperlink ref="B1809" r:id="rId47" display="http://www.corryscleaning.com/" xr:uid="{D8C3BB44-7A6A-EB4D-ACCD-7E6251422E25}"/>
    <hyperlink ref="B1732" r:id="rId48" display="http://gosq.com/" xr:uid="{0648504C-60BC-D945-9F23-C6B643535F57}"/>
    <hyperlink ref="B1733" r:id="rId49" display="http://gosq.com/" xr:uid="{142748B4-49F8-6742-A790-D82C1AFD978E}"/>
    <hyperlink ref="B1129" r:id="rId50" display="http://apple.com/BILL" xr:uid="{342335B5-281B-AC40-8557-4B74307687BA}"/>
    <hyperlink ref="B1705" r:id="rId51" display="http://expedia.com/" xr:uid="{90914E72-EF96-5543-B3A3-F4E398EF69CB}"/>
    <hyperlink ref="B1427" r:id="rId52" display="http://tonal.com/" xr:uid="{E06A5451-D10B-D94E-8A3F-78498491173B}"/>
    <hyperlink ref="B453" r:id="rId53" display="http://apple.com/BILL" xr:uid="{6965815A-0F69-EE4C-B859-365114F71C3C}"/>
    <hyperlink ref="B1149" r:id="rId54" display="http://amzn.com/billWA" xr:uid="{7774091E-E7FB-904B-A32A-129BF0CEBE28}"/>
    <hyperlink ref="B1734" r:id="rId55" display="http://gosq.com/" xr:uid="{A82DA419-675A-8E43-830B-354F801536D3}"/>
    <hyperlink ref="B1657" r:id="rId56" display="http://apple.com/BILL" xr:uid="{40CE9592-F216-8F4C-91BF-24E6F493476D}"/>
    <hyperlink ref="B1735" r:id="rId57" display="http://gosq.com/" xr:uid="{0BB1E073-C4CD-F443-A6CB-526885F63458}"/>
    <hyperlink ref="B903" r:id="rId58" display="http://amzn.com/billWA" xr:uid="{427260CF-19FB-424F-938F-26ADCC58AE0E}"/>
    <hyperlink ref="B163" r:id="rId59" display="http://apple.com/BILL" xr:uid="{AC9133C8-CC31-AA48-A2B2-DD48E4966105}"/>
    <hyperlink ref="B1888" r:id="rId60" display="http://www.costco.cowa/" xr:uid="{5887B651-6729-FF41-AA87-9E115D2CD41D}"/>
    <hyperlink ref="B1937" r:id="rId61" display="http://www.usaa.com/" xr:uid="{B855DAA7-AC20-CD49-BCDB-284B6531F969}"/>
    <hyperlink ref="B1226" r:id="rId62" display="http://srsmrktplace.com/" xr:uid="{8874A218-438D-934D-BDEC-BA4F992B6503}"/>
    <hyperlink ref="B1077" r:id="rId63" display="http://netflix.com/" xr:uid="{36B7D23D-1D8E-6B48-B278-21F5CCBD50B9}"/>
    <hyperlink ref="B788" r:id="rId64" display="http://mdseelig.com/" xr:uid="{1D6EB09F-E3DE-D44D-AD05-2F0604F8B9D3}"/>
    <hyperlink ref="B1182" r:id="rId65" display="http://www.dropps.coil/" xr:uid="{4ADD3D5A-04A7-8448-A726-0F570351B40B}"/>
    <hyperlink ref="B943" r:id="rId66" display="http://amzn.com/billWA" xr:uid="{4C2F42A2-B85D-2F4D-BA8E-ECBBE71BB520}"/>
    <hyperlink ref="B401" r:id="rId67" display="http://apple.com/BILL" xr:uid="{184F65A8-D5C5-0E42-896D-A5794877324A}"/>
    <hyperlink ref="B468" r:id="rId68" display="http://amzn.com/billWA" xr:uid="{17326F4D-9F5C-AD48-920E-784705BD1A54}"/>
    <hyperlink ref="B1443" r:id="rId69" display="http://amzn.com/billWA" xr:uid="{F29E84F3-2462-CF41-B520-D3AB14BE3A99}"/>
    <hyperlink ref="B1736" r:id="rId70" display="http://gosq.com/" xr:uid="{7C4118CE-B8F9-C74F-9D51-F3861E4E55A9}"/>
    <hyperlink ref="B496" r:id="rId71" display="http://doordash.com/" xr:uid="{65832103-C7F3-AA4F-A872-11AC561C6880}"/>
    <hyperlink ref="B1721" r:id="rId72" display="http://doordash.com/" xr:uid="{2B9EB035-6F63-8B44-B0A9-7BBD43F7C391}"/>
    <hyperlink ref="B1737" r:id="rId73" display="http://gosq.com/" xr:uid="{4F5CA542-B35A-324C-8B62-445B411743EC}"/>
    <hyperlink ref="B1738" r:id="rId74" display="http://gosq.com/" xr:uid="{7632EA58-BC6D-8B4E-9763-C4393E1AE363}"/>
    <hyperlink ref="B1860" r:id="rId75" display="http://amzn.com/billWA" xr:uid="{6FFFDF72-D9EB-284E-8CC6-6C3DCBE6F532}"/>
    <hyperlink ref="B1739" r:id="rId76" display="http://www.inua.groumt/" xr:uid="{E5A36FC8-E035-3941-84ED-33BB5C62AC00}"/>
    <hyperlink ref="B40" r:id="rId77" location="CA" display="http://g.co/HelpPay - CA" xr:uid="{B514F472-DD10-0C45-9042-0CD11D9433AA}"/>
    <hyperlink ref="B1585" r:id="rId78" display="http://dmoose.com/" xr:uid="{008CDA85-F4D4-E644-9E07-47E6BE7F1E1E}"/>
    <hyperlink ref="B1897" r:id="rId79" display="http://www.costco.cowa/" xr:uid="{0C095417-1BC5-D949-8C76-AE69219068B5}"/>
    <hyperlink ref="B1898" r:id="rId80" display="http://expedia.com/" xr:uid="{FBA807FC-6023-F34C-A132-2409D220F86A}"/>
    <hyperlink ref="B1660" r:id="rId81" display="http://apple.com/BILL" xr:uid="{1E82EA52-03B8-4A4E-B7A0-3DB66640845A}"/>
    <hyperlink ref="B1130" r:id="rId82" display="http://apple.com/BILL" xr:uid="{5E5242BA-7064-4F4A-9138-54CA831EFD10}"/>
    <hyperlink ref="B1428" r:id="rId83" display="http://tonal.com/" xr:uid="{DCCC8F75-760E-A841-A890-7BF292601A58}"/>
    <hyperlink ref="B1923" r:id="rId84" display="http://clover.com/" xr:uid="{EFF9087E-D30A-644F-9D4D-7FA2AB21ABDD}"/>
    <hyperlink ref="B454" r:id="rId85" display="http://apple.com/BILL" xr:uid="{0F54A9E9-5D14-7C45-B85C-6A76F5E39A87}"/>
    <hyperlink ref="B514" r:id="rId86" display="http://www.flo.com/" xr:uid="{CB539373-9EA1-664F-AEF6-D25763F34951}"/>
    <hyperlink ref="B1932" r:id="rId87" display="http://www.usaa.com/" xr:uid="{AFEED6AF-1333-9E4F-8FCE-EEEE68304777}"/>
    <hyperlink ref="B1904" r:id="rId88" display="http://pllcgosq.com/" xr:uid="{8BAC87DC-0A85-5F4F-924C-FD6C255F244C}"/>
    <hyperlink ref="B1918" r:id="rId89" display="http://pllcgosq.com/" xr:uid="{C4782313-FB11-BB49-9D1D-03D4C07381D0}"/>
    <hyperlink ref="B56" r:id="rId90" display="http://www.flo.com/" xr:uid="{152D3BA3-8804-954E-B3EB-EC420896A4F2}"/>
    <hyperlink ref="B1943" r:id="rId91" display="http://pllcgosq.com/" xr:uid="{9297940E-4AA9-994F-A591-B82CDC1C776B}"/>
    <hyperlink ref="B241" r:id="rId92" display="http://www.flo.com/" xr:uid="{C2F688A1-EAF9-E541-939E-EEF5A8701DFB}"/>
    <hyperlink ref="B1740" r:id="rId93" display="http://gosq.com/" xr:uid="{EA9BE6B8-EFD4-7142-BE6A-C79BF90F9F2B}"/>
    <hyperlink ref="B1694" r:id="rId94" display="http://doordash.com/" xr:uid="{9D778729-9E37-CF46-9DCE-76C632BFEF59}"/>
    <hyperlink ref="B1741" r:id="rId95" display="http://gosq.com/" xr:uid="{9559A4AA-F2FB-DA40-B009-08B403B17942}"/>
    <hyperlink ref="B789" r:id="rId96" display="http://mdseelig.com/" xr:uid="{53054519-D856-5040-BBE8-80329E412C2B}"/>
    <hyperlink ref="B402" r:id="rId97" display="http://apple.com/BILL" xr:uid="{B20ABE69-C69B-3A45-BF0E-50BCE9A1E612}"/>
    <hyperlink ref="B22" r:id="rId98" display="http://expedia.com/" xr:uid="{7D2E6900-C300-FB4E-9B98-1EEE70F4EA2C}"/>
    <hyperlink ref="B23" r:id="rId99" display="http://expedia.com/" xr:uid="{42D74D65-1629-1344-8CE5-321CEC510C06}"/>
    <hyperlink ref="B1812" r:id="rId100" display="http://www.inua.groumt/" xr:uid="{39A71A92-B0C3-2447-B4E1-E59CF2BA6B26}"/>
    <hyperlink ref="B1742" r:id="rId101" display="http://gosq.com/" xr:uid="{B1E6580D-6E27-CC4F-BD52-1011AC41985F}"/>
    <hyperlink ref="B215" r:id="rId102" display="http://apple.com/BILL" xr:uid="{183C42B3-1848-5643-9713-08E7CB60D835}"/>
    <hyperlink ref="B1743" r:id="rId103" display="http://gosq.com/" xr:uid="{63E10A37-F53A-9140-A0D2-7233DF8A5566}"/>
    <hyperlink ref="B1622" r:id="rId104" display="http://doordash.com/" xr:uid="{3D25A910-EE22-624C-B8DF-9AFF322D25D4}"/>
    <hyperlink ref="B1447" r:id="rId105" display="http://doordash.com/" xr:uid="{AEC4BD55-79BB-7640-A33B-9C2966205262}"/>
    <hyperlink ref="B41" r:id="rId106" location="CA" display="http://g.co/HelpPay - CA" xr:uid="{E34EBA0E-E8F5-CD4B-8E76-A5BD2FE563AB}"/>
    <hyperlink ref="B1880" r:id="rId107" display="http://www.costco.cowa/" xr:uid="{189EDDB8-B078-A547-BDFD-B48EFEF876CB}"/>
    <hyperlink ref="B1744" r:id="rId108" display="http://gosq.com/" xr:uid="{61E41CDE-9E7B-164A-8658-1C5C58417215}"/>
    <hyperlink ref="B1175" r:id="rId109" display="http://doordash.com/" xr:uid="{3328D7C0-68CE-0049-A158-C487CF5F63DF}"/>
    <hyperlink ref="B37" r:id="rId110" display="http://apple.com/BILL" xr:uid="{AD7EE4C2-D93F-3C41-A98E-E4EE77FDA727}"/>
    <hyperlink ref="B1745" r:id="rId111" display="http://gosq.com/" xr:uid="{C1589D3D-A61E-6544-8E82-BE914CA3004A}"/>
    <hyperlink ref="B1911" r:id="rId112" display="http://expedia.com/" xr:uid="{33D071EB-A19F-F747-B5DC-1BCB293A6EB2}"/>
    <hyperlink ref="B941" r:id="rId113" display="http://www.sweetgreen.com/" xr:uid="{58540684-76B7-6742-8F15-5BE8A3153A32}"/>
    <hyperlink ref="B475" r:id="rId114" display="http://amzn.com/billWA" xr:uid="{F47A9C92-64BF-C84E-B15E-F004DE03B25B}"/>
    <hyperlink ref="B1582" r:id="rId115" display="http://doordash.com/" xr:uid="{9FC7D98C-608E-074D-A340-3B9FC4963451}"/>
    <hyperlink ref="B1746" r:id="rId116" display="http://gosq.com/" xr:uid="{49FD7FF1-986B-3541-BF74-2B225EBDEC30}"/>
    <hyperlink ref="B886" r:id="rId117" display="http://apple.com/BILL" xr:uid="{035AA10C-D8FD-8447-A000-B4939375F2E3}"/>
    <hyperlink ref="B391" r:id="rId118" display="http://apple.com/BILL" xr:uid="{F9259F6A-2C66-814D-9471-ADFBF3FE649A}"/>
    <hyperlink ref="B99" r:id="rId119" display="http://amzn.com/billWA" xr:uid="{08CFB9AD-F91C-9945-887B-B616F197718F}"/>
    <hyperlink ref="B1852" r:id="rId120" display="http://www.costco.cowa/" xr:uid="{B73A71E2-9E34-EE44-92E2-7A407D0E040D}"/>
    <hyperlink ref="B1747" r:id="rId121" display="http://gosq.com/" xr:uid="{146DD19B-14CC-3844-AE4D-E17FA130DE1E}"/>
    <hyperlink ref="B1429" r:id="rId122" display="http://tonal.com/" xr:uid="{D8A30756-4511-6F4A-95B9-F84B47B0496B}"/>
    <hyperlink ref="B1906" r:id="rId123" display="http://tripchrg.com/" xr:uid="{40D48D7F-D897-154D-9F3C-254956E9BCA4}"/>
    <hyperlink ref="B455" r:id="rId124" display="http://apple.com/BILL" xr:uid="{69B5F26C-DA4E-4546-8AAB-A977D8A28E48}"/>
    <hyperlink ref="B38" r:id="rId125" display="http://amzn.com/billWA" xr:uid="{50B16D3D-10AF-A24C-A29C-8CA767288290}"/>
    <hyperlink ref="B35" r:id="rId126" display="http://amzn.com/billWA" xr:uid="{4480E77A-A45E-C949-A41C-B2AC7999113D}"/>
    <hyperlink ref="B149" r:id="rId127" display="http://apple.com/BILL" xr:uid="{95422CF8-AC69-B849-85BB-115BC68FAF27}"/>
    <hyperlink ref="B1748" r:id="rId128" display="http://gosq.com/" xr:uid="{060947D9-41FB-D142-8D9D-A901DD139B2F}"/>
    <hyperlink ref="B1749" r:id="rId129" display="http://gosq.com/" xr:uid="{23BF3E41-C10B-1348-AC96-239D27F4589D}"/>
    <hyperlink ref="B1933" r:id="rId130" display="http://www.usaa.com/" xr:uid="{51C8447A-A535-AC4A-BB3C-76DCFD8BB0D2}"/>
    <hyperlink ref="B1836" r:id="rId131" display="http://linkedin.com/WA" xr:uid="{E870D30C-48AE-8446-9A4F-EDEA95737070}"/>
    <hyperlink ref="B1079" r:id="rId132" display="http://netflix.com/" xr:uid="{6216E77A-1702-404E-B515-F641C64185A3}"/>
    <hyperlink ref="B790" r:id="rId133" display="http://mdseelig.com/" xr:uid="{118AC7ED-5337-FE4F-AB78-8160E8C4325A}"/>
    <hyperlink ref="B403" r:id="rId134" display="http://apple.com/BILL" xr:uid="{E8D8F9ED-F781-4A40-8C8A-72682DFA5229}"/>
    <hyperlink ref="B1813" r:id="rId135" display="http://www.inua.groumt/" xr:uid="{C39B7C62-4B20-164C-99D3-A7971D9DFF7D}"/>
    <hyperlink ref="B1750" r:id="rId136" display="http://gosq.com/" xr:uid="{9DE42CAB-A463-D74C-B335-3985A9C9000B}"/>
    <hyperlink ref="B132" r:id="rId137" display="http://amzn.com/billWA" xr:uid="{288420E6-6524-8344-80EC-A957846148F5}"/>
    <hyperlink ref="B1551" r:id="rId138" display="http://amzn.com/billWA" xr:uid="{69C908FC-85A6-564F-B0D8-6BBCF4EECDDB}"/>
    <hyperlink ref="B985" r:id="rId139" display="http://hulu.com/billCA" xr:uid="{17562CED-EB8E-C049-A042-62C20CBF8330}"/>
    <hyperlink ref="B1751" r:id="rId140" display="http://gosq.com/" xr:uid="{8313577E-887D-1144-9498-46B5626B9D33}"/>
    <hyperlink ref="B42" r:id="rId141" location="CA" display="http://g.co/helppay - CA" xr:uid="{05C13F05-9DE4-3C4D-950B-42B8CA898044}"/>
    <hyperlink ref="B1850" r:id="rId142" display="http://etsy.com/" xr:uid="{47D6A945-04C1-FE47-8197-35A62D94976E}"/>
    <hyperlink ref="B1752" r:id="rId143" display="http://gosq.com/" xr:uid="{7A3EA9DE-9FE9-8146-B7C8-90AB97AA97A4}"/>
    <hyperlink ref="B113" r:id="rId144" display="http://apple.com/BILL" xr:uid="{3B84211B-59A1-8C4B-9E3F-EB6EF2A78ED9}"/>
    <hyperlink ref="B705" r:id="rId145" display="http://amzn.com/billWA" xr:uid="{EA74718D-5323-634F-8B05-86F88903D49B}"/>
    <hyperlink ref="B1430" r:id="rId146" display="http://tonal.com/" xr:uid="{49D4D1F9-8EF3-6943-862C-FC27DE503B4D}"/>
    <hyperlink ref="B1895" r:id="rId147" display="http://www.costco.cowa/" xr:uid="{D2B5599D-895B-BB47-9FD1-B151F3C14FBE}"/>
    <hyperlink ref="B1033" r:id="rId148" display="http://amzn.com/billWA" xr:uid="{08EB4C4B-2EFD-3340-A8DD-5472F89DBCFF}"/>
    <hyperlink ref="B264" r:id="rId149" display="http://lyft.com/" xr:uid="{F1566568-CD51-CD48-B37A-5C3ECDCC8905}"/>
    <hyperlink ref="B456" r:id="rId150" display="http://apple.com/BILL" xr:uid="{97F42EF2-170E-914E-9DDA-E0B263420834}"/>
    <hyperlink ref="B1753" r:id="rId151" display="http://gosq.com/" xr:uid="{BCC72F16-15CD-744F-9C26-802FCB3FC0AF}"/>
    <hyperlink ref="B1934" r:id="rId152" display="http://www.usaa.com/" xr:uid="{6AEC9CFA-8970-7F42-BF51-555C7DBD9D1D}"/>
    <hyperlink ref="B283" r:id="rId153" display="http://apple.com/BILL" xr:uid="{1F97AEC2-7A2A-BC49-A56E-44FEAFB9A326}"/>
    <hyperlink ref="B1183" r:id="rId154" display="http://www.dropps.coil/" xr:uid="{EA889CE9-3E97-B74A-A4DD-EBAA405680CF}"/>
    <hyperlink ref="B791" r:id="rId155" display="http://mdseelig.com/" xr:uid="{D3AE5F7D-E8F7-574B-91DA-386D5A6CEB6A}"/>
    <hyperlink ref="B1754" r:id="rId156" display="http://gosq.com/" xr:uid="{D0DA3688-DD23-C241-B391-A730FB8AF4DD}"/>
    <hyperlink ref="B404" r:id="rId157" display="http://apple.com/BILL" xr:uid="{DB2F8F24-8EDE-974A-AC1E-57132BE6F991}"/>
    <hyperlink ref="B133" r:id="rId158" display="http://amzn.com/billWA" xr:uid="{93BB93A2-2B3A-BA4C-B6ED-F2ED6042225C}"/>
    <hyperlink ref="B1886" r:id="rId159" display="http://www.costco.cowa/" xr:uid="{BF296FF6-26F5-8444-A2B5-46A1A88993F1}"/>
    <hyperlink ref="B1814" r:id="rId160" display="http://www.inua.groumt/" xr:uid="{F55DD05C-712A-844B-B942-7011107C77DE}"/>
    <hyperlink ref="B986" r:id="rId161" display="http://hulu.com/billCA" xr:uid="{9ACDCE83-0BC2-B641-960C-978BF36E1B11}"/>
    <hyperlink ref="B703" r:id="rId162" display="http://amzn.com/billWA" xr:uid="{D6976FF8-7066-EC42-9157-39334A40CC89}"/>
    <hyperlink ref="B1837" r:id="rId163" display="http://linkedin.com/WA" xr:uid="{9BE3DC16-28AF-D847-B4DA-4E4DB58D0553}"/>
    <hyperlink ref="B365" r:id="rId164" display="http://www.hangtag.ifl/" xr:uid="{7DF19C9E-ECD6-6E44-8C34-38CCE6851B72}"/>
    <hyperlink ref="B1755" r:id="rId165" display="http://gosq.com/" xr:uid="{9DB98876-E1B6-FC47-B5A4-990F7FE9C6D6}"/>
    <hyperlink ref="B1784" r:id="rId166" display="http://learninggofundme.com/" xr:uid="{4B322469-8FAE-3A42-88CA-B2CBC6A8B882}"/>
    <hyperlink ref="B114" r:id="rId167" display="http://apple.com/BILL" xr:uid="{5F6EF063-0D65-4944-9376-A2B6B35E48BA}"/>
    <hyperlink ref="B159" r:id="rId168" display="http://help.uber.com/" xr:uid="{5AA6A604-F7C1-4140-8AEA-6CFF85F735E5}"/>
    <hyperlink ref="B1431" r:id="rId169" display="http://tonal.com/" xr:uid="{EEA1744E-B557-B84C-ACEE-B1599C4AF347}"/>
    <hyperlink ref="B706" r:id="rId170" display="http://amzn.com/billWA" xr:uid="{9270757A-6D3B-E74C-9B2B-1BACDCF549C7}"/>
    <hyperlink ref="B1919" r:id="rId171" display="http://pllcgosq.com/" xr:uid="{E093341D-A198-3F49-B7AA-A557FD48518C}"/>
    <hyperlink ref="B1756" r:id="rId172" display="http://gosq.com/" xr:uid="{77BBCA34-5BD3-6B48-AF2E-2B03F5ED934A}"/>
    <hyperlink ref="B1757" r:id="rId173" display="http://gosq.com/" xr:uid="{154217FF-A87E-924B-9D46-40371DAC24A7}"/>
    <hyperlink ref="B457" r:id="rId174" display="http://apple.com/BILL" xr:uid="{29A84E03-08E3-1247-92E0-9B8A8CE45BC2}"/>
    <hyperlink ref="B1935" r:id="rId175" display="http://www.usaa.com/" xr:uid="{2A3C7209-F039-2E45-9C65-070E2748D1B3}"/>
    <hyperlink ref="B1758" r:id="rId176" display="http://gosq.com/" xr:uid="{BF6E4101-F42A-684A-AF06-C048D608442C}"/>
    <hyperlink ref="B1759" r:id="rId177" display="http://gosq.com/" xr:uid="{12AE7686-92B1-3B4F-A8BC-775E121784EA}"/>
    <hyperlink ref="B1885" r:id="rId178" display="http://www.costco.coca/" xr:uid="{52F82B8B-095A-D942-BD61-72A6F7421EE6}"/>
    <hyperlink ref="B792" r:id="rId179" display="http://mdseelig.com/" xr:uid="{FCE5E765-F734-BE4A-B2E4-27E7CA30323B}"/>
    <hyperlink ref="B1472" r:id="rId180" display="http://www.corryscleaning.com/" xr:uid="{2C6D2218-B402-ED4F-91D5-586775A8A627}"/>
    <hyperlink ref="B405" r:id="rId181" display="http://apple.com/BILL" xr:uid="{3ABD264E-84C6-5542-BCE9-213E93363C6D}"/>
    <hyperlink ref="B1815" r:id="rId182" display="http://www.inua.groumt/" xr:uid="{93F50429-BFED-2B46-A72C-D0B77A0C5038}"/>
    <hyperlink ref="B414" r:id="rId183" display="http://www.ussailing.org/" xr:uid="{14F908E4-4B79-0F4E-8EE1-2A3AF16BB948}"/>
    <hyperlink ref="B134" r:id="rId184" display="http://amzn.com/billWA" xr:uid="{F31C9D18-A083-DC4A-A4FF-20E1C93BC4C9}"/>
    <hyperlink ref="B1760" r:id="rId185" display="http://gosq.com/" xr:uid="{6E36D0BB-A694-5542-8D1C-3575017BB1E2}"/>
    <hyperlink ref="B1761" r:id="rId186" display="http://gosq.com/" xr:uid="{53F3DB74-1992-9544-8C7F-E4F97DE048B2}"/>
    <hyperlink ref="B1424" r:id="rId187" display="http://amzn.com/billWA" xr:uid="{41E545C4-9B51-714A-8A0D-33B05E4C98C5}"/>
    <hyperlink ref="B987" r:id="rId188" display="http://hulu.com/billCA" xr:uid="{146C0C95-90CB-B14C-8F0A-CEC3DB6AC165}"/>
    <hyperlink ref="B44" r:id="rId189" location="CA" display="http://g.co/HelpPay - CA" xr:uid="{ACDB6D89-1BA9-FD43-BE65-EFFB9E147983}"/>
    <hyperlink ref="B1762" r:id="rId190" display="http://gosq.com/" xr:uid="{5D94A275-2749-184A-BDE0-7C0E2800F9BC}"/>
    <hyperlink ref="B962" r:id="rId191" display="http://doordash.com/" xr:uid="{2714F633-3066-104A-8430-AD0BA86E44AE}"/>
    <hyperlink ref="B367" r:id="rId192" display="http://amzn.com/billWA" xr:uid="{2B641111-48C3-C84F-A4B1-C8D3538C8BE9}"/>
    <hyperlink ref="B1315" r:id="rId193" display="http://doordash.com/" xr:uid="{CDEF2D58-0D75-AE42-8E4E-C1FB83AF791B}"/>
    <hyperlink ref="B115" r:id="rId194" display="http://apple.com/BILL" xr:uid="{EBFB7C86-A714-3B4F-B89B-32F21A5C05F0}"/>
    <hyperlink ref="B1432" r:id="rId195" display="http://tonal.com/" xr:uid="{143DAA6A-87D2-FF42-BB43-C4AB30E37F90}"/>
    <hyperlink ref="B707" r:id="rId196" display="http://amzn.com/billWA" xr:uid="{FB922934-5CE6-3E42-A51E-CA947259E5B1}"/>
    <hyperlink ref="B458" r:id="rId197" display="http://apple.com/BILL" xr:uid="{9F2EF0A8-46C7-B74B-B4AF-D55EE30B8B46}"/>
    <hyperlink ref="B1590" r:id="rId198" display="http://doordash.com/" xr:uid="{37198806-2C3B-264F-8CF2-47D6D340DA86}"/>
    <hyperlink ref="B1936" r:id="rId199" display="http://www.usaa.com/" xr:uid="{B75FD8D0-EC61-E948-A422-95A7B0303C0E}"/>
    <hyperlink ref="B1634" r:id="rId200" display="http://amzn.com/billWA" xr:uid="{D1BADA1A-B36B-D745-9A6B-094B364C03D8}"/>
    <hyperlink ref="B1658" r:id="rId201" display="http://amzn.com/billWA" xr:uid="{5270FCE2-AC36-234A-A292-B5FCE930D18E}"/>
    <hyperlink ref="B1763" r:id="rId202" display="http://gosq.com/" xr:uid="{E1C62CDC-727E-EB4A-92CA-4BEF606AE9C1}"/>
    <hyperlink ref="B1764" r:id="rId203" display="http://gosq.com/" xr:uid="{4898435A-03B1-4340-ADAB-903CB8D4ED4E}"/>
    <hyperlink ref="B793" r:id="rId204" display="http://mdseelig.com/" xr:uid="{D9BC76CE-E838-4B46-A104-18B8A5247E91}"/>
    <hyperlink ref="B406" r:id="rId205" display="http://apple.com/BILL" xr:uid="{FFC3D107-F74B-2046-A052-D3180AB48603}"/>
    <hyperlink ref="B1900" r:id="rId206" display="http://pllcgosq.com/" xr:uid="{FA4691D2-E4AC-B84F-BCBB-E38D7C52FC40}"/>
    <hyperlink ref="B135" r:id="rId207" display="http://amzn.com/billWA" xr:uid="{32990339-B339-3A4F-8EA6-EFFD19A3A0CF}"/>
    <hyperlink ref="B1938" r:id="rId208" display="http://pllcgosq.com/" xr:uid="{B5C00267-0108-4E4A-B363-0DB983D7F40F}"/>
    <hyperlink ref="B1237" r:id="rId209" display="http://amzn.com/billWA" xr:uid="{96F0D634-57F7-B04B-88D9-27910552D2EA}"/>
    <hyperlink ref="B1765" r:id="rId210" display="http://gosq.com/" xr:uid="{D53B8D3E-129E-AE4D-AB9F-3E40312359FD}"/>
    <hyperlink ref="B918" r:id="rId211" display="http://amzn.com/billWA" xr:uid="{609279EB-C2B5-F645-991B-2423B98C3C93}"/>
    <hyperlink ref="B25" r:id="rId212" display="http://coversandall.com/" xr:uid="{466E7B5B-BB78-2C4D-BB5C-F96B5AE60B20}"/>
    <hyperlink ref="B1766" r:id="rId213" display="http://gosq.com/" xr:uid="{D7752F18-8D7E-B54A-B535-22898B485983}"/>
    <hyperlink ref="B1109" r:id="rId214" display="http://amzn.com/billWA" xr:uid="{25FC580D-9D90-7C49-BED4-378D79DE5993}"/>
    <hyperlink ref="B769" r:id="rId215" display="http://amzn.com/billWA" xr:uid="{5122DA58-35A0-3D43-A3A5-5961B3F32D5D}"/>
    <hyperlink ref="B1462" r:id="rId216" display="http://www.costco.coca/" xr:uid="{94A97F4B-47B8-5142-9C9A-DE0C1CEAED38}"/>
    <hyperlink ref="B988" r:id="rId217" display="http://hulu.com/billCA" xr:uid="{2C8F4F10-6502-C045-B268-7679A05EA432}"/>
    <hyperlink ref="B1168" r:id="rId218" display="http://apple.com/BILL" xr:uid="{A79181CC-934F-5042-95A1-6398EBAFD85F}"/>
    <hyperlink ref="B800" r:id="rId219" display="http://amzn.com/billWA" xr:uid="{9B8D1A7D-A9D9-B04C-BD87-BFD9F2C0AF82}"/>
    <hyperlink ref="B1174" r:id="rId220" display="http://amzn.com/billWA" xr:uid="{858DA24F-C6EA-6C4C-80AE-1595C2F8CAB7}"/>
    <hyperlink ref="B45" r:id="rId221" location="CA" display="http://g.co/helppay - CA" xr:uid="{D3741CFE-692E-2E4F-AC4C-63C3FEED4546}"/>
    <hyperlink ref="B1767" r:id="rId222" display="http://gosq.com/" xr:uid="{734F991E-F48E-0349-94DB-1D1E101B2D25}"/>
    <hyperlink ref="B1065" r:id="rId223" display="http://amzn.com/billWA" xr:uid="{917E1004-CBD2-D64D-B99C-9A0C72447E6D}"/>
    <hyperlink ref="B1768" r:id="rId224" display="http://gosq.com/" xr:uid="{C799E7CF-21E1-D44B-A242-55BCA86AB52A}"/>
    <hyperlink ref="B1816" r:id="rId225" display="http://www.inua.groumt/" xr:uid="{34F12A60-FA1A-854D-9310-D1503D859FBD}"/>
    <hyperlink ref="B195" r:id="rId226" display="http://amzn.com/billWA" xr:uid="{23BF9F4D-6C38-1D40-9FB2-4BE02E160635}"/>
    <hyperlink ref="B1838" r:id="rId227" display="http://linkedin.com/WA" xr:uid="{E77C156B-21E2-244E-B21E-0A1E5C886AFE}"/>
    <hyperlink ref="B1222" r:id="rId228" display="http://amzn.com/billWA" xr:uid="{6A80E3B1-E073-DE40-8060-9225EB301069}"/>
    <hyperlink ref="B1381" r:id="rId229" display="http://doordash.com/" xr:uid="{1F666531-8000-2544-9275-5270B292C059}"/>
    <hyperlink ref="B116" r:id="rId230" display="http://apple.com/BILL" xr:uid="{9DE658E3-0A36-EF4A-999B-A8D186CD8765}"/>
    <hyperlink ref="B1769" r:id="rId231" display="http://gosq.com/" xr:uid="{57CF3788-20FB-2F4F-B931-1CFD79CEAC54}"/>
    <hyperlink ref="B1719" r:id="rId232" display="http://www.inua.groumt/" xr:uid="{470DED0D-8EB9-D044-AE9E-9384C9015B3F}"/>
    <hyperlink ref="B1785" r:id="rId233" display="http://www.costco.coca/" xr:uid="{67001A73-2402-2E4A-9E0E-F9564B7F2233}"/>
    <hyperlink ref="B1916" r:id="rId234" display="http://www.inua.groumt/" xr:uid="{598F6769-170D-F944-8464-731E6AADCB3D}"/>
    <hyperlink ref="B1720" r:id="rId235" display="http://www.inua.groumt/" xr:uid="{8EABA6F6-78C4-F249-ADC9-AD386D3048F9}"/>
    <hyperlink ref="B1193" r:id="rId236" display="http://www.inua.groumt/" xr:uid="{CB14C4D8-726F-E44D-B8E2-FC93620A5368}"/>
    <hyperlink ref="B432" r:id="rId237" display="http://amzn.com/billWA" xr:uid="{7921769F-6C13-304D-A179-994C57656C4E}"/>
    <hyperlink ref="B1433" r:id="rId238" display="http://tonal.com/" xr:uid="{FAB8BC82-61B6-7943-9F9C-387C2E4C6696}"/>
    <hyperlink ref="B708" r:id="rId239" display="http://amzn.com/billWA" xr:uid="{006084E8-76BF-1145-ACE3-DA02ADEA9494}"/>
    <hyperlink ref="B1618" r:id="rId240" display="http://amzn.com/billWA" xr:uid="{AB9C3AE0-D351-8D42-9561-B597E5F79589}"/>
    <hyperlink ref="B1819" r:id="rId241" display="http://amzn.com/billWA" xr:uid="{1F0895AE-4A0D-1945-89D2-EFF07B6D17C4}"/>
    <hyperlink ref="B1703" r:id="rId242" display="http://doordash.com/" xr:uid="{670F6FCD-5A90-3745-B502-F63FC018319B}"/>
    <hyperlink ref="B459" r:id="rId243" display="http://apple.com/BILL" xr:uid="{7CD73CE7-0B22-6945-9A2F-986DA3DCD69D}"/>
    <hyperlink ref="B1070" r:id="rId244" display="http://doordash.com/" xr:uid="{D6EF2D21-10A8-D04E-9B3D-66E37F814330}"/>
    <hyperlink ref="B1770" r:id="rId245" display="http://gosq.com/" xr:uid="{AAA452C8-7087-0A4C-9BC0-B90B543FCB72}"/>
    <hyperlink ref="B1771" r:id="rId246" display="http://gosq.com/" xr:uid="{673EED3D-4F4D-2942-A252-E2EA81B04980}"/>
    <hyperlink ref="B350" r:id="rId247" display="http://amzn.com/billWA" xr:uid="{1E16F180-0ED0-7049-9BC1-AD6313B95589}"/>
    <hyperlink ref="B1939" r:id="rId248" display="http://www.usaa.com/" xr:uid="{A502B8B3-60EA-1A4B-8792-EA27482999E0}"/>
    <hyperlink ref="B1038" r:id="rId249" display="http://netflix.com/" xr:uid="{322C7D7B-3716-8744-853A-A888B5FA4ACE}"/>
    <hyperlink ref="B1818" r:id="rId250" display="http://coversandall.com/" xr:uid="{ED869AD2-E7A2-6046-BC8E-E47380B73C34}"/>
    <hyperlink ref="B794" r:id="rId251" display="http://mdseelig.com/" xr:uid="{7DB93C66-5F79-EA4E-B7DA-7BECC5D2DB73}"/>
    <hyperlink ref="B1150" r:id="rId252" display="http://www.dropps.coil/" xr:uid="{9863B916-D1D7-2547-A6BA-4E895826A5A0}"/>
    <hyperlink ref="B407" r:id="rId253" display="http://apple.com/BILL" xr:uid="{FAAA9344-7D93-4C4F-99CB-227088F8EC1F}"/>
    <hyperlink ref="B1050" r:id="rId254" display="http://amzn.com/billWA" xr:uid="{DCEF6428-9300-7549-9844-884638DF87A6}"/>
    <hyperlink ref="B1772" r:id="rId255" display="http://gosq.com/" xr:uid="{9075400B-E0A7-D249-8E67-3131DCFB154B}"/>
    <hyperlink ref="B136" r:id="rId256" display="http://amzn.com/billWA" xr:uid="{6D5F77CD-B5C7-C749-95DF-8976C9BEA7C6}"/>
    <hyperlink ref="B1773" r:id="rId257" display="http://gosq.com/" xr:uid="{941529E8-8C6C-5A46-BF9C-A7CBA7A0B311}"/>
    <hyperlink ref="B74" r:id="rId258" display="http://apple.com/BILL" xr:uid="{A90E945F-EA82-B640-AF6B-6318013141DF}"/>
    <hyperlink ref="B645" r:id="rId259" display="http://apple.com/BILL" xr:uid="{2D8D91AF-B665-884D-B3E2-1B600954F2AD}"/>
    <hyperlink ref="B1580" r:id="rId260" display="http://www.doordash.ca/" xr:uid="{5751B7A2-10AC-5D47-8E52-614B21CF349F}"/>
    <hyperlink ref="B646" r:id="rId261" display="http://apple.com/BILL" xr:uid="{B7D5916B-29AD-1F4C-A5A2-82B32FCC2B83}"/>
    <hyperlink ref="B62" r:id="rId262" display="http://apple.com/BILL" xr:uid="{3B0760FD-A9F2-C747-A8F1-066E1AC2C3DB}"/>
    <hyperlink ref="B989" r:id="rId263" display="http://hulu.com/billCA" xr:uid="{5425B8DC-BA6B-D744-A047-8E9A563D2A1A}"/>
  </hyperlinks>
  <pageMargins left="0.7" right="0.7" top="0.75" bottom="0.75" header="0.3" footer="0.3"/>
  <pageSetup orientation="portrait" horizontalDpi="0" verticalDpi="0"/>
  <tableParts count="1">
    <tablePart r:id="rId26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07787-CB02-EA4A-BCB1-9C33738DEC1B}">
  <sheetPr filterMode="1"/>
  <dimension ref="A1:F375"/>
  <sheetViews>
    <sheetView topLeftCell="A324" workbookViewId="0">
      <selection activeCell="B374" sqref="B138:B374"/>
    </sheetView>
  </sheetViews>
  <sheetFormatPr baseColWidth="10" defaultRowHeight="16" x14ac:dyDescent="0.2"/>
  <cols>
    <col min="1" max="1" width="8.5" style="63" bestFit="1" customWidth="1"/>
    <col min="2" max="2" width="43.5" bestFit="1" customWidth="1"/>
    <col min="3" max="3" width="9.1640625" bestFit="1" customWidth="1"/>
    <col min="4" max="4" width="21.6640625" bestFit="1" customWidth="1"/>
    <col min="5" max="5" width="10.1640625" bestFit="1" customWidth="1"/>
    <col min="6" max="6" width="6.83203125" bestFit="1" customWidth="1"/>
  </cols>
  <sheetData>
    <row r="1" spans="1:6" x14ac:dyDescent="0.2">
      <c r="A1" s="63" t="s">
        <v>1258</v>
      </c>
      <c r="B1" t="s">
        <v>0</v>
      </c>
      <c r="C1" t="s">
        <v>1226</v>
      </c>
      <c r="D1" t="s">
        <v>1511</v>
      </c>
      <c r="E1" t="s">
        <v>2205</v>
      </c>
      <c r="F1" t="s">
        <v>2206</v>
      </c>
    </row>
    <row r="2" spans="1:6" hidden="1" x14ac:dyDescent="0.2">
      <c r="A2" s="63">
        <v>45652</v>
      </c>
      <c r="B2" t="s">
        <v>932</v>
      </c>
      <c r="C2">
        <v>-3.3</v>
      </c>
      <c r="D2" t="str">
        <f>_xlfn.XLOOKUP(B2,'Payee Ref'!A:A,'Payee Ref'!B:B,"unassigned",0,1)</f>
        <v>Subscriptions / Digital</v>
      </c>
      <c r="E2" t="str">
        <f>_xlfn.XLOOKUP(B2,'Payee Ref'!A:A,'Payee Ref'!C:C,"unassigned",0,1)</f>
        <v>Luxury</v>
      </c>
      <c r="F2" t="s">
        <v>2558</v>
      </c>
    </row>
    <row r="3" spans="1:6" hidden="1" x14ac:dyDescent="0.2">
      <c r="A3" s="63">
        <v>45652</v>
      </c>
      <c r="B3" t="s">
        <v>824</v>
      </c>
      <c r="C3">
        <v>-32</v>
      </c>
      <c r="D3" t="str">
        <f>_xlfn.XLOOKUP(B3,'Payee Ref'!A:A,'Payee Ref'!B:B,"unassigned",0,1)</f>
        <v>Parking</v>
      </c>
      <c r="E3" t="str">
        <f>_xlfn.XLOOKUP(B3,'Payee Ref'!A:A,'Payee Ref'!C:C,"unassigned",0,1)</f>
        <v>Basic</v>
      </c>
      <c r="F3" t="s">
        <v>2558</v>
      </c>
    </row>
    <row r="4" spans="1:6" hidden="1" x14ac:dyDescent="0.2">
      <c r="A4" s="63">
        <v>45652</v>
      </c>
      <c r="B4" t="s">
        <v>559</v>
      </c>
      <c r="C4">
        <v>-14.46</v>
      </c>
      <c r="D4" t="str">
        <f>_xlfn.XLOOKUP(B4,'Payee Ref'!A:A,'Payee Ref'!B:B,"unassigned",0,1)</f>
        <v>Groceries</v>
      </c>
      <c r="E4" t="str">
        <f>_xlfn.XLOOKUP(B4,'Payee Ref'!A:A,'Payee Ref'!C:C,"unassigned",0,1)</f>
        <v>Basic</v>
      </c>
      <c r="F4" t="s">
        <v>2558</v>
      </c>
    </row>
    <row r="5" spans="1:6" hidden="1" x14ac:dyDescent="0.2">
      <c r="A5" s="63">
        <v>45652</v>
      </c>
      <c r="B5" t="s">
        <v>559</v>
      </c>
      <c r="C5">
        <v>-5.79</v>
      </c>
      <c r="D5" t="str">
        <f>_xlfn.XLOOKUP(B5,'Payee Ref'!A:A,'Payee Ref'!B:B,"unassigned",0,1)</f>
        <v>Groceries</v>
      </c>
      <c r="E5" t="str">
        <f>_xlfn.XLOOKUP(B5,'Payee Ref'!A:A,'Payee Ref'!C:C,"unassigned",0,1)</f>
        <v>Basic</v>
      </c>
      <c r="F5" t="s">
        <v>2558</v>
      </c>
    </row>
    <row r="6" spans="1:6" hidden="1" x14ac:dyDescent="0.2">
      <c r="A6" s="63">
        <v>45652</v>
      </c>
      <c r="B6" t="s">
        <v>497</v>
      </c>
      <c r="C6">
        <v>-146.75</v>
      </c>
      <c r="D6" t="str">
        <f>_xlfn.XLOOKUP(B6,'Payee Ref'!A:A,'Payee Ref'!B:B,"unassigned",0,1)</f>
        <v>Travel</v>
      </c>
      <c r="E6" t="str">
        <f>_xlfn.XLOOKUP(B6,'Payee Ref'!A:A,'Payee Ref'!C:C,"unassigned",0,1)</f>
        <v>Luxury</v>
      </c>
      <c r="F6" t="s">
        <v>2558</v>
      </c>
    </row>
    <row r="7" spans="1:6" hidden="1" x14ac:dyDescent="0.2">
      <c r="A7" s="63">
        <v>45652</v>
      </c>
      <c r="B7" t="s">
        <v>351</v>
      </c>
      <c r="C7">
        <v>-51.85</v>
      </c>
      <c r="D7" t="str">
        <f>_xlfn.XLOOKUP(B7,'Payee Ref'!A:A,'Payee Ref'!B:B,"unassigned",0,1)</f>
        <v>Dining</v>
      </c>
      <c r="E7" t="str">
        <f>_xlfn.XLOOKUP(B7,'Payee Ref'!A:A,'Payee Ref'!C:C,"unassigned",0,1)</f>
        <v>Luxury</v>
      </c>
      <c r="F7" t="s">
        <v>2558</v>
      </c>
    </row>
    <row r="8" spans="1:6" hidden="1" x14ac:dyDescent="0.2">
      <c r="A8" s="63">
        <v>45653</v>
      </c>
      <c r="B8" t="s">
        <v>159</v>
      </c>
      <c r="C8">
        <v>7140.54</v>
      </c>
      <c r="D8" t="str">
        <f>_xlfn.XLOOKUP(B8,'Payee Ref'!A:A,'Payee Ref'!B:B,"unassigned",0,1)</f>
        <v>Credit Card Payment</v>
      </c>
      <c r="E8" t="str">
        <f>_xlfn.XLOOKUP(B8,'Payee Ref'!A:A,'Payee Ref'!C:C,"unassigned",0,1)</f>
        <v>Basic</v>
      </c>
      <c r="F8" t="s">
        <v>2558</v>
      </c>
    </row>
    <row r="9" spans="1:6" hidden="1" x14ac:dyDescent="0.2">
      <c r="A9" s="63">
        <v>45653</v>
      </c>
      <c r="B9" t="s">
        <v>714</v>
      </c>
      <c r="C9">
        <v>-2328.9699999999998</v>
      </c>
      <c r="D9" t="str">
        <f>_xlfn.XLOOKUP(B9,'Payee Ref'!A:A,'Payee Ref'!B:B,"unassigned",0,1)</f>
        <v>Home &amp; Garden</v>
      </c>
      <c r="E9" t="str">
        <f>_xlfn.XLOOKUP(B9,'Payee Ref'!A:A,'Payee Ref'!C:C,"unassigned",0,1)</f>
        <v>Basic</v>
      </c>
      <c r="F9" t="s">
        <v>2558</v>
      </c>
    </row>
    <row r="10" spans="1:6" hidden="1" x14ac:dyDescent="0.2">
      <c r="A10" s="63">
        <v>45653</v>
      </c>
      <c r="B10" t="s">
        <v>538</v>
      </c>
      <c r="C10">
        <v>-127.67</v>
      </c>
      <c r="D10" t="str">
        <f>_xlfn.XLOOKUP(B10,'Payee Ref'!A:A,'Payee Ref'!B:B,"unassigned",0,1)</f>
        <v>Groceries</v>
      </c>
      <c r="E10" t="str">
        <f>_xlfn.XLOOKUP(B10,'Payee Ref'!A:A,'Payee Ref'!C:C,"unassigned",0,1)</f>
        <v>Basic</v>
      </c>
      <c r="F10" t="s">
        <v>2558</v>
      </c>
    </row>
    <row r="11" spans="1:6" hidden="1" x14ac:dyDescent="0.2">
      <c r="A11" s="63">
        <v>45654</v>
      </c>
      <c r="B11" t="s">
        <v>729</v>
      </c>
      <c r="C11">
        <v>-78.75</v>
      </c>
      <c r="D11" t="str">
        <f>_xlfn.XLOOKUP(B11,'Payee Ref'!A:A,'Payee Ref'!B:B,"unassigned",0,1)</f>
        <v>Home &amp; Garden</v>
      </c>
      <c r="E11" t="str">
        <f>_xlfn.XLOOKUP(B11,'Payee Ref'!A:A,'Payee Ref'!C:C,"unassigned",0,1)</f>
        <v>Basic</v>
      </c>
      <c r="F11" t="s">
        <v>2558</v>
      </c>
    </row>
    <row r="12" spans="1:6" hidden="1" x14ac:dyDescent="0.2">
      <c r="A12" s="63">
        <v>45656</v>
      </c>
      <c r="B12" t="s">
        <v>925</v>
      </c>
      <c r="C12">
        <v>-25.55</v>
      </c>
      <c r="D12" t="str">
        <f>_xlfn.XLOOKUP(B12,'Payee Ref'!A:A,'Payee Ref'!B:B,"unassigned",0,1)</f>
        <v>Subscriptions / Digital</v>
      </c>
      <c r="E12" t="str">
        <f>_xlfn.XLOOKUP(B12,'Payee Ref'!A:A,'Payee Ref'!C:C,"unassigned",0,1)</f>
        <v>Luxury</v>
      </c>
      <c r="F12" t="s">
        <v>2558</v>
      </c>
    </row>
    <row r="13" spans="1:6" hidden="1" x14ac:dyDescent="0.2">
      <c r="A13" s="63">
        <v>45656</v>
      </c>
      <c r="B13" t="s">
        <v>830</v>
      </c>
      <c r="C13">
        <v>-120.97</v>
      </c>
      <c r="D13" t="str">
        <f>_xlfn.XLOOKUP(B13,'Payee Ref'!A:A,'Payee Ref'!B:B,"unassigned",0,1)</f>
        <v>Personal Care</v>
      </c>
      <c r="E13" t="str">
        <f>_xlfn.XLOOKUP(B13,'Payee Ref'!A:A,'Payee Ref'!C:C,"unassigned",0,1)</f>
        <v>Basic</v>
      </c>
      <c r="F13" t="s">
        <v>2558</v>
      </c>
    </row>
    <row r="14" spans="1:6" hidden="1" x14ac:dyDescent="0.2">
      <c r="A14" s="63">
        <v>45656</v>
      </c>
      <c r="B14" t="s">
        <v>403</v>
      </c>
      <c r="C14">
        <v>-26</v>
      </c>
      <c r="D14" t="str">
        <f>_xlfn.XLOOKUP(B14,'Payee Ref'!A:A,'Payee Ref'!B:B,"unassigned",0,1)</f>
        <v>Dining</v>
      </c>
      <c r="E14" t="str">
        <f>_xlfn.XLOOKUP(B14,'Payee Ref'!A:A,'Payee Ref'!C:C,"unassigned",0,1)</f>
        <v>Luxury</v>
      </c>
      <c r="F14" t="s">
        <v>2558</v>
      </c>
    </row>
    <row r="15" spans="1:6" hidden="1" x14ac:dyDescent="0.2">
      <c r="A15" s="63">
        <v>45656</v>
      </c>
      <c r="B15" t="s">
        <v>143</v>
      </c>
      <c r="C15">
        <v>-295.75</v>
      </c>
      <c r="D15" t="str">
        <f>_xlfn.XLOOKUP(B15,'Payee Ref'!A:A,'Payee Ref'!B:B,"unassigned",0,1)</f>
        <v>Clothing</v>
      </c>
      <c r="E15" t="str">
        <f>_xlfn.XLOOKUP(B15,'Payee Ref'!A:A,'Payee Ref'!C:C,"unassigned",0,1)</f>
        <v>Luxury</v>
      </c>
      <c r="F15" t="s">
        <v>2558</v>
      </c>
    </row>
    <row r="16" spans="1:6" hidden="1" x14ac:dyDescent="0.2">
      <c r="A16" s="63">
        <v>45656</v>
      </c>
      <c r="B16" t="s">
        <v>344</v>
      </c>
      <c r="C16">
        <v>-24</v>
      </c>
      <c r="D16" t="str">
        <f>_xlfn.XLOOKUP(B16,'Payee Ref'!A:A,'Payee Ref'!B:B,"unassigned",0,1)</f>
        <v>Dining</v>
      </c>
      <c r="E16" t="str">
        <f>_xlfn.XLOOKUP(B16,'Payee Ref'!A:A,'Payee Ref'!C:C,"unassigned",0,1)</f>
        <v>Luxury</v>
      </c>
      <c r="F16" t="s">
        <v>2558</v>
      </c>
    </row>
    <row r="17" spans="1:6" hidden="1" x14ac:dyDescent="0.2">
      <c r="A17" s="63">
        <v>45656</v>
      </c>
      <c r="B17" t="s">
        <v>503</v>
      </c>
      <c r="C17">
        <v>-48.04</v>
      </c>
      <c r="D17" t="str">
        <f>_xlfn.XLOOKUP(B17,'Payee Ref'!A:A,'Payee Ref'!B:B,"unassigned",0,1)</f>
        <v>Extracirricular</v>
      </c>
      <c r="E17" t="str">
        <f>_xlfn.XLOOKUP(B17,'Payee Ref'!A:A,'Payee Ref'!C:C,"unassigned",0,1)</f>
        <v>Basic</v>
      </c>
      <c r="F17" t="s">
        <v>2558</v>
      </c>
    </row>
    <row r="18" spans="1:6" hidden="1" x14ac:dyDescent="0.2">
      <c r="A18" s="63">
        <v>45656</v>
      </c>
      <c r="B18" t="s">
        <v>566</v>
      </c>
      <c r="C18">
        <v>-10.99</v>
      </c>
      <c r="D18" t="str">
        <f>_xlfn.XLOOKUP(B18,'Payee Ref'!A:A,'Payee Ref'!B:B,"unassigned",0,1)</f>
        <v>Groceries</v>
      </c>
      <c r="E18" t="str">
        <f>_xlfn.XLOOKUP(B18,'Payee Ref'!A:A,'Payee Ref'!C:C,"unassigned",0,1)</f>
        <v>Basic</v>
      </c>
      <c r="F18" t="s">
        <v>2558</v>
      </c>
    </row>
    <row r="19" spans="1:6" hidden="1" x14ac:dyDescent="0.2">
      <c r="A19" s="63">
        <v>45657</v>
      </c>
      <c r="B19" t="s">
        <v>417</v>
      </c>
      <c r="C19">
        <v>-52.25</v>
      </c>
      <c r="D19" t="str">
        <f>_xlfn.XLOOKUP(B19,'Payee Ref'!A:A,'Payee Ref'!B:B,"unassigned",0,1)</f>
        <v>Dining</v>
      </c>
      <c r="E19" t="str">
        <f>_xlfn.XLOOKUP(B19,'Payee Ref'!A:A,'Payee Ref'!C:C,"unassigned",0,1)</f>
        <v>Luxury</v>
      </c>
      <c r="F19" t="s">
        <v>2558</v>
      </c>
    </row>
    <row r="20" spans="1:6" hidden="1" x14ac:dyDescent="0.2">
      <c r="A20" s="63">
        <v>45657</v>
      </c>
      <c r="B20" t="s">
        <v>403</v>
      </c>
      <c r="C20">
        <v>-26</v>
      </c>
      <c r="D20" t="str">
        <f>_xlfn.XLOOKUP(B20,'Payee Ref'!A:A,'Payee Ref'!B:B,"unassigned",0,1)</f>
        <v>Dining</v>
      </c>
      <c r="E20" t="str">
        <f>_xlfn.XLOOKUP(B20,'Payee Ref'!A:A,'Payee Ref'!C:C,"unassigned",0,1)</f>
        <v>Luxury</v>
      </c>
      <c r="F20" t="s">
        <v>2558</v>
      </c>
    </row>
    <row r="21" spans="1:6" hidden="1" x14ac:dyDescent="0.2">
      <c r="A21" s="63">
        <v>45659</v>
      </c>
      <c r="B21" t="s">
        <v>499</v>
      </c>
      <c r="C21">
        <v>-220.53</v>
      </c>
      <c r="D21" t="str">
        <f>_xlfn.XLOOKUP(B21,'Payee Ref'!A:A,'Payee Ref'!B:B,"unassigned",0,1)</f>
        <v>Travel</v>
      </c>
      <c r="E21" t="str">
        <f>_xlfn.XLOOKUP(B21,'Payee Ref'!A:A,'Payee Ref'!C:C,"unassigned",0,1)</f>
        <v>Luxury</v>
      </c>
      <c r="F21" t="s">
        <v>2558</v>
      </c>
    </row>
    <row r="22" spans="1:6" hidden="1" x14ac:dyDescent="0.2">
      <c r="A22" s="63">
        <v>45659</v>
      </c>
      <c r="B22" t="s">
        <v>721</v>
      </c>
      <c r="C22">
        <v>-99</v>
      </c>
      <c r="D22" t="str">
        <f>_xlfn.XLOOKUP(B22,'Payee Ref'!A:A,'Payee Ref'!B:B,"unassigned",0,1)</f>
        <v>Home &amp; Garden</v>
      </c>
      <c r="E22" t="str">
        <f>_xlfn.XLOOKUP(B22,'Payee Ref'!A:A,'Payee Ref'!C:C,"unassigned",0,1)</f>
        <v>Basic</v>
      </c>
      <c r="F22" t="s">
        <v>2558</v>
      </c>
    </row>
    <row r="23" spans="1:6" hidden="1" x14ac:dyDescent="0.2">
      <c r="A23" s="63">
        <v>45660</v>
      </c>
      <c r="B23" t="s">
        <v>559</v>
      </c>
      <c r="C23">
        <v>-22.09</v>
      </c>
      <c r="D23" t="str">
        <f>_xlfn.XLOOKUP(B23,'Payee Ref'!A:A,'Payee Ref'!B:B,"unassigned",0,1)</f>
        <v>Groceries</v>
      </c>
      <c r="E23" t="str">
        <f>_xlfn.XLOOKUP(B23,'Payee Ref'!A:A,'Payee Ref'!C:C,"unassigned",0,1)</f>
        <v>Basic</v>
      </c>
      <c r="F23" t="s">
        <v>2558</v>
      </c>
    </row>
    <row r="24" spans="1:6" hidden="1" x14ac:dyDescent="0.2">
      <c r="A24" s="63">
        <v>45660</v>
      </c>
      <c r="B24" t="s">
        <v>559</v>
      </c>
      <c r="C24">
        <v>-9.59</v>
      </c>
      <c r="D24" t="str">
        <f>_xlfn.XLOOKUP(B24,'Payee Ref'!A:A,'Payee Ref'!B:B,"unassigned",0,1)</f>
        <v>Groceries</v>
      </c>
      <c r="E24" t="str">
        <f>_xlfn.XLOOKUP(B24,'Payee Ref'!A:A,'Payee Ref'!C:C,"unassigned",0,1)</f>
        <v>Basic</v>
      </c>
      <c r="F24" t="s">
        <v>2558</v>
      </c>
    </row>
    <row r="25" spans="1:6" hidden="1" x14ac:dyDescent="0.2">
      <c r="A25" s="63">
        <v>45660</v>
      </c>
      <c r="B25" t="s">
        <v>538</v>
      </c>
      <c r="C25">
        <v>-127.67</v>
      </c>
      <c r="D25" t="str">
        <f>_xlfn.XLOOKUP(B25,'Payee Ref'!A:A,'Payee Ref'!B:B,"unassigned",0,1)</f>
        <v>Groceries</v>
      </c>
      <c r="E25" t="str">
        <f>_xlfn.XLOOKUP(B25,'Payee Ref'!A:A,'Payee Ref'!C:C,"unassigned",0,1)</f>
        <v>Basic</v>
      </c>
      <c r="F25" t="s">
        <v>2558</v>
      </c>
    </row>
    <row r="26" spans="1:6" hidden="1" x14ac:dyDescent="0.2">
      <c r="A26" s="63">
        <v>45660</v>
      </c>
      <c r="B26" t="s">
        <v>843</v>
      </c>
      <c r="C26">
        <v>-137.34</v>
      </c>
      <c r="D26" t="str">
        <f>_xlfn.XLOOKUP(B26,'Payee Ref'!A:A,'Payee Ref'!B:B,"unassigned",0,1)</f>
        <v>Pets</v>
      </c>
      <c r="E26" t="str">
        <f>_xlfn.XLOOKUP(B26,'Payee Ref'!A:A,'Payee Ref'!C:C,"unassigned",0,1)</f>
        <v>Luxury</v>
      </c>
      <c r="F26" t="s">
        <v>2558</v>
      </c>
    </row>
    <row r="27" spans="1:6" hidden="1" x14ac:dyDescent="0.2">
      <c r="A27" s="63">
        <v>45663</v>
      </c>
      <c r="B27" t="s">
        <v>115</v>
      </c>
      <c r="C27">
        <v>-5.93</v>
      </c>
      <c r="D27" t="str">
        <f>_xlfn.XLOOKUP(B27,'Payee Ref'!A:A,'Payee Ref'!B:B,"unassigned",0,1)</f>
        <v>Travel</v>
      </c>
      <c r="E27" t="str">
        <f>_xlfn.XLOOKUP(B27,'Payee Ref'!A:A,'Payee Ref'!C:C,"unassigned",0,1)</f>
        <v>Luxury</v>
      </c>
      <c r="F27" t="s">
        <v>2558</v>
      </c>
    </row>
    <row r="28" spans="1:6" hidden="1" x14ac:dyDescent="0.2">
      <c r="A28" s="63">
        <v>45663</v>
      </c>
      <c r="B28" t="s">
        <v>438</v>
      </c>
      <c r="C28">
        <v>-104.08</v>
      </c>
      <c r="D28" t="str">
        <f>_xlfn.XLOOKUP(B28,'Payee Ref'!A:A,'Payee Ref'!B:B,"unassigned",0,1)</f>
        <v>Dining</v>
      </c>
      <c r="E28" t="str">
        <f>_xlfn.XLOOKUP(B28,'Payee Ref'!A:A,'Payee Ref'!C:C,"unassigned",0,1)</f>
        <v>Luxury</v>
      </c>
      <c r="F28" t="s">
        <v>2558</v>
      </c>
    </row>
    <row r="29" spans="1:6" hidden="1" x14ac:dyDescent="0.2">
      <c r="A29" s="63">
        <v>45665</v>
      </c>
      <c r="B29" t="s">
        <v>714</v>
      </c>
      <c r="C29">
        <v>-2151.83</v>
      </c>
      <c r="D29" t="str">
        <f>_xlfn.XLOOKUP(B29,'Payee Ref'!A:A,'Payee Ref'!B:B,"unassigned",0,1)</f>
        <v>Home &amp; Garden</v>
      </c>
      <c r="E29" t="str">
        <f>_xlfn.XLOOKUP(B29,'Payee Ref'!A:A,'Payee Ref'!C:C,"unassigned",0,1)</f>
        <v>Basic</v>
      </c>
      <c r="F29" t="s">
        <v>2558</v>
      </c>
    </row>
    <row r="30" spans="1:6" hidden="1" x14ac:dyDescent="0.2">
      <c r="A30" s="63">
        <v>45667</v>
      </c>
      <c r="B30" t="s">
        <v>538</v>
      </c>
      <c r="C30">
        <v>-127.67</v>
      </c>
      <c r="D30" t="str">
        <f>_xlfn.XLOOKUP(B30,'Payee Ref'!A:A,'Payee Ref'!B:B,"unassigned",0,1)</f>
        <v>Groceries</v>
      </c>
      <c r="E30" t="str">
        <f>_xlfn.XLOOKUP(B30,'Payee Ref'!A:A,'Payee Ref'!C:C,"unassigned",0,1)</f>
        <v>Basic</v>
      </c>
      <c r="F30" t="s">
        <v>2558</v>
      </c>
    </row>
    <row r="31" spans="1:6" hidden="1" x14ac:dyDescent="0.2">
      <c r="A31" s="63">
        <v>45668</v>
      </c>
      <c r="B31" t="s">
        <v>265</v>
      </c>
      <c r="C31">
        <v>-985.45</v>
      </c>
      <c r="D31" t="str">
        <f>_xlfn.XLOOKUP(B31,'Payee Ref'!A:A,'Payee Ref'!B:B,"unassigned",0,1)</f>
        <v>Dining</v>
      </c>
      <c r="E31" t="str">
        <f>_xlfn.XLOOKUP(B31,'Payee Ref'!A:A,'Payee Ref'!C:C,"unassigned",0,1)</f>
        <v>Luxury</v>
      </c>
      <c r="F31" t="s">
        <v>2558</v>
      </c>
    </row>
    <row r="32" spans="1:6" hidden="1" x14ac:dyDescent="0.2">
      <c r="A32" s="63">
        <v>45670</v>
      </c>
      <c r="B32" t="s">
        <v>849</v>
      </c>
      <c r="C32">
        <v>-62.62</v>
      </c>
      <c r="D32" t="str">
        <f>_xlfn.XLOOKUP(B32,'Payee Ref'!A:A,'Payee Ref'!B:B,"unassigned",0,1)</f>
        <v>Pharmacy</v>
      </c>
      <c r="E32" t="str">
        <f>_xlfn.XLOOKUP(B32,'Payee Ref'!A:A,'Payee Ref'!C:C,"unassigned",0,1)</f>
        <v>Basic</v>
      </c>
      <c r="F32" t="s">
        <v>2558</v>
      </c>
    </row>
    <row r="33" spans="1:6" hidden="1" x14ac:dyDescent="0.2">
      <c r="A33" s="63">
        <v>45674</v>
      </c>
      <c r="B33" t="s">
        <v>538</v>
      </c>
      <c r="C33">
        <v>-127.67</v>
      </c>
      <c r="D33" t="str">
        <f>_xlfn.XLOOKUP(B33,'Payee Ref'!A:A,'Payee Ref'!B:B,"unassigned",0,1)</f>
        <v>Groceries</v>
      </c>
      <c r="E33" t="str">
        <f>_xlfn.XLOOKUP(B33,'Payee Ref'!A:A,'Payee Ref'!C:C,"unassigned",0,1)</f>
        <v>Basic</v>
      </c>
      <c r="F33" t="s">
        <v>2558</v>
      </c>
    </row>
    <row r="34" spans="1:6" hidden="1" x14ac:dyDescent="0.2">
      <c r="A34" s="63">
        <v>45674</v>
      </c>
      <c r="B34" t="s">
        <v>128</v>
      </c>
      <c r="C34">
        <v>-252</v>
      </c>
      <c r="D34" t="str">
        <f>_xlfn.XLOOKUP(B34,'Payee Ref'!A:A,'Payee Ref'!B:B,"unassigned",0,1)</f>
        <v>Clothing</v>
      </c>
      <c r="E34" t="str">
        <f>_xlfn.XLOOKUP(B34,'Payee Ref'!A:A,'Payee Ref'!C:C,"unassigned",0,1)</f>
        <v>Luxury</v>
      </c>
      <c r="F34" t="s">
        <v>2558</v>
      </c>
    </row>
    <row r="35" spans="1:6" hidden="1" x14ac:dyDescent="0.2">
      <c r="A35" s="63">
        <v>45675</v>
      </c>
      <c r="B35" t="s">
        <v>396</v>
      </c>
      <c r="C35">
        <v>-13.15</v>
      </c>
      <c r="D35" t="str">
        <f>_xlfn.XLOOKUP(B35,'Payee Ref'!A:A,'Payee Ref'!B:B,"unassigned",0,1)</f>
        <v>Dining</v>
      </c>
      <c r="E35" t="str">
        <f>_xlfn.XLOOKUP(B35,'Payee Ref'!A:A,'Payee Ref'!C:C,"unassigned",0,1)</f>
        <v>Luxury</v>
      </c>
      <c r="F35" t="s">
        <v>2558</v>
      </c>
    </row>
    <row r="36" spans="1:6" hidden="1" x14ac:dyDescent="0.2">
      <c r="A36" s="63">
        <v>45677</v>
      </c>
      <c r="B36" t="s">
        <v>907</v>
      </c>
      <c r="C36">
        <v>-17.649999999999999</v>
      </c>
      <c r="D36" t="str">
        <f>_xlfn.XLOOKUP(B36,'Payee Ref'!A:A,'Payee Ref'!B:B,"unassigned",0,1)</f>
        <v>Subscriptions / Digital</v>
      </c>
      <c r="E36" t="str">
        <f>_xlfn.XLOOKUP(B36,'Payee Ref'!A:A,'Payee Ref'!C:C,"unassigned",0,1)</f>
        <v>Luxury</v>
      </c>
      <c r="F36" t="s">
        <v>2558</v>
      </c>
    </row>
    <row r="37" spans="1:6" hidden="1" x14ac:dyDescent="0.2">
      <c r="A37" s="63">
        <v>45679</v>
      </c>
      <c r="B37" t="s">
        <v>159</v>
      </c>
      <c r="C37">
        <v>12483.98</v>
      </c>
      <c r="D37" t="str">
        <f>_xlfn.XLOOKUP(B37,'Payee Ref'!A:A,'Payee Ref'!B:B,"unassigned",0,1)</f>
        <v>Credit Card Payment</v>
      </c>
      <c r="E37" t="str">
        <f>_xlfn.XLOOKUP(B37,'Payee Ref'!A:A,'Payee Ref'!C:C,"unassigned",0,1)</f>
        <v>Basic</v>
      </c>
      <c r="F37" t="s">
        <v>2558</v>
      </c>
    </row>
    <row r="38" spans="1:6" hidden="1" x14ac:dyDescent="0.2">
      <c r="A38" s="63">
        <v>45680</v>
      </c>
      <c r="B38" t="s">
        <v>957</v>
      </c>
      <c r="C38">
        <v>-766.6</v>
      </c>
      <c r="D38" t="str">
        <f>_xlfn.XLOOKUP(B38,'Payee Ref'!A:A,'Payee Ref'!B:B,"unassigned",0,1)</f>
        <v>Travel</v>
      </c>
      <c r="E38" t="str">
        <f>_xlfn.XLOOKUP(B38,'Payee Ref'!A:A,'Payee Ref'!C:C,"unassigned",0,1)</f>
        <v>Luxury</v>
      </c>
      <c r="F38" t="s">
        <v>2558</v>
      </c>
    </row>
    <row r="39" spans="1:6" hidden="1" x14ac:dyDescent="0.2">
      <c r="A39" s="63">
        <v>45681</v>
      </c>
      <c r="B39" t="s">
        <v>538</v>
      </c>
      <c r="C39">
        <v>-127.67</v>
      </c>
      <c r="D39" t="str">
        <f>_xlfn.XLOOKUP(B39,'Payee Ref'!A:A,'Payee Ref'!B:B,"unassigned",0,1)</f>
        <v>Groceries</v>
      </c>
      <c r="E39" t="str">
        <f>_xlfn.XLOOKUP(B39,'Payee Ref'!A:A,'Payee Ref'!C:C,"unassigned",0,1)</f>
        <v>Basic</v>
      </c>
      <c r="F39" t="s">
        <v>2558</v>
      </c>
    </row>
    <row r="40" spans="1:6" hidden="1" x14ac:dyDescent="0.2">
      <c r="A40" s="63">
        <v>45681</v>
      </c>
      <c r="B40" t="s">
        <v>1042</v>
      </c>
      <c r="C40">
        <v>-122.27</v>
      </c>
      <c r="D40" t="str">
        <f>_xlfn.XLOOKUP(B40,'Payee Ref'!A:A,'Payee Ref'!B:B,"unassigned",0,1)</f>
        <v>Travel</v>
      </c>
      <c r="E40" t="str">
        <f>_xlfn.XLOOKUP(B40,'Payee Ref'!A:A,'Payee Ref'!C:C,"unassigned",0,1)</f>
        <v>Luxury</v>
      </c>
      <c r="F40" t="s">
        <v>2558</v>
      </c>
    </row>
    <row r="41" spans="1:6" hidden="1" x14ac:dyDescent="0.2">
      <c r="A41" s="63">
        <v>45682</v>
      </c>
      <c r="B41" t="s">
        <v>70</v>
      </c>
      <c r="C41">
        <v>-160.65</v>
      </c>
      <c r="D41" t="str">
        <f>_xlfn.XLOOKUP(B41,'Payee Ref'!A:A,'Payee Ref'!B:B,"unassigned",0,1)</f>
        <v>Bank Fees</v>
      </c>
      <c r="E41" t="str">
        <f>_xlfn.XLOOKUP(B41,'Payee Ref'!A:A,'Payee Ref'!C:C,"unassigned",0,1)</f>
        <v>Luxury</v>
      </c>
      <c r="F41" t="s">
        <v>2558</v>
      </c>
    </row>
    <row r="42" spans="1:6" hidden="1" x14ac:dyDescent="0.2">
      <c r="A42" s="63">
        <v>45682</v>
      </c>
      <c r="B42" t="s">
        <v>1025</v>
      </c>
      <c r="C42">
        <v>-89</v>
      </c>
      <c r="D42" t="str">
        <f>_xlfn.XLOOKUP(B42,'Payee Ref'!A:A,'Payee Ref'!B:B,"unassigned",0,1)</f>
        <v>Travel</v>
      </c>
      <c r="E42" t="str">
        <f>_xlfn.XLOOKUP(B42,'Payee Ref'!A:A,'Payee Ref'!C:C,"unassigned",0,1)</f>
        <v>Luxury</v>
      </c>
      <c r="F42" t="s">
        <v>2558</v>
      </c>
    </row>
    <row r="43" spans="1:6" hidden="1" x14ac:dyDescent="0.2">
      <c r="A43" s="63">
        <v>45682</v>
      </c>
      <c r="B43" t="s">
        <v>957</v>
      </c>
      <c r="C43">
        <v>196.01</v>
      </c>
      <c r="D43" t="str">
        <f>_xlfn.XLOOKUP(B43,'Payee Ref'!A:A,'Payee Ref'!B:B,"unassigned",0,1)</f>
        <v>Travel</v>
      </c>
      <c r="E43" t="str">
        <f>_xlfn.XLOOKUP(B43,'Payee Ref'!A:A,'Payee Ref'!C:C,"unassigned",0,1)</f>
        <v>Luxury</v>
      </c>
      <c r="F43" t="s">
        <v>2558</v>
      </c>
    </row>
    <row r="44" spans="1:6" hidden="1" x14ac:dyDescent="0.2">
      <c r="A44" s="63">
        <v>45682</v>
      </c>
      <c r="B44" t="s">
        <v>1134</v>
      </c>
      <c r="C44">
        <v>-835.84</v>
      </c>
      <c r="D44" t="str">
        <f>_xlfn.XLOOKUP(B44,'Payee Ref'!A:A,'Payee Ref'!B:B,"unassigned",0,1)</f>
        <v>Travel</v>
      </c>
      <c r="E44" t="str">
        <f>_xlfn.XLOOKUP(B44,'Payee Ref'!A:A,'Payee Ref'!C:C,"unassigned",0,1)</f>
        <v>Luxury</v>
      </c>
      <c r="F44" t="s">
        <v>2558</v>
      </c>
    </row>
    <row r="45" spans="1:6" hidden="1" x14ac:dyDescent="0.2">
      <c r="A45" s="63">
        <v>45684</v>
      </c>
      <c r="B45" t="s">
        <v>925</v>
      </c>
      <c r="C45">
        <v>-25.55</v>
      </c>
      <c r="D45" t="str">
        <f>_xlfn.XLOOKUP(B45,'Payee Ref'!A:A,'Payee Ref'!B:B,"unassigned",0,1)</f>
        <v>Subscriptions / Digital</v>
      </c>
      <c r="E45" t="str">
        <f>_xlfn.XLOOKUP(B45,'Payee Ref'!A:A,'Payee Ref'!C:C,"unassigned",0,1)</f>
        <v>Luxury</v>
      </c>
      <c r="F45" t="s">
        <v>2558</v>
      </c>
    </row>
    <row r="46" spans="1:6" hidden="1" x14ac:dyDescent="0.2">
      <c r="A46" s="63">
        <v>45684</v>
      </c>
      <c r="B46" t="s">
        <v>890</v>
      </c>
      <c r="C46">
        <v>-130</v>
      </c>
      <c r="D46" t="str">
        <f>_xlfn.XLOOKUP(B46,'Payee Ref'!A:A,'Payee Ref'!B:B,"unassigned",0,1)</f>
        <v>R&amp;R</v>
      </c>
      <c r="E46" t="str">
        <f>_xlfn.XLOOKUP(B46,'Payee Ref'!A:A,'Payee Ref'!C:C,"unassigned",0,1)</f>
        <v>Luxury</v>
      </c>
      <c r="F46" t="s">
        <v>2558</v>
      </c>
    </row>
    <row r="47" spans="1:6" hidden="1" x14ac:dyDescent="0.2">
      <c r="A47" s="63">
        <v>45684</v>
      </c>
      <c r="B47" t="s">
        <v>932</v>
      </c>
      <c r="C47">
        <v>-3.3</v>
      </c>
      <c r="D47" t="str">
        <f>_xlfn.XLOOKUP(B47,'Payee Ref'!A:A,'Payee Ref'!B:B,"unassigned",0,1)</f>
        <v>Subscriptions / Digital</v>
      </c>
      <c r="E47" t="str">
        <f>_xlfn.XLOOKUP(B47,'Payee Ref'!A:A,'Payee Ref'!C:C,"unassigned",0,1)</f>
        <v>Luxury</v>
      </c>
      <c r="F47" t="s">
        <v>2558</v>
      </c>
    </row>
    <row r="48" spans="1:6" hidden="1" x14ac:dyDescent="0.2">
      <c r="A48" s="63">
        <v>45685</v>
      </c>
      <c r="B48" t="s">
        <v>91</v>
      </c>
      <c r="C48">
        <v>-200</v>
      </c>
      <c r="D48" t="str">
        <f>_xlfn.XLOOKUP(B48,'Payee Ref'!A:A,'Payee Ref'!B:B,"unassigned",0,1)</f>
        <v>Travel</v>
      </c>
      <c r="E48" t="str">
        <f>_xlfn.XLOOKUP(B48,'Payee Ref'!A:A,'Payee Ref'!C:C,"unassigned",0,1)</f>
        <v>Luxury</v>
      </c>
      <c r="F48" t="s">
        <v>2558</v>
      </c>
    </row>
    <row r="49" spans="1:6" hidden="1" x14ac:dyDescent="0.2">
      <c r="A49" s="63">
        <v>45687</v>
      </c>
      <c r="B49" t="s">
        <v>721</v>
      </c>
      <c r="C49">
        <v>-99</v>
      </c>
      <c r="D49" t="str">
        <f>_xlfn.XLOOKUP(B49,'Payee Ref'!A:A,'Payee Ref'!B:B,"unassigned",0,1)</f>
        <v>Home &amp; Garden</v>
      </c>
      <c r="E49" t="str">
        <f>_xlfn.XLOOKUP(B49,'Payee Ref'!A:A,'Payee Ref'!C:C,"unassigned",0,1)</f>
        <v>Basic</v>
      </c>
      <c r="F49" t="s">
        <v>2558</v>
      </c>
    </row>
    <row r="50" spans="1:6" hidden="1" x14ac:dyDescent="0.2">
      <c r="A50" s="63">
        <v>45688</v>
      </c>
      <c r="B50" t="s">
        <v>538</v>
      </c>
      <c r="C50">
        <v>-127.67</v>
      </c>
      <c r="D50" t="str">
        <f>_xlfn.XLOOKUP(B50,'Payee Ref'!A:A,'Payee Ref'!B:B,"unassigned",0,1)</f>
        <v>Groceries</v>
      </c>
      <c r="E50" t="str">
        <f>_xlfn.XLOOKUP(B50,'Payee Ref'!A:A,'Payee Ref'!C:C,"unassigned",0,1)</f>
        <v>Basic</v>
      </c>
      <c r="F50" t="s">
        <v>2558</v>
      </c>
    </row>
    <row r="51" spans="1:6" hidden="1" x14ac:dyDescent="0.2">
      <c r="A51" s="63">
        <v>45688</v>
      </c>
      <c r="B51" t="s">
        <v>152</v>
      </c>
      <c r="C51">
        <v>-63.62</v>
      </c>
      <c r="D51" t="str">
        <f>_xlfn.XLOOKUP(B51,'Payee Ref'!A:A,'Payee Ref'!B:B,"unassigned",0,1)</f>
        <v>Clothing</v>
      </c>
      <c r="E51" t="str">
        <f>_xlfn.XLOOKUP(B51,'Payee Ref'!A:A,'Payee Ref'!C:C,"unassigned",0,1)</f>
        <v>Luxury</v>
      </c>
      <c r="F51" t="s">
        <v>2558</v>
      </c>
    </row>
    <row r="52" spans="1:6" hidden="1" x14ac:dyDescent="0.2">
      <c r="A52" s="63">
        <v>45689</v>
      </c>
      <c r="B52" t="s">
        <v>573</v>
      </c>
      <c r="C52">
        <v>-54.38</v>
      </c>
      <c r="D52" t="str">
        <f>_xlfn.XLOOKUP(B52,'Payee Ref'!A:A,'Payee Ref'!B:B,"unassigned",0,1)</f>
        <v>Groceries</v>
      </c>
      <c r="E52" t="str">
        <f>_xlfn.XLOOKUP(B52,'Payee Ref'!A:A,'Payee Ref'!C:C,"unassigned",0,1)</f>
        <v>Basic</v>
      </c>
      <c r="F52" t="s">
        <v>2558</v>
      </c>
    </row>
    <row r="53" spans="1:6" hidden="1" x14ac:dyDescent="0.2">
      <c r="A53" s="63">
        <v>45689</v>
      </c>
      <c r="B53" t="s">
        <v>438</v>
      </c>
      <c r="C53">
        <v>-31.25</v>
      </c>
      <c r="D53" t="str">
        <f>_xlfn.XLOOKUP(B53,'Payee Ref'!A:A,'Payee Ref'!B:B,"unassigned",0,1)</f>
        <v>Dining</v>
      </c>
      <c r="E53" t="str">
        <f>_xlfn.XLOOKUP(B53,'Payee Ref'!A:A,'Payee Ref'!C:C,"unassigned",0,1)</f>
        <v>Luxury</v>
      </c>
      <c r="F53" t="s">
        <v>2558</v>
      </c>
    </row>
    <row r="54" spans="1:6" hidden="1" x14ac:dyDescent="0.2">
      <c r="A54" s="63">
        <v>45695</v>
      </c>
      <c r="B54" t="s">
        <v>538</v>
      </c>
      <c r="C54">
        <v>-127.67</v>
      </c>
      <c r="D54" t="str">
        <f>_xlfn.XLOOKUP(B54,'Payee Ref'!A:A,'Payee Ref'!B:B,"unassigned",0,1)</f>
        <v>Groceries</v>
      </c>
      <c r="E54" t="str">
        <f>_xlfn.XLOOKUP(B54,'Payee Ref'!A:A,'Payee Ref'!C:C,"unassigned",0,1)</f>
        <v>Basic</v>
      </c>
      <c r="F54" t="s">
        <v>2558</v>
      </c>
    </row>
    <row r="55" spans="1:6" hidden="1" x14ac:dyDescent="0.2">
      <c r="A55" s="63">
        <v>45695</v>
      </c>
      <c r="B55" t="s">
        <v>826</v>
      </c>
      <c r="C55">
        <v>-10</v>
      </c>
      <c r="D55" t="str">
        <f>_xlfn.XLOOKUP(B55,'Payee Ref'!A:A,'Payee Ref'!B:B,"unassigned",0,1)</f>
        <v>Parking</v>
      </c>
      <c r="E55" t="str">
        <f>_xlfn.XLOOKUP(B55,'Payee Ref'!A:A,'Payee Ref'!C:C,"unassigned",0,1)</f>
        <v>Basic</v>
      </c>
      <c r="F55" t="s">
        <v>2558</v>
      </c>
    </row>
    <row r="56" spans="1:6" hidden="1" x14ac:dyDescent="0.2">
      <c r="A56" s="63">
        <v>45696</v>
      </c>
      <c r="B56" t="s">
        <v>826</v>
      </c>
      <c r="C56">
        <v>-0.25</v>
      </c>
      <c r="D56" t="str">
        <f>_xlfn.XLOOKUP(B56,'Payee Ref'!A:A,'Payee Ref'!B:B,"unassigned",0,1)</f>
        <v>Parking</v>
      </c>
      <c r="E56" t="str">
        <f>_xlfn.XLOOKUP(B56,'Payee Ref'!A:A,'Payee Ref'!C:C,"unassigned",0,1)</f>
        <v>Basic</v>
      </c>
      <c r="F56" t="s">
        <v>2558</v>
      </c>
    </row>
    <row r="57" spans="1:6" hidden="1" x14ac:dyDescent="0.2">
      <c r="A57" s="63">
        <v>45696</v>
      </c>
      <c r="B57" t="s">
        <v>826</v>
      </c>
      <c r="C57">
        <v>-10</v>
      </c>
      <c r="D57" t="str">
        <f>_xlfn.XLOOKUP(B57,'Payee Ref'!A:A,'Payee Ref'!B:B,"unassigned",0,1)</f>
        <v>Parking</v>
      </c>
      <c r="E57" t="str">
        <f>_xlfn.XLOOKUP(B57,'Payee Ref'!A:A,'Payee Ref'!C:C,"unassigned",0,1)</f>
        <v>Basic</v>
      </c>
      <c r="F57" t="s">
        <v>2558</v>
      </c>
    </row>
    <row r="58" spans="1:6" hidden="1" x14ac:dyDescent="0.2">
      <c r="A58" s="63">
        <v>45696</v>
      </c>
      <c r="B58" t="s">
        <v>826</v>
      </c>
      <c r="C58">
        <v>-10</v>
      </c>
      <c r="D58" t="str">
        <f>_xlfn.XLOOKUP(B58,'Payee Ref'!A:A,'Payee Ref'!B:B,"unassigned",0,1)</f>
        <v>Parking</v>
      </c>
      <c r="E58" t="str">
        <f>_xlfn.XLOOKUP(B58,'Payee Ref'!A:A,'Payee Ref'!C:C,"unassigned",0,1)</f>
        <v>Basic</v>
      </c>
      <c r="F58" t="s">
        <v>2558</v>
      </c>
    </row>
    <row r="59" spans="1:6" hidden="1" x14ac:dyDescent="0.2">
      <c r="A59" s="63">
        <v>45696</v>
      </c>
      <c r="B59" t="s">
        <v>396</v>
      </c>
      <c r="C59">
        <v>-12.26</v>
      </c>
      <c r="D59" t="str">
        <f>_xlfn.XLOOKUP(B59,'Payee Ref'!A:A,'Payee Ref'!B:B,"unassigned",0,1)</f>
        <v>Dining</v>
      </c>
      <c r="E59" t="str">
        <f>_xlfn.XLOOKUP(B59,'Payee Ref'!A:A,'Payee Ref'!C:C,"unassigned",0,1)</f>
        <v>Luxury</v>
      </c>
      <c r="F59" t="s">
        <v>2558</v>
      </c>
    </row>
    <row r="60" spans="1:6" hidden="1" x14ac:dyDescent="0.2">
      <c r="A60" s="63">
        <v>45696</v>
      </c>
      <c r="B60" t="s">
        <v>137</v>
      </c>
      <c r="C60">
        <v>-14</v>
      </c>
      <c r="D60" t="str">
        <f>_xlfn.XLOOKUP(B60,'Payee Ref'!A:A,'Payee Ref'!B:B,"unassigned",0,1)</f>
        <v>Clothing</v>
      </c>
      <c r="E60" t="str">
        <f>_xlfn.XLOOKUP(B60,'Payee Ref'!A:A,'Payee Ref'!C:C,"unassigned",0,1)</f>
        <v>Basic</v>
      </c>
      <c r="F60" t="s">
        <v>2558</v>
      </c>
    </row>
    <row r="61" spans="1:6" hidden="1" x14ac:dyDescent="0.2">
      <c r="A61" s="63">
        <v>45702</v>
      </c>
      <c r="B61" t="s">
        <v>21</v>
      </c>
      <c r="C61">
        <v>-25.85</v>
      </c>
      <c r="D61" t="str">
        <f>_xlfn.XLOOKUP(B61,'Payee Ref'!A:A,'Payee Ref'!B:B,"unassigned",0,1)</f>
        <v>Auto</v>
      </c>
      <c r="E61" t="str">
        <f>_xlfn.XLOOKUP(B61,'Payee Ref'!A:A,'Payee Ref'!C:C,"unassigned",0,1)</f>
        <v>Basic</v>
      </c>
      <c r="F61" t="s">
        <v>2558</v>
      </c>
    </row>
    <row r="62" spans="1:6" hidden="1" x14ac:dyDescent="0.2">
      <c r="A62" s="63">
        <v>45702</v>
      </c>
      <c r="B62" t="s">
        <v>538</v>
      </c>
      <c r="C62">
        <v>-127.67</v>
      </c>
      <c r="D62" t="str">
        <f>_xlfn.XLOOKUP(B62,'Payee Ref'!A:A,'Payee Ref'!B:B,"unassigned",0,1)</f>
        <v>Groceries</v>
      </c>
      <c r="E62" t="str">
        <f>_xlfn.XLOOKUP(B62,'Payee Ref'!A:A,'Payee Ref'!C:C,"unassigned",0,1)</f>
        <v>Basic</v>
      </c>
      <c r="F62" t="s">
        <v>2558</v>
      </c>
    </row>
    <row r="63" spans="1:6" hidden="1" x14ac:dyDescent="0.2">
      <c r="A63" s="63">
        <v>45705</v>
      </c>
      <c r="B63" t="s">
        <v>380</v>
      </c>
      <c r="C63">
        <v>-30.32</v>
      </c>
      <c r="D63" t="str">
        <f>_xlfn.XLOOKUP(B63,'Payee Ref'!A:A,'Payee Ref'!B:B,"unassigned",0,1)</f>
        <v>Dining</v>
      </c>
      <c r="E63" t="str">
        <f>_xlfn.XLOOKUP(B63,'Payee Ref'!A:A,'Payee Ref'!C:C,"unassigned",0,1)</f>
        <v>Luxury</v>
      </c>
      <c r="F63" t="s">
        <v>2558</v>
      </c>
    </row>
    <row r="64" spans="1:6" hidden="1" x14ac:dyDescent="0.2">
      <c r="A64" s="63">
        <v>45705</v>
      </c>
      <c r="B64" t="s">
        <v>714</v>
      </c>
      <c r="C64">
        <v>-2151.83</v>
      </c>
      <c r="D64" t="str">
        <f>_xlfn.XLOOKUP(B64,'Payee Ref'!A:A,'Payee Ref'!B:B,"unassigned",0,1)</f>
        <v>Home &amp; Garden</v>
      </c>
      <c r="E64" t="str">
        <f>_xlfn.XLOOKUP(B64,'Payee Ref'!A:A,'Payee Ref'!C:C,"unassigned",0,1)</f>
        <v>Basic</v>
      </c>
      <c r="F64" t="s">
        <v>2558</v>
      </c>
    </row>
    <row r="65" spans="1:6" hidden="1" x14ac:dyDescent="0.2">
      <c r="A65" s="63">
        <v>45705</v>
      </c>
      <c r="B65" t="s">
        <v>505</v>
      </c>
      <c r="C65">
        <v>-72.569999999999993</v>
      </c>
      <c r="D65" t="str">
        <f>_xlfn.XLOOKUP(B65,'Payee Ref'!A:A,'Payee Ref'!B:B,"unassigned",0,1)</f>
        <v>Extracirricular</v>
      </c>
      <c r="E65" t="str">
        <f>_xlfn.XLOOKUP(B65,'Payee Ref'!A:A,'Payee Ref'!C:C,"unassigned",0,1)</f>
        <v>Basic</v>
      </c>
      <c r="F65" t="s">
        <v>2558</v>
      </c>
    </row>
    <row r="66" spans="1:6" hidden="1" x14ac:dyDescent="0.2">
      <c r="A66" s="63">
        <v>45706</v>
      </c>
      <c r="B66" t="s">
        <v>146</v>
      </c>
      <c r="C66">
        <v>-165.75</v>
      </c>
      <c r="D66" t="str">
        <f>_xlfn.XLOOKUP(B66,'Payee Ref'!A:A,'Payee Ref'!B:B,"unassigned",0,1)</f>
        <v>Clothing</v>
      </c>
      <c r="E66" t="str">
        <f>_xlfn.XLOOKUP(B66,'Payee Ref'!A:A,'Payee Ref'!C:C,"unassigned",0,1)</f>
        <v>Luxury</v>
      </c>
      <c r="F66" t="s">
        <v>2558</v>
      </c>
    </row>
    <row r="67" spans="1:6" hidden="1" x14ac:dyDescent="0.2">
      <c r="A67" s="63">
        <v>45706</v>
      </c>
      <c r="B67" t="s">
        <v>731</v>
      </c>
      <c r="C67">
        <v>-1167.22</v>
      </c>
      <c r="D67" t="str">
        <f>_xlfn.XLOOKUP(B67,'Payee Ref'!A:A,'Payee Ref'!B:B,"unassigned",0,1)</f>
        <v>Home &amp; Garden</v>
      </c>
      <c r="E67" t="str">
        <f>_xlfn.XLOOKUP(B67,'Payee Ref'!A:A,'Payee Ref'!C:C,"unassigned",0,1)</f>
        <v>Basic</v>
      </c>
      <c r="F67" t="s">
        <v>2558</v>
      </c>
    </row>
    <row r="68" spans="1:6" hidden="1" x14ac:dyDescent="0.2">
      <c r="A68" s="63">
        <v>45707</v>
      </c>
      <c r="B68" t="s">
        <v>369</v>
      </c>
      <c r="C68">
        <v>-42.48</v>
      </c>
      <c r="D68" t="str">
        <f>_xlfn.XLOOKUP(B68,'Payee Ref'!A:A,'Payee Ref'!B:B,"unassigned",0,1)</f>
        <v>Dining</v>
      </c>
      <c r="E68" t="str">
        <f>_xlfn.XLOOKUP(B68,'Payee Ref'!A:A,'Payee Ref'!C:C,"unassigned",0,1)</f>
        <v>Luxury</v>
      </c>
      <c r="F68" t="s">
        <v>2558</v>
      </c>
    </row>
    <row r="69" spans="1:6" hidden="1" x14ac:dyDescent="0.2">
      <c r="A69" s="63">
        <v>45707</v>
      </c>
      <c r="B69" t="s">
        <v>907</v>
      </c>
      <c r="C69">
        <v>-17.649999999999999</v>
      </c>
      <c r="D69" t="str">
        <f>_xlfn.XLOOKUP(B69,'Payee Ref'!A:A,'Payee Ref'!B:B,"unassigned",0,1)</f>
        <v>Subscriptions / Digital</v>
      </c>
      <c r="E69" t="str">
        <f>_xlfn.XLOOKUP(B69,'Payee Ref'!A:A,'Payee Ref'!C:C,"unassigned",0,1)</f>
        <v>Luxury</v>
      </c>
      <c r="F69" t="s">
        <v>2558</v>
      </c>
    </row>
    <row r="70" spans="1:6" hidden="1" x14ac:dyDescent="0.2">
      <c r="A70" s="63">
        <v>45709</v>
      </c>
      <c r="B70" t="s">
        <v>538</v>
      </c>
      <c r="C70">
        <v>-127.67</v>
      </c>
      <c r="D70" t="str">
        <f>_xlfn.XLOOKUP(B70,'Payee Ref'!A:A,'Payee Ref'!B:B,"unassigned",0,1)</f>
        <v>Groceries</v>
      </c>
      <c r="E70" t="str">
        <f>_xlfn.XLOOKUP(B70,'Payee Ref'!A:A,'Payee Ref'!C:C,"unassigned",0,1)</f>
        <v>Basic</v>
      </c>
      <c r="F70" t="s">
        <v>2558</v>
      </c>
    </row>
    <row r="71" spans="1:6" hidden="1" x14ac:dyDescent="0.2">
      <c r="A71" s="63">
        <v>45709</v>
      </c>
      <c r="B71" t="s">
        <v>833</v>
      </c>
      <c r="C71">
        <v>-102.5</v>
      </c>
      <c r="D71" t="str">
        <f>_xlfn.XLOOKUP(B71,'Payee Ref'!A:A,'Payee Ref'!B:B,"unassigned",0,1)</f>
        <v>Personal Care</v>
      </c>
      <c r="E71" t="str">
        <f>_xlfn.XLOOKUP(B71,'Payee Ref'!A:A,'Payee Ref'!C:C,"unassigned",0,1)</f>
        <v>Basic</v>
      </c>
      <c r="F71" t="s">
        <v>2558</v>
      </c>
    </row>
    <row r="72" spans="1:6" hidden="1" x14ac:dyDescent="0.2">
      <c r="A72" s="63">
        <v>45709</v>
      </c>
      <c r="B72" t="s">
        <v>159</v>
      </c>
      <c r="C72">
        <v>2648.84</v>
      </c>
      <c r="D72" t="str">
        <f>_xlfn.XLOOKUP(B72,'Payee Ref'!A:A,'Payee Ref'!B:B,"unassigned",0,1)</f>
        <v>Credit Card Payment</v>
      </c>
      <c r="E72" t="str">
        <f>_xlfn.XLOOKUP(B72,'Payee Ref'!A:A,'Payee Ref'!C:C,"unassigned",0,1)</f>
        <v>Basic</v>
      </c>
      <c r="F72" t="s">
        <v>2558</v>
      </c>
    </row>
    <row r="73" spans="1:6" hidden="1" x14ac:dyDescent="0.2">
      <c r="A73" s="63">
        <v>45710</v>
      </c>
      <c r="B73" t="s">
        <v>126</v>
      </c>
      <c r="C73">
        <v>-181</v>
      </c>
      <c r="D73" t="str">
        <f>_xlfn.XLOOKUP(B73,'Payee Ref'!A:A,'Payee Ref'!B:B,"unassigned",0,1)</f>
        <v>Clothing</v>
      </c>
      <c r="E73" t="str">
        <f>_xlfn.XLOOKUP(B73,'Payee Ref'!A:A,'Payee Ref'!C:C,"unassigned",0,1)</f>
        <v>Luxury</v>
      </c>
      <c r="F73" t="s">
        <v>2558</v>
      </c>
    </row>
    <row r="74" spans="1:6" hidden="1" x14ac:dyDescent="0.2">
      <c r="A74" s="63">
        <v>45712</v>
      </c>
      <c r="B74" t="s">
        <v>925</v>
      </c>
      <c r="C74">
        <v>-25.55</v>
      </c>
      <c r="D74" t="str">
        <f>_xlfn.XLOOKUP(B74,'Payee Ref'!A:A,'Payee Ref'!B:B,"unassigned",0,1)</f>
        <v>Subscriptions / Digital</v>
      </c>
      <c r="E74" t="str">
        <f>_xlfn.XLOOKUP(B74,'Payee Ref'!A:A,'Payee Ref'!C:C,"unassigned",0,1)</f>
        <v>Luxury</v>
      </c>
      <c r="F74" t="s">
        <v>2558</v>
      </c>
    </row>
    <row r="75" spans="1:6" hidden="1" x14ac:dyDescent="0.2">
      <c r="A75" s="63">
        <v>45712</v>
      </c>
      <c r="B75" t="s">
        <v>549</v>
      </c>
      <c r="C75">
        <v>-74.900000000000006</v>
      </c>
      <c r="D75" t="str">
        <f>_xlfn.XLOOKUP(B75,'Payee Ref'!A:A,'Payee Ref'!B:B,"unassigned",0,1)</f>
        <v>Groceries</v>
      </c>
      <c r="E75" t="str">
        <f>_xlfn.XLOOKUP(B75,'Payee Ref'!A:A,'Payee Ref'!C:C,"unassigned",0,1)</f>
        <v>Basic</v>
      </c>
      <c r="F75" t="s">
        <v>2558</v>
      </c>
    </row>
    <row r="76" spans="1:6" hidden="1" x14ac:dyDescent="0.2">
      <c r="A76" s="63">
        <v>45714</v>
      </c>
      <c r="B76" t="s">
        <v>932</v>
      </c>
      <c r="C76">
        <v>-3.3</v>
      </c>
      <c r="D76" t="str">
        <f>_xlfn.XLOOKUP(B76,'Payee Ref'!A:A,'Payee Ref'!B:B,"unassigned",0,1)</f>
        <v>Subscriptions / Digital</v>
      </c>
      <c r="E76" t="str">
        <f>_xlfn.XLOOKUP(B76,'Payee Ref'!A:A,'Payee Ref'!C:C,"unassigned",0,1)</f>
        <v>Luxury</v>
      </c>
      <c r="F76" t="s">
        <v>2558</v>
      </c>
    </row>
    <row r="77" spans="1:6" hidden="1" x14ac:dyDescent="0.2">
      <c r="A77" s="63">
        <v>45714</v>
      </c>
      <c r="B77" t="s">
        <v>908</v>
      </c>
      <c r="C77">
        <v>-105.93</v>
      </c>
      <c r="D77" t="str">
        <f>_xlfn.XLOOKUP(B77,'Payee Ref'!A:A,'Payee Ref'!B:B,"unassigned",0,1)</f>
        <v>Subscriptions / Digital</v>
      </c>
      <c r="E77" t="str">
        <f>_xlfn.XLOOKUP(B77,'Payee Ref'!A:A,'Payee Ref'!C:C,"unassigned",0,1)</f>
        <v>Luxury</v>
      </c>
      <c r="F77" t="s">
        <v>2558</v>
      </c>
    </row>
    <row r="78" spans="1:6" hidden="1" x14ac:dyDescent="0.2">
      <c r="A78" s="63">
        <v>45716</v>
      </c>
      <c r="B78" t="s">
        <v>538</v>
      </c>
      <c r="C78">
        <v>-127.67</v>
      </c>
      <c r="D78" t="str">
        <f>_xlfn.XLOOKUP(B78,'Payee Ref'!A:A,'Payee Ref'!B:B,"unassigned",0,1)</f>
        <v>Groceries</v>
      </c>
      <c r="E78" t="str">
        <f>_xlfn.XLOOKUP(B78,'Payee Ref'!A:A,'Payee Ref'!C:C,"unassigned",0,1)</f>
        <v>Basic</v>
      </c>
      <c r="F78" t="s">
        <v>2558</v>
      </c>
    </row>
    <row r="79" spans="1:6" hidden="1" x14ac:dyDescent="0.2">
      <c r="A79" s="63">
        <v>45721</v>
      </c>
      <c r="B79" t="s">
        <v>721</v>
      </c>
      <c r="C79">
        <v>-99</v>
      </c>
      <c r="D79" t="str">
        <f>_xlfn.XLOOKUP(B79,'Payee Ref'!A:A,'Payee Ref'!B:B,"unassigned",0,1)</f>
        <v>Home &amp; Garden</v>
      </c>
      <c r="E79" t="str">
        <f>_xlfn.XLOOKUP(B79,'Payee Ref'!A:A,'Payee Ref'!C:C,"unassigned",0,1)</f>
        <v>Basic</v>
      </c>
      <c r="F79" t="s">
        <v>2558</v>
      </c>
    </row>
    <row r="80" spans="1:6" hidden="1" x14ac:dyDescent="0.2">
      <c r="A80" s="63">
        <v>45722</v>
      </c>
      <c r="B80" t="s">
        <v>89</v>
      </c>
      <c r="C80">
        <v>-175</v>
      </c>
      <c r="D80" t="str">
        <f>_xlfn.XLOOKUP(B80,'Payee Ref'!A:A,'Payee Ref'!B:B,"unassigned",0,1)</f>
        <v>Charitable Contributions</v>
      </c>
      <c r="E80" t="str">
        <f>_xlfn.XLOOKUP(B80,'Payee Ref'!A:A,'Payee Ref'!C:C,"unassigned",0,1)</f>
        <v>Basic</v>
      </c>
      <c r="F80" t="s">
        <v>2558</v>
      </c>
    </row>
    <row r="81" spans="1:6" hidden="1" x14ac:dyDescent="0.2">
      <c r="A81" s="63">
        <v>45723</v>
      </c>
      <c r="B81" t="s">
        <v>538</v>
      </c>
      <c r="C81">
        <v>-127.67</v>
      </c>
      <c r="D81" t="str">
        <f>_xlfn.XLOOKUP(B81,'Payee Ref'!A:A,'Payee Ref'!B:B,"unassigned",0,1)</f>
        <v>Groceries</v>
      </c>
      <c r="E81" t="str">
        <f>_xlfn.XLOOKUP(B81,'Payee Ref'!A:A,'Payee Ref'!C:C,"unassigned",0,1)</f>
        <v>Basic</v>
      </c>
      <c r="F81" t="s">
        <v>2558</v>
      </c>
    </row>
    <row r="82" spans="1:6" hidden="1" x14ac:dyDescent="0.2">
      <c r="A82" s="63">
        <v>45726</v>
      </c>
      <c r="B82" t="s">
        <v>123</v>
      </c>
      <c r="C82">
        <v>-425.27</v>
      </c>
      <c r="D82" t="str">
        <f>_xlfn.XLOOKUP(B82,'Payee Ref'!A:A,'Payee Ref'!B:B,"unassigned",0,1)</f>
        <v>Clothing</v>
      </c>
      <c r="E82" t="str">
        <f>_xlfn.XLOOKUP(B82,'Payee Ref'!A:A,'Payee Ref'!C:C,"unassigned",0,1)</f>
        <v>Luxury</v>
      </c>
      <c r="F82" t="s">
        <v>2558</v>
      </c>
    </row>
    <row r="83" spans="1:6" hidden="1" x14ac:dyDescent="0.2">
      <c r="A83" s="63">
        <v>45726</v>
      </c>
      <c r="B83" t="s">
        <v>224</v>
      </c>
      <c r="C83">
        <v>-10.9</v>
      </c>
      <c r="D83" t="str">
        <f>_xlfn.XLOOKUP(B83,'Payee Ref'!A:A,'Payee Ref'!B:B,"unassigned",0,1)</f>
        <v>Travel</v>
      </c>
      <c r="E83" t="str">
        <f>_xlfn.XLOOKUP(B83,'Payee Ref'!A:A,'Payee Ref'!C:C,"unassigned",0,1)</f>
        <v>Luxury</v>
      </c>
      <c r="F83" t="s">
        <v>2558</v>
      </c>
    </row>
    <row r="84" spans="1:6" hidden="1" x14ac:dyDescent="0.2">
      <c r="A84" s="63">
        <v>45727</v>
      </c>
      <c r="B84" t="s">
        <v>123</v>
      </c>
      <c r="C84">
        <v>-446.09</v>
      </c>
      <c r="D84" t="str">
        <f>_xlfn.XLOOKUP(B84,'Payee Ref'!A:A,'Payee Ref'!B:B,"unassigned",0,1)</f>
        <v>Clothing</v>
      </c>
      <c r="E84" t="str">
        <f>_xlfn.XLOOKUP(B84,'Payee Ref'!A:A,'Payee Ref'!C:C,"unassigned",0,1)</f>
        <v>Luxury</v>
      </c>
      <c r="F84" t="s">
        <v>2558</v>
      </c>
    </row>
    <row r="85" spans="1:6" hidden="1" x14ac:dyDescent="0.2">
      <c r="A85" s="63">
        <v>45727</v>
      </c>
      <c r="B85" t="s">
        <v>123</v>
      </c>
      <c r="C85">
        <v>-569.41</v>
      </c>
      <c r="D85" t="str">
        <f>_xlfn.XLOOKUP(B85,'Payee Ref'!A:A,'Payee Ref'!B:B,"unassigned",0,1)</f>
        <v>Clothing</v>
      </c>
      <c r="E85" t="str">
        <f>_xlfn.XLOOKUP(B85,'Payee Ref'!A:A,'Payee Ref'!C:C,"unassigned",0,1)</f>
        <v>Luxury</v>
      </c>
      <c r="F85" t="s">
        <v>2558</v>
      </c>
    </row>
    <row r="86" spans="1:6" hidden="1" x14ac:dyDescent="0.2">
      <c r="A86" s="63">
        <v>45728</v>
      </c>
      <c r="B86" t="s">
        <v>822</v>
      </c>
      <c r="C86">
        <v>-3.25</v>
      </c>
      <c r="D86" t="str">
        <f>_xlfn.XLOOKUP(B86,'Payee Ref'!A:A,'Payee Ref'!B:B,"unassigned",0,1)</f>
        <v>Parking</v>
      </c>
      <c r="E86" t="str">
        <f>_xlfn.XLOOKUP(B86,'Payee Ref'!A:A,'Payee Ref'!C:C,"unassigned",0,1)</f>
        <v>Basic</v>
      </c>
      <c r="F86" t="s">
        <v>2558</v>
      </c>
    </row>
    <row r="87" spans="1:6" hidden="1" x14ac:dyDescent="0.2">
      <c r="A87" s="63">
        <v>45728</v>
      </c>
      <c r="B87" t="s">
        <v>452</v>
      </c>
      <c r="C87">
        <v>-44.3</v>
      </c>
      <c r="D87" t="str">
        <f>_xlfn.XLOOKUP(B87,'Payee Ref'!A:A,'Payee Ref'!B:B,"unassigned",0,1)</f>
        <v>Dining</v>
      </c>
      <c r="E87" t="str">
        <f>_xlfn.XLOOKUP(B87,'Payee Ref'!A:A,'Payee Ref'!C:C,"unassigned",0,1)</f>
        <v>Luxury</v>
      </c>
      <c r="F87" t="s">
        <v>2558</v>
      </c>
    </row>
    <row r="88" spans="1:6" hidden="1" x14ac:dyDescent="0.2">
      <c r="A88" s="63">
        <v>45729</v>
      </c>
      <c r="B88" t="s">
        <v>528</v>
      </c>
      <c r="C88">
        <v>-6.6</v>
      </c>
      <c r="D88" t="str">
        <f>_xlfn.XLOOKUP(B88,'Payee Ref'!A:A,'Payee Ref'!B:B,"unassigned",0,1)</f>
        <v>Travel</v>
      </c>
      <c r="E88" t="str">
        <f>_xlfn.XLOOKUP(B88,'Payee Ref'!A:A,'Payee Ref'!C:C,"unassigned",0,1)</f>
        <v>Luxury</v>
      </c>
      <c r="F88" t="s">
        <v>2558</v>
      </c>
    </row>
    <row r="89" spans="1:6" hidden="1" x14ac:dyDescent="0.2">
      <c r="A89" s="63">
        <v>45729</v>
      </c>
      <c r="B89" t="s">
        <v>930</v>
      </c>
      <c r="C89">
        <v>-145.53</v>
      </c>
      <c r="D89" t="str">
        <f>_xlfn.XLOOKUP(B89,'Payee Ref'!A:A,'Payee Ref'!B:B,"unassigned",0,1)</f>
        <v>Subscriptions / Digital</v>
      </c>
      <c r="E89" t="str">
        <f>_xlfn.XLOOKUP(B89,'Payee Ref'!A:A,'Payee Ref'!C:C,"unassigned",0,1)</f>
        <v>Luxury</v>
      </c>
      <c r="F89" t="s">
        <v>2558</v>
      </c>
    </row>
    <row r="90" spans="1:6" hidden="1" x14ac:dyDescent="0.2">
      <c r="A90" s="63">
        <v>45730</v>
      </c>
      <c r="B90" t="s">
        <v>538</v>
      </c>
      <c r="C90">
        <v>-127.67</v>
      </c>
      <c r="D90" t="str">
        <f>_xlfn.XLOOKUP(B90,'Payee Ref'!A:A,'Payee Ref'!B:B,"unassigned",0,1)</f>
        <v>Groceries</v>
      </c>
      <c r="E90" t="str">
        <f>_xlfn.XLOOKUP(B90,'Payee Ref'!A:A,'Payee Ref'!C:C,"unassigned",0,1)</f>
        <v>Basic</v>
      </c>
      <c r="F90" t="s">
        <v>2558</v>
      </c>
    </row>
    <row r="91" spans="1:6" hidden="1" x14ac:dyDescent="0.2">
      <c r="A91" s="63">
        <v>45735</v>
      </c>
      <c r="B91" t="s">
        <v>124</v>
      </c>
      <c r="C91">
        <v>1938.01</v>
      </c>
      <c r="D91" t="str">
        <f>_xlfn.XLOOKUP(B91,'Payee Ref'!A:A,'Payee Ref'!B:B,"unassigned",0,1)</f>
        <v>Clothing</v>
      </c>
      <c r="E91" t="str">
        <f>_xlfn.XLOOKUP(B91,'Payee Ref'!A:A,'Payee Ref'!C:C,"unassigned",0,1)</f>
        <v>Luxury</v>
      </c>
      <c r="F91" t="s">
        <v>2558</v>
      </c>
    </row>
    <row r="92" spans="1:6" hidden="1" x14ac:dyDescent="0.2">
      <c r="A92" s="63">
        <v>45735</v>
      </c>
      <c r="B92" t="s">
        <v>123</v>
      </c>
      <c r="C92">
        <v>-79.45</v>
      </c>
      <c r="D92" t="str">
        <f>_xlfn.XLOOKUP(B92,'Payee Ref'!A:A,'Payee Ref'!B:B,"unassigned",0,1)</f>
        <v>Clothing</v>
      </c>
      <c r="E92" t="str">
        <f>_xlfn.XLOOKUP(B92,'Payee Ref'!A:A,'Payee Ref'!C:C,"unassigned",0,1)</f>
        <v>Luxury</v>
      </c>
      <c r="F92" t="s">
        <v>2558</v>
      </c>
    </row>
    <row r="93" spans="1:6" hidden="1" x14ac:dyDescent="0.2">
      <c r="A93" s="63">
        <v>45735</v>
      </c>
      <c r="B93" t="s">
        <v>907</v>
      </c>
      <c r="C93">
        <v>-17.649999999999999</v>
      </c>
      <c r="D93" t="str">
        <f>_xlfn.XLOOKUP(B93,'Payee Ref'!A:A,'Payee Ref'!B:B,"unassigned",0,1)</f>
        <v>Subscriptions / Digital</v>
      </c>
      <c r="E93" t="str">
        <f>_xlfn.XLOOKUP(B93,'Payee Ref'!A:A,'Payee Ref'!C:C,"unassigned",0,1)</f>
        <v>Luxury</v>
      </c>
      <c r="F93" t="s">
        <v>2558</v>
      </c>
    </row>
    <row r="94" spans="1:6" hidden="1" x14ac:dyDescent="0.2">
      <c r="A94" s="63">
        <v>45736</v>
      </c>
      <c r="B94" t="s">
        <v>364</v>
      </c>
      <c r="C94">
        <v>-25.86</v>
      </c>
      <c r="D94" t="str">
        <f>_xlfn.XLOOKUP(B94,'Payee Ref'!A:A,'Payee Ref'!B:B,"unassigned",0,1)</f>
        <v>Dining</v>
      </c>
      <c r="E94" t="str">
        <f>_xlfn.XLOOKUP(B94,'Payee Ref'!A:A,'Payee Ref'!C:C,"unassigned",0,1)</f>
        <v>Luxury</v>
      </c>
      <c r="F94" t="s">
        <v>2558</v>
      </c>
    </row>
    <row r="95" spans="1:6" hidden="1" x14ac:dyDescent="0.2">
      <c r="A95" s="63">
        <v>45737</v>
      </c>
      <c r="B95" t="s">
        <v>159</v>
      </c>
      <c r="C95">
        <v>5231.91</v>
      </c>
      <c r="D95" t="str">
        <f>_xlfn.XLOOKUP(B95,'Payee Ref'!A:A,'Payee Ref'!B:B,"unassigned",0,1)</f>
        <v>Credit Card Payment</v>
      </c>
      <c r="E95" t="str">
        <f>_xlfn.XLOOKUP(B95,'Payee Ref'!A:A,'Payee Ref'!C:C,"unassigned",0,1)</f>
        <v>Basic</v>
      </c>
      <c r="F95" t="s">
        <v>2558</v>
      </c>
    </row>
    <row r="96" spans="1:6" hidden="1" x14ac:dyDescent="0.2">
      <c r="A96" s="63">
        <v>45737</v>
      </c>
      <c r="B96" t="s">
        <v>538</v>
      </c>
      <c r="C96">
        <v>-127.67</v>
      </c>
      <c r="D96" t="str">
        <f>_xlfn.XLOOKUP(B96,'Payee Ref'!A:A,'Payee Ref'!B:B,"unassigned",0,1)</f>
        <v>Groceries</v>
      </c>
      <c r="E96" t="str">
        <f>_xlfn.XLOOKUP(B96,'Payee Ref'!A:A,'Payee Ref'!C:C,"unassigned",0,1)</f>
        <v>Basic</v>
      </c>
      <c r="F96" t="s">
        <v>2558</v>
      </c>
    </row>
    <row r="97" spans="1:6" hidden="1" x14ac:dyDescent="0.2">
      <c r="A97" s="63">
        <v>45737</v>
      </c>
      <c r="B97" t="s">
        <v>369</v>
      </c>
      <c r="C97">
        <v>-23.73</v>
      </c>
      <c r="D97" t="str">
        <f>_xlfn.XLOOKUP(B97,'Payee Ref'!A:A,'Payee Ref'!B:B,"unassigned",0,1)</f>
        <v>Dining</v>
      </c>
      <c r="E97" t="str">
        <f>_xlfn.XLOOKUP(B97,'Payee Ref'!A:A,'Payee Ref'!C:C,"unassigned",0,1)</f>
        <v>Luxury</v>
      </c>
      <c r="F97" t="s">
        <v>2558</v>
      </c>
    </row>
    <row r="98" spans="1:6" hidden="1" x14ac:dyDescent="0.2">
      <c r="A98" s="63">
        <v>45737</v>
      </c>
      <c r="B98" t="s">
        <v>833</v>
      </c>
      <c r="C98">
        <v>-98.4</v>
      </c>
      <c r="D98" t="str">
        <f>_xlfn.XLOOKUP(B98,'Payee Ref'!A:A,'Payee Ref'!B:B,"unassigned",0,1)</f>
        <v>Personal Care</v>
      </c>
      <c r="E98" t="str">
        <f>_xlfn.XLOOKUP(B98,'Payee Ref'!A:A,'Payee Ref'!C:C,"unassigned",0,1)</f>
        <v>Basic</v>
      </c>
      <c r="F98" t="s">
        <v>2558</v>
      </c>
    </row>
    <row r="99" spans="1:6" hidden="1" x14ac:dyDescent="0.2">
      <c r="A99" s="63">
        <v>45740</v>
      </c>
      <c r="B99" t="s">
        <v>925</v>
      </c>
      <c r="C99">
        <v>-25.55</v>
      </c>
      <c r="D99" t="str">
        <f>_xlfn.XLOOKUP(B99,'Payee Ref'!A:A,'Payee Ref'!B:B,"unassigned",0,1)</f>
        <v>Subscriptions / Digital</v>
      </c>
      <c r="E99" t="str">
        <f>_xlfn.XLOOKUP(B99,'Payee Ref'!A:A,'Payee Ref'!C:C,"unassigned",0,1)</f>
        <v>Luxury</v>
      </c>
      <c r="F99" t="s">
        <v>2558</v>
      </c>
    </row>
    <row r="100" spans="1:6" hidden="1" x14ac:dyDescent="0.2">
      <c r="A100" s="63">
        <v>45740</v>
      </c>
      <c r="B100" t="s">
        <v>965</v>
      </c>
      <c r="C100">
        <v>-950.21</v>
      </c>
      <c r="D100" t="str">
        <f>_xlfn.XLOOKUP(B100,'Payee Ref'!A:A,'Payee Ref'!B:B,"unassigned",0,1)</f>
        <v>Travel</v>
      </c>
      <c r="E100" t="str">
        <f>_xlfn.XLOOKUP(B100,'Payee Ref'!A:A,'Payee Ref'!C:C,"unassigned",0,1)</f>
        <v>Luxury</v>
      </c>
      <c r="F100" t="s">
        <v>2558</v>
      </c>
    </row>
    <row r="101" spans="1:6" hidden="1" x14ac:dyDescent="0.2">
      <c r="A101" s="63">
        <v>45740</v>
      </c>
      <c r="B101" t="s">
        <v>964</v>
      </c>
      <c r="C101">
        <v>-950.21</v>
      </c>
      <c r="D101" t="str">
        <f>_xlfn.XLOOKUP(B101,'Payee Ref'!A:A,'Payee Ref'!B:B,"unassigned",0,1)</f>
        <v>Travel</v>
      </c>
      <c r="E101" t="str">
        <f>_xlfn.XLOOKUP(B101,'Payee Ref'!A:A,'Payee Ref'!C:C,"unassigned",0,1)</f>
        <v>Luxury</v>
      </c>
      <c r="F101" t="s">
        <v>2558</v>
      </c>
    </row>
    <row r="102" spans="1:6" hidden="1" x14ac:dyDescent="0.2">
      <c r="A102" s="63">
        <v>45742</v>
      </c>
      <c r="B102" t="s">
        <v>932</v>
      </c>
      <c r="C102">
        <v>-3.3</v>
      </c>
      <c r="D102" t="str">
        <f>_xlfn.XLOOKUP(B102,'Payee Ref'!A:A,'Payee Ref'!B:B,"unassigned",0,1)</f>
        <v>Subscriptions / Digital</v>
      </c>
      <c r="E102" t="str">
        <f>_xlfn.XLOOKUP(B102,'Payee Ref'!A:A,'Payee Ref'!C:C,"unassigned",0,1)</f>
        <v>Luxury</v>
      </c>
      <c r="F102" t="s">
        <v>2558</v>
      </c>
    </row>
    <row r="103" spans="1:6" hidden="1" x14ac:dyDescent="0.2">
      <c r="A103" s="63">
        <v>45743</v>
      </c>
      <c r="B103" t="s">
        <v>127</v>
      </c>
      <c r="C103">
        <v>-115</v>
      </c>
      <c r="D103" t="str">
        <f>_xlfn.XLOOKUP(B103,'Payee Ref'!A:A,'Payee Ref'!B:B,"unassigned",0,1)</f>
        <v>Clothing</v>
      </c>
      <c r="E103" t="str">
        <f>_xlfn.XLOOKUP(B103,'Payee Ref'!A:A,'Payee Ref'!C:C,"unassigned",0,1)</f>
        <v>Luxury</v>
      </c>
      <c r="F103" t="s">
        <v>2558</v>
      </c>
    </row>
    <row r="104" spans="1:6" hidden="1" x14ac:dyDescent="0.2">
      <c r="A104" s="63">
        <v>45744</v>
      </c>
      <c r="B104" t="s">
        <v>538</v>
      </c>
      <c r="C104">
        <v>-127.67</v>
      </c>
      <c r="D104" t="str">
        <f>_xlfn.XLOOKUP(B104,'Payee Ref'!A:A,'Payee Ref'!B:B,"unassigned",0,1)</f>
        <v>Groceries</v>
      </c>
      <c r="E104" t="str">
        <f>_xlfn.XLOOKUP(B104,'Payee Ref'!A:A,'Payee Ref'!C:C,"unassigned",0,1)</f>
        <v>Basic</v>
      </c>
      <c r="F104" t="s">
        <v>2558</v>
      </c>
    </row>
    <row r="105" spans="1:6" hidden="1" x14ac:dyDescent="0.2">
      <c r="A105" s="63">
        <v>45745</v>
      </c>
      <c r="B105" t="s">
        <v>1085</v>
      </c>
      <c r="C105">
        <v>-138.41</v>
      </c>
      <c r="D105" t="str">
        <f>_xlfn.XLOOKUP(B105,'Payee Ref'!A:A,'Payee Ref'!B:B,"unassigned",0,1)</f>
        <v>Travel</v>
      </c>
      <c r="E105" t="str">
        <f>_xlfn.XLOOKUP(B105,'Payee Ref'!A:A,'Payee Ref'!C:C,"unassigned",0,1)</f>
        <v>Luxury</v>
      </c>
      <c r="F105" t="s">
        <v>2558</v>
      </c>
    </row>
    <row r="106" spans="1:6" hidden="1" x14ac:dyDescent="0.2">
      <c r="A106" s="63">
        <v>45747</v>
      </c>
      <c r="B106" t="s">
        <v>1027</v>
      </c>
      <c r="C106">
        <v>-4.72</v>
      </c>
      <c r="D106" t="str">
        <f>_xlfn.XLOOKUP(B106,'Payee Ref'!A:A,'Payee Ref'!B:B,"unassigned",0,1)</f>
        <v>Travel</v>
      </c>
      <c r="E106" t="str">
        <f>_xlfn.XLOOKUP(B106,'Payee Ref'!A:A,'Payee Ref'!C:C,"unassigned",0,1)</f>
        <v>Luxury</v>
      </c>
      <c r="F106" t="s">
        <v>2558</v>
      </c>
    </row>
    <row r="107" spans="1:6" hidden="1" x14ac:dyDescent="0.2">
      <c r="A107" s="63">
        <v>45748</v>
      </c>
      <c r="B107" t="s">
        <v>721</v>
      </c>
      <c r="C107">
        <v>-99</v>
      </c>
      <c r="D107" t="str">
        <f>_xlfn.XLOOKUP(B107,'Payee Ref'!A:A,'Payee Ref'!B:B,"unassigned",0,1)</f>
        <v>Home &amp; Garden</v>
      </c>
      <c r="E107" t="str">
        <f>_xlfn.XLOOKUP(B107,'Payee Ref'!A:A,'Payee Ref'!C:C,"unassigned",0,1)</f>
        <v>Basic</v>
      </c>
      <c r="F107" t="s">
        <v>2558</v>
      </c>
    </row>
    <row r="108" spans="1:6" hidden="1" x14ac:dyDescent="0.2">
      <c r="A108" s="63">
        <v>45749</v>
      </c>
      <c r="B108" t="s">
        <v>573</v>
      </c>
      <c r="C108">
        <v>-54.38</v>
      </c>
      <c r="D108" t="str">
        <f>_xlfn.XLOOKUP(B108,'Payee Ref'!A:A,'Payee Ref'!B:B,"unassigned",0,1)</f>
        <v>Groceries</v>
      </c>
      <c r="E108" t="str">
        <f>_xlfn.XLOOKUP(B108,'Payee Ref'!A:A,'Payee Ref'!C:C,"unassigned",0,1)</f>
        <v>Basic</v>
      </c>
      <c r="F108" t="s">
        <v>2558</v>
      </c>
    </row>
    <row r="109" spans="1:6" hidden="1" x14ac:dyDescent="0.2">
      <c r="A109" s="63">
        <v>45750</v>
      </c>
      <c r="B109" t="s">
        <v>123</v>
      </c>
      <c r="C109">
        <v>-165.51</v>
      </c>
      <c r="D109" t="str">
        <f>_xlfn.XLOOKUP(B109,'Payee Ref'!A:A,'Payee Ref'!B:B,"unassigned",0,1)</f>
        <v>Clothing</v>
      </c>
      <c r="E109" t="str">
        <f>_xlfn.XLOOKUP(B109,'Payee Ref'!A:A,'Payee Ref'!C:C,"unassigned",0,1)</f>
        <v>Luxury</v>
      </c>
      <c r="F109" t="s">
        <v>2558</v>
      </c>
    </row>
    <row r="110" spans="1:6" hidden="1" x14ac:dyDescent="0.2">
      <c r="A110" s="63">
        <v>45751</v>
      </c>
      <c r="B110" t="s">
        <v>538</v>
      </c>
      <c r="C110">
        <v>-127.67</v>
      </c>
      <c r="D110" t="str">
        <f>_xlfn.XLOOKUP(B110,'Payee Ref'!A:A,'Payee Ref'!B:B,"unassigned",0,1)</f>
        <v>Groceries</v>
      </c>
      <c r="E110" t="str">
        <f>_xlfn.XLOOKUP(B110,'Payee Ref'!A:A,'Payee Ref'!C:C,"unassigned",0,1)</f>
        <v>Basic</v>
      </c>
      <c r="F110" t="s">
        <v>2558</v>
      </c>
    </row>
    <row r="111" spans="1:6" hidden="1" x14ac:dyDescent="0.2">
      <c r="A111" s="63">
        <v>45754</v>
      </c>
      <c r="B111" t="s">
        <v>718</v>
      </c>
      <c r="C111">
        <v>-121.95</v>
      </c>
      <c r="D111" t="str">
        <f>_xlfn.XLOOKUP(B111,'Payee Ref'!A:A,'Payee Ref'!B:B,"unassigned",0,1)</f>
        <v>Home &amp; Garden</v>
      </c>
      <c r="E111" t="str">
        <f>_xlfn.XLOOKUP(B111,'Payee Ref'!A:A,'Payee Ref'!C:C,"unassigned",0,1)</f>
        <v>Basic</v>
      </c>
      <c r="F111" t="s">
        <v>2558</v>
      </c>
    </row>
    <row r="112" spans="1:6" hidden="1" x14ac:dyDescent="0.2">
      <c r="A112" s="63">
        <v>45755</v>
      </c>
      <c r="B112" t="s">
        <v>364</v>
      </c>
      <c r="C112">
        <v>-23.62</v>
      </c>
      <c r="D112" t="str">
        <f>_xlfn.XLOOKUP(B112,'Payee Ref'!A:A,'Payee Ref'!B:B,"unassigned",0,1)</f>
        <v>Dining</v>
      </c>
      <c r="E112" t="str">
        <f>_xlfn.XLOOKUP(B112,'Payee Ref'!A:A,'Payee Ref'!C:C,"unassigned",0,1)</f>
        <v>Luxury</v>
      </c>
      <c r="F112" t="s">
        <v>2558</v>
      </c>
    </row>
    <row r="113" spans="1:6" hidden="1" x14ac:dyDescent="0.2">
      <c r="A113" s="63">
        <v>45757</v>
      </c>
      <c r="B113" t="s">
        <v>452</v>
      </c>
      <c r="C113">
        <v>-42.4</v>
      </c>
      <c r="D113" t="str">
        <f>_xlfn.XLOOKUP(B113,'Payee Ref'!A:A,'Payee Ref'!B:B,"unassigned",0,1)</f>
        <v>Dining</v>
      </c>
      <c r="E113" t="str">
        <f>_xlfn.XLOOKUP(B113,'Payee Ref'!A:A,'Payee Ref'!C:C,"unassigned",0,1)</f>
        <v>Luxury</v>
      </c>
      <c r="F113" t="s">
        <v>2558</v>
      </c>
    </row>
    <row r="114" spans="1:6" hidden="1" x14ac:dyDescent="0.2">
      <c r="A114" s="63">
        <v>45758</v>
      </c>
      <c r="B114" t="s">
        <v>538</v>
      </c>
      <c r="C114">
        <v>-127.67</v>
      </c>
      <c r="D114" t="str">
        <f>_xlfn.XLOOKUP(B114,'Payee Ref'!A:A,'Payee Ref'!B:B,"unassigned",0,1)</f>
        <v>Groceries</v>
      </c>
      <c r="E114" t="str">
        <f>_xlfn.XLOOKUP(B114,'Payee Ref'!A:A,'Payee Ref'!C:C,"unassigned",0,1)</f>
        <v>Basic</v>
      </c>
      <c r="F114" t="s">
        <v>2558</v>
      </c>
    </row>
    <row r="115" spans="1:6" hidden="1" x14ac:dyDescent="0.2">
      <c r="A115" s="63">
        <v>45761</v>
      </c>
      <c r="B115" t="s">
        <v>447</v>
      </c>
      <c r="C115">
        <v>-88.51</v>
      </c>
      <c r="D115" t="str">
        <f>_xlfn.XLOOKUP(B115,'Payee Ref'!A:A,'Payee Ref'!B:B,"unassigned",0,1)</f>
        <v>Dining</v>
      </c>
      <c r="E115" t="str">
        <f>_xlfn.XLOOKUP(B115,'Payee Ref'!A:A,'Payee Ref'!C:C,"unassigned",0,1)</f>
        <v>Luxury</v>
      </c>
      <c r="F115" t="s">
        <v>2558</v>
      </c>
    </row>
    <row r="116" spans="1:6" hidden="1" x14ac:dyDescent="0.2">
      <c r="A116" s="63">
        <v>45763</v>
      </c>
      <c r="B116" t="s">
        <v>415</v>
      </c>
      <c r="C116">
        <v>-50.28</v>
      </c>
      <c r="D116" t="str">
        <f>_xlfn.XLOOKUP(B116,'Payee Ref'!A:A,'Payee Ref'!B:B,"unassigned",0,1)</f>
        <v>Dining</v>
      </c>
      <c r="E116" t="str">
        <f>_xlfn.XLOOKUP(B116,'Payee Ref'!A:A,'Payee Ref'!C:C,"unassigned",0,1)</f>
        <v>Luxury</v>
      </c>
      <c r="F116" t="s">
        <v>2558</v>
      </c>
    </row>
    <row r="117" spans="1:6" hidden="1" x14ac:dyDescent="0.2">
      <c r="A117" s="63">
        <v>45763</v>
      </c>
      <c r="B117" t="s">
        <v>587</v>
      </c>
      <c r="C117">
        <v>-61.02</v>
      </c>
      <c r="D117" t="str">
        <f>_xlfn.XLOOKUP(B117,'Payee Ref'!A:A,'Payee Ref'!B:B,"unassigned",0,1)</f>
        <v>Groceries</v>
      </c>
      <c r="E117" t="str">
        <f>_xlfn.XLOOKUP(B117,'Payee Ref'!A:A,'Payee Ref'!C:C,"unassigned",0,1)</f>
        <v>Basic</v>
      </c>
      <c r="F117" t="s">
        <v>2558</v>
      </c>
    </row>
    <row r="118" spans="1:6" hidden="1" x14ac:dyDescent="0.2">
      <c r="A118" s="63">
        <v>45764</v>
      </c>
      <c r="B118" t="s">
        <v>899</v>
      </c>
      <c r="C118">
        <v>-150.59</v>
      </c>
      <c r="D118" t="str">
        <f>_xlfn.XLOOKUP(B118,'Payee Ref'!A:A,'Payee Ref'!B:B,"unassigned",0,1)</f>
        <v>R&amp;R</v>
      </c>
      <c r="E118" t="str">
        <f>_xlfn.XLOOKUP(B118,'Payee Ref'!A:A,'Payee Ref'!C:C,"unassigned",0,1)</f>
        <v>Luxury</v>
      </c>
      <c r="F118" t="s">
        <v>2558</v>
      </c>
    </row>
    <row r="119" spans="1:6" hidden="1" x14ac:dyDescent="0.2">
      <c r="A119" s="63">
        <v>45765</v>
      </c>
      <c r="B119" t="s">
        <v>895</v>
      </c>
      <c r="C119">
        <v>-75.069999999999993</v>
      </c>
      <c r="D119" t="str">
        <f>_xlfn.XLOOKUP(B119,'Payee Ref'!A:A,'Payee Ref'!B:B,"unassigned",0,1)</f>
        <v>Dining</v>
      </c>
      <c r="E119" t="str">
        <f>_xlfn.XLOOKUP(B119,'Payee Ref'!A:A,'Payee Ref'!C:C,"unassigned",0,1)</f>
        <v>Luxury</v>
      </c>
      <c r="F119" t="s">
        <v>2558</v>
      </c>
    </row>
    <row r="120" spans="1:6" hidden="1" x14ac:dyDescent="0.2">
      <c r="A120" s="63">
        <v>45765</v>
      </c>
      <c r="B120" t="s">
        <v>181</v>
      </c>
      <c r="C120">
        <v>-130.91</v>
      </c>
      <c r="D120" t="str">
        <f>_xlfn.XLOOKUP(B120,'Payee Ref'!A:A,'Payee Ref'!B:B,"unassigned",0,1)</f>
        <v>Dining</v>
      </c>
      <c r="E120" t="str">
        <f>_xlfn.XLOOKUP(B120,'Payee Ref'!A:A,'Payee Ref'!C:C,"unassigned",0,1)</f>
        <v>Luxury</v>
      </c>
      <c r="F120" t="s">
        <v>2558</v>
      </c>
    </row>
    <row r="121" spans="1:6" hidden="1" x14ac:dyDescent="0.2">
      <c r="A121" s="63">
        <v>45766</v>
      </c>
      <c r="B121" t="s">
        <v>896</v>
      </c>
      <c r="C121">
        <v>-24</v>
      </c>
      <c r="D121" t="str">
        <f>_xlfn.XLOOKUP(B121,'Payee Ref'!A:A,'Payee Ref'!B:B,"unassigned",0,1)</f>
        <v>R&amp;R</v>
      </c>
      <c r="E121" t="str">
        <f>_xlfn.XLOOKUP(B121,'Payee Ref'!A:A,'Payee Ref'!C:C,"unassigned",0,1)</f>
        <v>Luxury</v>
      </c>
      <c r="F121" t="s">
        <v>2558</v>
      </c>
    </row>
    <row r="122" spans="1:6" hidden="1" x14ac:dyDescent="0.2">
      <c r="A122" s="63">
        <v>45766</v>
      </c>
      <c r="B122" t="s">
        <v>323</v>
      </c>
      <c r="C122">
        <v>-70.47</v>
      </c>
      <c r="D122" t="str">
        <f>_xlfn.XLOOKUP(B122,'Payee Ref'!A:A,'Payee Ref'!B:B,"unassigned",0,1)</f>
        <v>Dining</v>
      </c>
      <c r="E122" t="str">
        <f>_xlfn.XLOOKUP(B122,'Payee Ref'!A:A,'Payee Ref'!C:C,"unassigned",0,1)</f>
        <v>Luxury</v>
      </c>
      <c r="F122" t="s">
        <v>2558</v>
      </c>
    </row>
    <row r="123" spans="1:6" hidden="1" x14ac:dyDescent="0.2">
      <c r="A123" s="63">
        <v>45766</v>
      </c>
      <c r="B123" t="s">
        <v>323</v>
      </c>
      <c r="C123">
        <v>-16.3</v>
      </c>
      <c r="D123" t="str">
        <f>_xlfn.XLOOKUP(B123,'Payee Ref'!A:A,'Payee Ref'!B:B,"unassigned",0,1)</f>
        <v>Dining</v>
      </c>
      <c r="E123" t="str">
        <f>_xlfn.XLOOKUP(B123,'Payee Ref'!A:A,'Payee Ref'!C:C,"unassigned",0,1)</f>
        <v>Luxury</v>
      </c>
      <c r="F123" t="s">
        <v>2558</v>
      </c>
    </row>
    <row r="124" spans="1:6" hidden="1" x14ac:dyDescent="0.2">
      <c r="A124" s="63">
        <v>45766</v>
      </c>
      <c r="B124" t="s">
        <v>907</v>
      </c>
      <c r="C124">
        <v>-17.649999999999999</v>
      </c>
      <c r="D124" t="str">
        <f>_xlfn.XLOOKUP(B124,'Payee Ref'!A:A,'Payee Ref'!B:B,"unassigned",0,1)</f>
        <v>Subscriptions / Digital</v>
      </c>
      <c r="E124" t="str">
        <f>_xlfn.XLOOKUP(B124,'Payee Ref'!A:A,'Payee Ref'!C:C,"unassigned",0,1)</f>
        <v>Luxury</v>
      </c>
      <c r="F124" t="s">
        <v>2558</v>
      </c>
    </row>
    <row r="125" spans="1:6" hidden="1" x14ac:dyDescent="0.2">
      <c r="A125" s="63">
        <v>45766</v>
      </c>
      <c r="B125" t="s">
        <v>370</v>
      </c>
      <c r="C125">
        <v>-7.48</v>
      </c>
      <c r="D125" t="str">
        <f>_xlfn.XLOOKUP(B125,'Payee Ref'!A:A,'Payee Ref'!B:B,"unassigned",0,1)</f>
        <v>Dining</v>
      </c>
      <c r="E125" t="str">
        <f>_xlfn.XLOOKUP(B125,'Payee Ref'!A:A,'Payee Ref'!C:C,"unassigned",0,1)</f>
        <v>Luxury</v>
      </c>
      <c r="F125" t="s">
        <v>2558</v>
      </c>
    </row>
    <row r="126" spans="1:6" hidden="1" x14ac:dyDescent="0.2">
      <c r="A126" s="63">
        <v>45766</v>
      </c>
      <c r="B126" t="s">
        <v>538</v>
      </c>
      <c r="C126">
        <v>-127.67</v>
      </c>
      <c r="D126" t="str">
        <f>_xlfn.XLOOKUP(B126,'Payee Ref'!A:A,'Payee Ref'!B:B,"unassigned",0,1)</f>
        <v>Groceries</v>
      </c>
      <c r="E126" t="str">
        <f>_xlfn.XLOOKUP(B126,'Payee Ref'!A:A,'Payee Ref'!C:C,"unassigned",0,1)</f>
        <v>Basic</v>
      </c>
      <c r="F126" t="s">
        <v>2558</v>
      </c>
    </row>
    <row r="127" spans="1:6" hidden="1" x14ac:dyDescent="0.2">
      <c r="A127" s="63">
        <v>45768</v>
      </c>
      <c r="B127" t="s">
        <v>925</v>
      </c>
      <c r="C127">
        <v>-25.55</v>
      </c>
      <c r="D127" t="str">
        <f>_xlfn.XLOOKUP(B127,'Payee Ref'!A:A,'Payee Ref'!B:B,"unassigned",0,1)</f>
        <v>Subscriptions / Digital</v>
      </c>
      <c r="E127" t="str">
        <f>_xlfn.XLOOKUP(B127,'Payee Ref'!A:A,'Payee Ref'!C:C,"unassigned",0,1)</f>
        <v>Luxury</v>
      </c>
      <c r="F127" t="s">
        <v>2558</v>
      </c>
    </row>
    <row r="128" spans="1:6" hidden="1" x14ac:dyDescent="0.2">
      <c r="A128" s="63">
        <v>45768</v>
      </c>
      <c r="B128" t="s">
        <v>378</v>
      </c>
      <c r="C128">
        <v>-6.63</v>
      </c>
      <c r="D128" t="str">
        <f>_xlfn.XLOOKUP(B128,'Payee Ref'!A:A,'Payee Ref'!B:B,"unassigned",0,1)</f>
        <v>Dining</v>
      </c>
      <c r="E128" t="str">
        <f>_xlfn.XLOOKUP(B128,'Payee Ref'!A:A,'Payee Ref'!C:C,"unassigned",0,1)</f>
        <v>Luxury</v>
      </c>
      <c r="F128" t="s">
        <v>2558</v>
      </c>
    </row>
    <row r="129" spans="1:6" hidden="1" x14ac:dyDescent="0.2">
      <c r="A129" s="63">
        <v>45769</v>
      </c>
      <c r="B129" t="s">
        <v>204</v>
      </c>
      <c r="C129">
        <v>-218.51</v>
      </c>
      <c r="D129" t="str">
        <f>_xlfn.XLOOKUP(B129,'Payee Ref'!A:A,'Payee Ref'!B:B,"unassigned",0,1)</f>
        <v>Travel</v>
      </c>
      <c r="E129" t="str">
        <f>_xlfn.XLOOKUP(B129,'Payee Ref'!A:A,'Payee Ref'!C:C,"unassigned",0,1)</f>
        <v>Luxury</v>
      </c>
      <c r="F129" t="s">
        <v>2558</v>
      </c>
    </row>
    <row r="130" spans="1:6" hidden="1" x14ac:dyDescent="0.2">
      <c r="A130" s="63">
        <v>45770</v>
      </c>
      <c r="B130" t="s">
        <v>75</v>
      </c>
      <c r="C130">
        <v>-27</v>
      </c>
      <c r="D130" t="str">
        <f>_xlfn.XLOOKUP(B130,'Payee Ref'!A:A,'Payee Ref'!B:B,"unassigned",0,1)</f>
        <v>Bank Fees</v>
      </c>
      <c r="E130" t="str">
        <f>_xlfn.XLOOKUP(B130,'Payee Ref'!A:A,'Payee Ref'!C:C,"unassigned",0,1)</f>
        <v>Luxury</v>
      </c>
      <c r="F130" t="s">
        <v>2558</v>
      </c>
    </row>
    <row r="131" spans="1:6" hidden="1" x14ac:dyDescent="0.2">
      <c r="A131" s="63">
        <v>45770</v>
      </c>
      <c r="B131" t="s">
        <v>831</v>
      </c>
      <c r="C131">
        <v>-346.01</v>
      </c>
      <c r="D131" t="str">
        <f>_xlfn.XLOOKUP(B131,'Payee Ref'!A:A,'Payee Ref'!B:B,"unassigned",0,1)</f>
        <v>Personal Care</v>
      </c>
      <c r="E131" t="str">
        <f>_xlfn.XLOOKUP(B131,'Payee Ref'!A:A,'Payee Ref'!C:C,"unassigned",0,1)</f>
        <v>Basic</v>
      </c>
      <c r="F131" t="s">
        <v>2558</v>
      </c>
    </row>
    <row r="132" spans="1:6" hidden="1" x14ac:dyDescent="0.2">
      <c r="A132" s="63">
        <v>45772</v>
      </c>
      <c r="B132" t="s">
        <v>70</v>
      </c>
      <c r="C132">
        <v>-63.88</v>
      </c>
      <c r="D132" t="str">
        <f>_xlfn.XLOOKUP(B132,'Payee Ref'!A:A,'Payee Ref'!B:B,"unassigned",0,1)</f>
        <v>Bank Fees</v>
      </c>
      <c r="E132" t="str">
        <f>_xlfn.XLOOKUP(B132,'Payee Ref'!A:A,'Payee Ref'!C:C,"unassigned",0,1)</f>
        <v>Luxury</v>
      </c>
      <c r="F132" t="s">
        <v>2558</v>
      </c>
    </row>
    <row r="133" spans="1:6" hidden="1" x14ac:dyDescent="0.2">
      <c r="A133" s="63">
        <v>45772</v>
      </c>
      <c r="B133" t="s">
        <v>124</v>
      </c>
      <c r="C133">
        <v>165.51</v>
      </c>
      <c r="D133" t="str">
        <f>_xlfn.XLOOKUP(B133,'Payee Ref'!A:A,'Payee Ref'!B:B,"unassigned",0,1)</f>
        <v>Clothing</v>
      </c>
      <c r="E133" t="str">
        <f>_xlfn.XLOOKUP(B133,'Payee Ref'!A:A,'Payee Ref'!C:C,"unassigned",0,1)</f>
        <v>Luxury</v>
      </c>
      <c r="F133" t="s">
        <v>2558</v>
      </c>
    </row>
    <row r="134" spans="1:6" hidden="1" x14ac:dyDescent="0.2">
      <c r="A134" s="63">
        <v>45772</v>
      </c>
      <c r="B134" t="s">
        <v>538</v>
      </c>
      <c r="C134">
        <v>-127.67</v>
      </c>
      <c r="D134" t="str">
        <f>_xlfn.XLOOKUP(B134,'Payee Ref'!A:A,'Payee Ref'!B:B,"unassigned",0,1)</f>
        <v>Groceries</v>
      </c>
      <c r="E134" t="str">
        <f>_xlfn.XLOOKUP(B134,'Payee Ref'!A:A,'Payee Ref'!C:C,"unassigned",0,1)</f>
        <v>Basic</v>
      </c>
      <c r="F134" t="s">
        <v>2558</v>
      </c>
    </row>
    <row r="135" spans="1:6" hidden="1" x14ac:dyDescent="0.2">
      <c r="A135" s="63">
        <v>45773</v>
      </c>
      <c r="B135" t="s">
        <v>932</v>
      </c>
      <c r="C135">
        <v>-3.3</v>
      </c>
      <c r="D135" t="str">
        <f>_xlfn.XLOOKUP(B135,'Payee Ref'!A:A,'Payee Ref'!B:B,"unassigned",0,1)</f>
        <v>Subscriptions / Digital</v>
      </c>
      <c r="E135" t="str">
        <f>_xlfn.XLOOKUP(B135,'Payee Ref'!A:A,'Payee Ref'!C:C,"unassigned",0,1)</f>
        <v>Luxury</v>
      </c>
      <c r="F135" t="s">
        <v>2558</v>
      </c>
    </row>
    <row r="136" spans="1:6" hidden="1" x14ac:dyDescent="0.2">
      <c r="A136" s="63">
        <v>45773</v>
      </c>
      <c r="B136" t="s">
        <v>127</v>
      </c>
      <c r="C136">
        <v>-153</v>
      </c>
      <c r="D136" t="str">
        <f>_xlfn.XLOOKUP(B136,'Payee Ref'!A:A,'Payee Ref'!B:B,"unassigned",0,1)</f>
        <v>Clothing</v>
      </c>
      <c r="E136" t="str">
        <f>_xlfn.XLOOKUP(B136,'Payee Ref'!A:A,'Payee Ref'!C:C,"unassigned",0,1)</f>
        <v>Luxury</v>
      </c>
      <c r="F136" t="s">
        <v>2558</v>
      </c>
    </row>
    <row r="137" spans="1:6" hidden="1" x14ac:dyDescent="0.2">
      <c r="A137" s="63">
        <v>45773</v>
      </c>
      <c r="B137" t="s">
        <v>127</v>
      </c>
      <c r="C137">
        <v>-42</v>
      </c>
      <c r="D137" t="str">
        <f>_xlfn.XLOOKUP(B137,'Payee Ref'!A:A,'Payee Ref'!B:B,"unassigned",0,1)</f>
        <v>Clothing</v>
      </c>
      <c r="E137" t="str">
        <f>_xlfn.XLOOKUP(B137,'Payee Ref'!A:A,'Payee Ref'!C:C,"unassigned",0,1)</f>
        <v>Luxury</v>
      </c>
      <c r="F137" t="s">
        <v>2558</v>
      </c>
    </row>
    <row r="138" spans="1:6" x14ac:dyDescent="0.2">
      <c r="A138" s="63">
        <v>45775</v>
      </c>
      <c r="B138" t="s">
        <v>2464</v>
      </c>
      <c r="C138">
        <v>-340</v>
      </c>
      <c r="D138">
        <f>_xlfn.XLOOKUP(B138,'Payee Ref'!A:A,'Payee Ref'!B:B,"unassigned",0,1)</f>
        <v>0</v>
      </c>
      <c r="E138">
        <f>_xlfn.XLOOKUP(B138,'Payee Ref'!A:A,'Payee Ref'!C:C,"unassigned",0,1)</f>
        <v>0</v>
      </c>
      <c r="F138" t="s">
        <v>2558</v>
      </c>
    </row>
    <row r="139" spans="1:6" x14ac:dyDescent="0.2">
      <c r="A139" s="63">
        <v>45778</v>
      </c>
      <c r="B139" t="s">
        <v>2463</v>
      </c>
      <c r="C139">
        <v>-128.81</v>
      </c>
      <c r="D139">
        <f>_xlfn.XLOOKUP(B139,'Payee Ref'!A:A,'Payee Ref'!B:B,"unassigned",0,1)</f>
        <v>0</v>
      </c>
      <c r="E139">
        <f>_xlfn.XLOOKUP(B139,'Payee Ref'!A:A,'Payee Ref'!C:C,"unassigned",0,1)</f>
        <v>0</v>
      </c>
      <c r="F139" t="s">
        <v>2558</v>
      </c>
    </row>
    <row r="140" spans="1:6" hidden="1" x14ac:dyDescent="0.2">
      <c r="A140" s="63">
        <v>45779</v>
      </c>
      <c r="B140" t="s">
        <v>721</v>
      </c>
      <c r="C140">
        <v>-99</v>
      </c>
      <c r="D140" t="str">
        <f>_xlfn.XLOOKUP(B140,'Payee Ref'!A:A,'Payee Ref'!B:B,"unassigned",0,1)</f>
        <v>Home &amp; Garden</v>
      </c>
      <c r="E140" t="str">
        <f>_xlfn.XLOOKUP(B140,'Payee Ref'!A:A,'Payee Ref'!C:C,"unassigned",0,1)</f>
        <v>Basic</v>
      </c>
      <c r="F140" t="s">
        <v>2558</v>
      </c>
    </row>
    <row r="141" spans="1:6" hidden="1" x14ac:dyDescent="0.2">
      <c r="A141" s="63">
        <v>45779</v>
      </c>
      <c r="B141" t="s">
        <v>538</v>
      </c>
      <c r="C141">
        <v>-127.67</v>
      </c>
      <c r="D141" t="str">
        <f>_xlfn.XLOOKUP(B141,'Payee Ref'!A:A,'Payee Ref'!B:B,"unassigned",0,1)</f>
        <v>Groceries</v>
      </c>
      <c r="E141" t="str">
        <f>_xlfn.XLOOKUP(B141,'Payee Ref'!A:A,'Payee Ref'!C:C,"unassigned",0,1)</f>
        <v>Basic</v>
      </c>
      <c r="F141" t="s">
        <v>2558</v>
      </c>
    </row>
    <row r="142" spans="1:6" x14ac:dyDescent="0.2">
      <c r="A142" s="63">
        <v>45783</v>
      </c>
      <c r="B142" t="s">
        <v>2462</v>
      </c>
      <c r="C142">
        <v>-20.29</v>
      </c>
      <c r="D142" t="str">
        <f>_xlfn.XLOOKUP(B142,'Payee Ref'!A:A,'Payee Ref'!B:B,"unassigned",0,1)</f>
        <v>Dining</v>
      </c>
      <c r="E142" t="str">
        <f>_xlfn.XLOOKUP(B142,'Payee Ref'!A:A,'Payee Ref'!C:C,"unassigned",0,1)</f>
        <v>Luxury</v>
      </c>
      <c r="F142" t="s">
        <v>2558</v>
      </c>
    </row>
    <row r="143" spans="1:6" x14ac:dyDescent="0.2">
      <c r="A143" s="63">
        <v>45783</v>
      </c>
      <c r="B143" t="s">
        <v>2462</v>
      </c>
      <c r="C143">
        <v>-20.29</v>
      </c>
      <c r="D143" t="str">
        <f>_xlfn.XLOOKUP(B143,'Payee Ref'!A:A,'Payee Ref'!B:B,"unassigned",0,1)</f>
        <v>Dining</v>
      </c>
      <c r="E143" t="str">
        <f>_xlfn.XLOOKUP(B143,'Payee Ref'!A:A,'Payee Ref'!C:C,"unassigned",0,1)</f>
        <v>Luxury</v>
      </c>
      <c r="F143" t="s">
        <v>2558</v>
      </c>
    </row>
    <row r="144" spans="1:6" hidden="1" x14ac:dyDescent="0.2">
      <c r="A144" s="63">
        <v>45786</v>
      </c>
      <c r="B144" t="s">
        <v>538</v>
      </c>
      <c r="C144">
        <v>-127.67</v>
      </c>
      <c r="D144" t="str">
        <f>_xlfn.XLOOKUP(B144,'Payee Ref'!A:A,'Payee Ref'!B:B,"unassigned",0,1)</f>
        <v>Groceries</v>
      </c>
      <c r="E144" t="str">
        <f>_xlfn.XLOOKUP(B144,'Payee Ref'!A:A,'Payee Ref'!C:C,"unassigned",0,1)</f>
        <v>Basic</v>
      </c>
      <c r="F144" t="s">
        <v>2558</v>
      </c>
    </row>
    <row r="145" spans="1:6" x14ac:dyDescent="0.2">
      <c r="A145" s="63">
        <v>45787</v>
      </c>
      <c r="B145" t="s">
        <v>2461</v>
      </c>
      <c r="C145">
        <v>-23.78</v>
      </c>
      <c r="D145">
        <f>_xlfn.XLOOKUP(B145,'Payee Ref'!A:A,'Payee Ref'!B:B,"unassigned",0,1)</f>
        <v>0</v>
      </c>
      <c r="E145">
        <f>_xlfn.XLOOKUP(B145,'Payee Ref'!A:A,'Payee Ref'!C:C,"unassigned",0,1)</f>
        <v>0</v>
      </c>
      <c r="F145" t="s">
        <v>2558</v>
      </c>
    </row>
    <row r="146" spans="1:6" hidden="1" x14ac:dyDescent="0.2">
      <c r="A146" s="63">
        <v>45789</v>
      </c>
      <c r="B146" t="s">
        <v>159</v>
      </c>
      <c r="C146">
        <v>170</v>
      </c>
      <c r="D146" t="str">
        <f>_xlfn.XLOOKUP(B146,'Payee Ref'!A:A,'Payee Ref'!B:B,"unassigned",0,1)</f>
        <v>Credit Card Payment</v>
      </c>
      <c r="E146" t="str">
        <f>_xlfn.XLOOKUP(B146,'Payee Ref'!A:A,'Payee Ref'!C:C,"unassigned",0,1)</f>
        <v>Basic</v>
      </c>
      <c r="F146" t="s">
        <v>2558</v>
      </c>
    </row>
    <row r="147" spans="1:6" x14ac:dyDescent="0.2">
      <c r="A147" s="63">
        <v>45790</v>
      </c>
      <c r="B147" t="s">
        <v>2456</v>
      </c>
      <c r="C147">
        <v>-58.96</v>
      </c>
      <c r="D147">
        <f>_xlfn.XLOOKUP(B147,'Payee Ref'!A:A,'Payee Ref'!B:B,"unassigned",0,1)</f>
        <v>0</v>
      </c>
      <c r="E147">
        <f>_xlfn.XLOOKUP(B147,'Payee Ref'!A:A,'Payee Ref'!C:C,"unassigned",0,1)</f>
        <v>0</v>
      </c>
      <c r="F147" t="s">
        <v>2558</v>
      </c>
    </row>
    <row r="148" spans="1:6" x14ac:dyDescent="0.2">
      <c r="A148" s="63">
        <v>45790</v>
      </c>
      <c r="B148" t="s">
        <v>2455</v>
      </c>
      <c r="C148">
        <v>-74</v>
      </c>
      <c r="D148" t="str">
        <f>_xlfn.XLOOKUP(B148,'Payee Ref'!A:A,'Payee Ref'!B:B,"unassigned",0,1)</f>
        <v>Travel</v>
      </c>
      <c r="E148" t="str">
        <f>_xlfn.XLOOKUP(B148,'Payee Ref'!A:A,'Payee Ref'!C:C,"unassigned",0,1)</f>
        <v>Luxury</v>
      </c>
      <c r="F148" t="s">
        <v>2558</v>
      </c>
    </row>
    <row r="149" spans="1:6" x14ac:dyDescent="0.2">
      <c r="A149" s="63">
        <v>45790</v>
      </c>
      <c r="B149" t="s">
        <v>2455</v>
      </c>
      <c r="C149">
        <v>-114</v>
      </c>
      <c r="D149" t="str">
        <f>_xlfn.XLOOKUP(B149,'Payee Ref'!A:A,'Payee Ref'!B:B,"unassigned",0,1)</f>
        <v>Travel</v>
      </c>
      <c r="E149" t="str">
        <f>_xlfn.XLOOKUP(B149,'Payee Ref'!A:A,'Payee Ref'!C:C,"unassigned",0,1)</f>
        <v>Luxury</v>
      </c>
      <c r="F149" t="s">
        <v>2558</v>
      </c>
    </row>
    <row r="150" spans="1:6" x14ac:dyDescent="0.2">
      <c r="A150" s="63">
        <v>45790</v>
      </c>
      <c r="B150" t="s">
        <v>2455</v>
      </c>
      <c r="C150">
        <v>-114</v>
      </c>
      <c r="D150" t="str">
        <f>_xlfn.XLOOKUP(B150,'Payee Ref'!A:A,'Payee Ref'!B:B,"unassigned",0,1)</f>
        <v>Travel</v>
      </c>
      <c r="E150" t="str">
        <f>_xlfn.XLOOKUP(B150,'Payee Ref'!A:A,'Payee Ref'!C:C,"unassigned",0,1)</f>
        <v>Luxury</v>
      </c>
      <c r="F150" t="s">
        <v>2558</v>
      </c>
    </row>
    <row r="151" spans="1:6" x14ac:dyDescent="0.2">
      <c r="A151" s="63">
        <v>45790</v>
      </c>
      <c r="B151" t="s">
        <v>2457</v>
      </c>
      <c r="C151">
        <v>-126</v>
      </c>
      <c r="D151" t="str">
        <f>_xlfn.XLOOKUP(B151,'Payee Ref'!A:A,'Payee Ref'!B:B,"unassigned",0,1)</f>
        <v>Travel</v>
      </c>
      <c r="E151" t="str">
        <f>_xlfn.XLOOKUP(B151,'Payee Ref'!A:A,'Payee Ref'!C:C,"unassigned",0,1)</f>
        <v>Luxury</v>
      </c>
      <c r="F151" t="s">
        <v>2558</v>
      </c>
    </row>
    <row r="152" spans="1:6" x14ac:dyDescent="0.2">
      <c r="A152" s="63">
        <v>45790</v>
      </c>
      <c r="B152" t="s">
        <v>2458</v>
      </c>
      <c r="C152">
        <v>-126</v>
      </c>
      <c r="D152" t="str">
        <f>_xlfn.XLOOKUP(B152,'Payee Ref'!A:A,'Payee Ref'!B:B,"unassigned",0,1)</f>
        <v>Travel</v>
      </c>
      <c r="E152" t="str">
        <f>_xlfn.XLOOKUP(B152,'Payee Ref'!A:A,'Payee Ref'!C:C,"unassigned",0,1)</f>
        <v>Luxury</v>
      </c>
      <c r="F152" t="s">
        <v>2558</v>
      </c>
    </row>
    <row r="153" spans="1:6" x14ac:dyDescent="0.2">
      <c r="A153" s="63">
        <v>45790</v>
      </c>
      <c r="B153" t="s">
        <v>2459</v>
      </c>
      <c r="C153">
        <v>-626.6</v>
      </c>
      <c r="D153" t="str">
        <f>_xlfn.XLOOKUP(B153,'Payee Ref'!A:A,'Payee Ref'!B:B,"unassigned",0,1)</f>
        <v>Travel</v>
      </c>
      <c r="E153" t="str">
        <f>_xlfn.XLOOKUP(B153,'Payee Ref'!A:A,'Payee Ref'!C:C,"unassigned",0,1)</f>
        <v>Luxury</v>
      </c>
      <c r="F153" t="s">
        <v>2558</v>
      </c>
    </row>
    <row r="154" spans="1:6" x14ac:dyDescent="0.2">
      <c r="A154" s="63">
        <v>45790</v>
      </c>
      <c r="B154" t="s">
        <v>2460</v>
      </c>
      <c r="C154">
        <v>-626.6</v>
      </c>
      <c r="D154" t="str">
        <f>_xlfn.XLOOKUP(B154,'Payee Ref'!A:A,'Payee Ref'!B:B,"unassigned",0,1)</f>
        <v>Travel</v>
      </c>
      <c r="E154" t="str">
        <f>_xlfn.XLOOKUP(B154,'Payee Ref'!A:A,'Payee Ref'!C:C,"unassigned",0,1)</f>
        <v>Luxury</v>
      </c>
      <c r="F154" t="s">
        <v>2558</v>
      </c>
    </row>
    <row r="155" spans="1:6" x14ac:dyDescent="0.2">
      <c r="A155" s="63">
        <v>45790</v>
      </c>
      <c r="B155" t="s">
        <v>2455</v>
      </c>
      <c r="C155">
        <v>-74</v>
      </c>
      <c r="D155" t="str">
        <f>_xlfn.XLOOKUP(B155,'Payee Ref'!A:A,'Payee Ref'!B:B,"unassigned",0,1)</f>
        <v>Travel</v>
      </c>
      <c r="E155" t="str">
        <f>_xlfn.XLOOKUP(B155,'Payee Ref'!A:A,'Payee Ref'!C:C,"unassigned",0,1)</f>
        <v>Luxury</v>
      </c>
      <c r="F155" t="s">
        <v>2558</v>
      </c>
    </row>
    <row r="156" spans="1:6" hidden="1" x14ac:dyDescent="0.2">
      <c r="A156" s="63">
        <v>45790</v>
      </c>
      <c r="B156" t="s">
        <v>159</v>
      </c>
      <c r="C156">
        <v>6485.11</v>
      </c>
      <c r="D156" t="str">
        <f>_xlfn.XLOOKUP(B156,'Payee Ref'!A:A,'Payee Ref'!B:B,"unassigned",0,1)</f>
        <v>Credit Card Payment</v>
      </c>
      <c r="E156" t="str">
        <f>_xlfn.XLOOKUP(B156,'Payee Ref'!A:A,'Payee Ref'!C:C,"unassigned",0,1)</f>
        <v>Basic</v>
      </c>
      <c r="F156" t="s">
        <v>2558</v>
      </c>
    </row>
    <row r="157" spans="1:6" x14ac:dyDescent="0.2">
      <c r="A157" s="63">
        <v>45792</v>
      </c>
      <c r="B157" t="s">
        <v>2453</v>
      </c>
      <c r="C157">
        <v>-69.489999999999995</v>
      </c>
      <c r="D157">
        <f>_xlfn.XLOOKUP(B157,'Payee Ref'!A:A,'Payee Ref'!B:B,"unassigned",0,1)</f>
        <v>0</v>
      </c>
      <c r="E157">
        <f>_xlfn.XLOOKUP(B157,'Payee Ref'!A:A,'Payee Ref'!C:C,"unassigned",0,1)</f>
        <v>0</v>
      </c>
      <c r="F157" t="s">
        <v>2558</v>
      </c>
    </row>
    <row r="158" spans="1:6" hidden="1" x14ac:dyDescent="0.2">
      <c r="A158" s="63">
        <v>45792</v>
      </c>
      <c r="B158" t="s">
        <v>369</v>
      </c>
      <c r="C158">
        <v>-54.57</v>
      </c>
      <c r="D158" t="str">
        <f>_xlfn.XLOOKUP(B158,'Payee Ref'!A:A,'Payee Ref'!B:B,"unassigned",0,1)</f>
        <v>Dining</v>
      </c>
      <c r="E158" t="str">
        <f>_xlfn.XLOOKUP(B158,'Payee Ref'!A:A,'Payee Ref'!C:C,"unassigned",0,1)</f>
        <v>Luxury</v>
      </c>
      <c r="F158" t="s">
        <v>2558</v>
      </c>
    </row>
    <row r="159" spans="1:6" x14ac:dyDescent="0.2">
      <c r="A159" s="63">
        <v>45792</v>
      </c>
      <c r="B159" t="s">
        <v>2455</v>
      </c>
      <c r="C159">
        <v>74</v>
      </c>
      <c r="D159" t="str">
        <f>_xlfn.XLOOKUP(B159,'Payee Ref'!A:A,'Payee Ref'!B:B,"unassigned",0,1)</f>
        <v>Travel</v>
      </c>
      <c r="E159" t="str">
        <f>_xlfn.XLOOKUP(B159,'Payee Ref'!A:A,'Payee Ref'!C:C,"unassigned",0,1)</f>
        <v>Luxury</v>
      </c>
      <c r="F159" t="s">
        <v>2558</v>
      </c>
    </row>
    <row r="160" spans="1:6" x14ac:dyDescent="0.2">
      <c r="A160" s="63">
        <v>45792</v>
      </c>
      <c r="B160" t="s">
        <v>2455</v>
      </c>
      <c r="C160">
        <v>61</v>
      </c>
      <c r="D160" t="str">
        <f>_xlfn.XLOOKUP(B160,'Payee Ref'!A:A,'Payee Ref'!B:B,"unassigned",0,1)</f>
        <v>Travel</v>
      </c>
      <c r="E160" t="str">
        <f>_xlfn.XLOOKUP(B160,'Payee Ref'!A:A,'Payee Ref'!C:C,"unassigned",0,1)</f>
        <v>Luxury</v>
      </c>
      <c r="F160" t="s">
        <v>2558</v>
      </c>
    </row>
    <row r="161" spans="1:6" x14ac:dyDescent="0.2">
      <c r="A161" s="63">
        <v>45792</v>
      </c>
      <c r="B161" t="s">
        <v>2455</v>
      </c>
      <c r="C161">
        <v>61</v>
      </c>
      <c r="D161" t="str">
        <f>_xlfn.XLOOKUP(B161,'Payee Ref'!A:A,'Payee Ref'!B:B,"unassigned",0,1)</f>
        <v>Travel</v>
      </c>
      <c r="E161" t="str">
        <f>_xlfn.XLOOKUP(B161,'Payee Ref'!A:A,'Payee Ref'!C:C,"unassigned",0,1)</f>
        <v>Luxury</v>
      </c>
      <c r="F161" t="s">
        <v>2558</v>
      </c>
    </row>
    <row r="162" spans="1:6" x14ac:dyDescent="0.2">
      <c r="A162" s="63">
        <v>45793</v>
      </c>
      <c r="B162" t="s">
        <v>2453</v>
      </c>
      <c r="C162">
        <v>-99.28</v>
      </c>
      <c r="D162">
        <f>_xlfn.XLOOKUP(B162,'Payee Ref'!A:A,'Payee Ref'!B:B,"unassigned",0,1)</f>
        <v>0</v>
      </c>
      <c r="E162">
        <f>_xlfn.XLOOKUP(B162,'Payee Ref'!A:A,'Payee Ref'!C:C,"unassigned",0,1)</f>
        <v>0</v>
      </c>
      <c r="F162" t="s">
        <v>2558</v>
      </c>
    </row>
    <row r="163" spans="1:6" x14ac:dyDescent="0.2">
      <c r="A163" s="63">
        <v>45793</v>
      </c>
      <c r="B163" t="s">
        <v>2453</v>
      </c>
      <c r="C163">
        <v>-134.85</v>
      </c>
      <c r="D163">
        <f>_xlfn.XLOOKUP(B163,'Payee Ref'!A:A,'Payee Ref'!B:B,"unassigned",0,1)</f>
        <v>0</v>
      </c>
      <c r="E163">
        <f>_xlfn.XLOOKUP(B163,'Payee Ref'!A:A,'Payee Ref'!C:C,"unassigned",0,1)</f>
        <v>0</v>
      </c>
      <c r="F163" t="s">
        <v>2558</v>
      </c>
    </row>
    <row r="164" spans="1:6" hidden="1" x14ac:dyDescent="0.2">
      <c r="A164" s="63">
        <v>45793</v>
      </c>
      <c r="B164" t="s">
        <v>538</v>
      </c>
      <c r="C164">
        <v>-127.67</v>
      </c>
      <c r="D164" t="str">
        <f>_xlfn.XLOOKUP(B164,'Payee Ref'!A:A,'Payee Ref'!B:B,"unassigned",0,1)</f>
        <v>Groceries</v>
      </c>
      <c r="E164" t="str">
        <f>_xlfn.XLOOKUP(B164,'Payee Ref'!A:A,'Payee Ref'!C:C,"unassigned",0,1)</f>
        <v>Basic</v>
      </c>
      <c r="F164" t="s">
        <v>2558</v>
      </c>
    </row>
    <row r="165" spans="1:6" hidden="1" x14ac:dyDescent="0.2">
      <c r="A165" s="63">
        <v>45796</v>
      </c>
      <c r="B165" t="s">
        <v>907</v>
      </c>
      <c r="C165">
        <v>-17.649999999999999</v>
      </c>
      <c r="D165" t="str">
        <f>_xlfn.XLOOKUP(B165,'Payee Ref'!A:A,'Payee Ref'!B:B,"unassigned",0,1)</f>
        <v>Subscriptions / Digital</v>
      </c>
      <c r="E165" t="str">
        <f>_xlfn.XLOOKUP(B165,'Payee Ref'!A:A,'Payee Ref'!C:C,"unassigned",0,1)</f>
        <v>Luxury</v>
      </c>
      <c r="F165" t="s">
        <v>2558</v>
      </c>
    </row>
    <row r="166" spans="1:6" x14ac:dyDescent="0.2">
      <c r="A166" s="63">
        <v>45796</v>
      </c>
      <c r="B166" t="s">
        <v>2454</v>
      </c>
      <c r="C166">
        <v>-218</v>
      </c>
      <c r="D166">
        <f>_xlfn.XLOOKUP(B166,'Payee Ref'!A:A,'Payee Ref'!B:B,"unassigned",0,1)</f>
        <v>0</v>
      </c>
      <c r="E166">
        <f>_xlfn.XLOOKUP(B166,'Payee Ref'!A:A,'Payee Ref'!C:C,"unassigned",0,1)</f>
        <v>0</v>
      </c>
      <c r="F166" t="s">
        <v>2558</v>
      </c>
    </row>
    <row r="167" spans="1:6" x14ac:dyDescent="0.2">
      <c r="A167" s="63">
        <v>45797</v>
      </c>
      <c r="B167" t="s">
        <v>2453</v>
      </c>
      <c r="C167">
        <v>-55.14</v>
      </c>
      <c r="D167">
        <f>_xlfn.XLOOKUP(B167,'Payee Ref'!A:A,'Payee Ref'!B:B,"unassigned",0,1)</f>
        <v>0</v>
      </c>
      <c r="E167">
        <f>_xlfn.XLOOKUP(B167,'Payee Ref'!A:A,'Payee Ref'!C:C,"unassigned",0,1)</f>
        <v>0</v>
      </c>
      <c r="F167" t="s">
        <v>2558</v>
      </c>
    </row>
    <row r="168" spans="1:6" x14ac:dyDescent="0.2">
      <c r="A168" s="63">
        <v>45797</v>
      </c>
      <c r="B168" t="s">
        <v>2453</v>
      </c>
      <c r="C168">
        <v>-170.94</v>
      </c>
      <c r="D168">
        <f>_xlfn.XLOOKUP(B168,'Payee Ref'!A:A,'Payee Ref'!B:B,"unassigned",0,1)</f>
        <v>0</v>
      </c>
      <c r="E168">
        <f>_xlfn.XLOOKUP(B168,'Payee Ref'!A:A,'Payee Ref'!C:C,"unassigned",0,1)</f>
        <v>0</v>
      </c>
      <c r="F168" t="s">
        <v>2558</v>
      </c>
    </row>
    <row r="169" spans="1:6" hidden="1" x14ac:dyDescent="0.2">
      <c r="A169" s="63">
        <v>45797</v>
      </c>
      <c r="B169" t="s">
        <v>925</v>
      </c>
      <c r="C169">
        <v>-25.55</v>
      </c>
      <c r="D169" t="str">
        <f>_xlfn.XLOOKUP(B169,'Payee Ref'!A:A,'Payee Ref'!B:B,"unassigned",0,1)</f>
        <v>Subscriptions / Digital</v>
      </c>
      <c r="E169" t="str">
        <f>_xlfn.XLOOKUP(B169,'Payee Ref'!A:A,'Payee Ref'!C:C,"unassigned",0,1)</f>
        <v>Luxury</v>
      </c>
      <c r="F169" t="s">
        <v>2558</v>
      </c>
    </row>
    <row r="170" spans="1:6" hidden="1" x14ac:dyDescent="0.2">
      <c r="A170" s="63">
        <v>45798</v>
      </c>
      <c r="B170" t="s">
        <v>369</v>
      </c>
      <c r="C170">
        <v>-9.83</v>
      </c>
      <c r="D170" t="str">
        <f>_xlfn.XLOOKUP(B170,'Payee Ref'!A:A,'Payee Ref'!B:B,"unassigned",0,1)</f>
        <v>Dining</v>
      </c>
      <c r="E170" t="str">
        <f>_xlfn.XLOOKUP(B170,'Payee Ref'!A:A,'Payee Ref'!C:C,"unassigned",0,1)</f>
        <v>Luxury</v>
      </c>
      <c r="F170" t="s">
        <v>2558</v>
      </c>
    </row>
    <row r="171" spans="1:6" x14ac:dyDescent="0.2">
      <c r="A171" s="63">
        <v>45800</v>
      </c>
      <c r="B171" t="s">
        <v>2452</v>
      </c>
      <c r="C171">
        <v>-12.5</v>
      </c>
      <c r="D171">
        <f>_xlfn.XLOOKUP(B171,'Payee Ref'!A:A,'Payee Ref'!B:B,"unassigned",0,1)</f>
        <v>0</v>
      </c>
      <c r="E171">
        <f>_xlfn.XLOOKUP(B171,'Payee Ref'!A:A,'Payee Ref'!C:C,"unassigned",0,1)</f>
        <v>0</v>
      </c>
      <c r="F171" t="s">
        <v>2558</v>
      </c>
    </row>
    <row r="172" spans="1:6" hidden="1" x14ac:dyDescent="0.2">
      <c r="A172" s="63">
        <v>45800</v>
      </c>
      <c r="B172" t="s">
        <v>538</v>
      </c>
      <c r="C172">
        <v>-127.67</v>
      </c>
      <c r="D172" t="str">
        <f>_xlfn.XLOOKUP(B172,'Payee Ref'!A:A,'Payee Ref'!B:B,"unassigned",0,1)</f>
        <v>Groceries</v>
      </c>
      <c r="E172" t="str">
        <f>_xlfn.XLOOKUP(B172,'Payee Ref'!A:A,'Payee Ref'!C:C,"unassigned",0,1)</f>
        <v>Basic</v>
      </c>
      <c r="F172" t="s">
        <v>2558</v>
      </c>
    </row>
    <row r="173" spans="1:6" hidden="1" x14ac:dyDescent="0.2">
      <c r="A173" s="63">
        <v>45801</v>
      </c>
      <c r="B173" t="s">
        <v>70</v>
      </c>
      <c r="C173">
        <v>-57.44</v>
      </c>
      <c r="D173" t="str">
        <f>_xlfn.XLOOKUP(B173,'Payee Ref'!A:A,'Payee Ref'!B:B,"unassigned",0,1)</f>
        <v>Bank Fees</v>
      </c>
      <c r="E173" t="str">
        <f>_xlfn.XLOOKUP(B173,'Payee Ref'!A:A,'Payee Ref'!C:C,"unassigned",0,1)</f>
        <v>Luxury</v>
      </c>
      <c r="F173" t="s">
        <v>2558</v>
      </c>
    </row>
    <row r="174" spans="1:6" hidden="1" x14ac:dyDescent="0.2">
      <c r="A174" s="63">
        <v>45801</v>
      </c>
      <c r="B174" t="s">
        <v>831</v>
      </c>
      <c r="C174">
        <v>-64</v>
      </c>
      <c r="D174" t="str">
        <f>_xlfn.XLOOKUP(B174,'Payee Ref'!A:A,'Payee Ref'!B:B,"unassigned",0,1)</f>
        <v>Personal Care</v>
      </c>
      <c r="E174" t="str">
        <f>_xlfn.XLOOKUP(B174,'Payee Ref'!A:A,'Payee Ref'!C:C,"unassigned",0,1)</f>
        <v>Basic</v>
      </c>
      <c r="F174" t="s">
        <v>2558</v>
      </c>
    </row>
    <row r="175" spans="1:6" x14ac:dyDescent="0.2">
      <c r="A175" s="63">
        <v>45801</v>
      </c>
      <c r="B175" t="s">
        <v>2451</v>
      </c>
      <c r="C175">
        <v>-102.5</v>
      </c>
      <c r="D175">
        <f>_xlfn.XLOOKUP(B175,'Payee Ref'!A:A,'Payee Ref'!B:B,"unassigned",0,1)</f>
        <v>0</v>
      </c>
      <c r="E175">
        <f>_xlfn.XLOOKUP(B175,'Payee Ref'!A:A,'Payee Ref'!C:C,"unassigned",0,1)</f>
        <v>0</v>
      </c>
      <c r="F175" t="s">
        <v>2558</v>
      </c>
    </row>
    <row r="176" spans="1:6" hidden="1" x14ac:dyDescent="0.2">
      <c r="A176" s="63">
        <v>45803</v>
      </c>
      <c r="B176" t="s">
        <v>932</v>
      </c>
      <c r="C176">
        <v>-3.3</v>
      </c>
      <c r="D176" t="str">
        <f>_xlfn.XLOOKUP(B176,'Payee Ref'!A:A,'Payee Ref'!B:B,"unassigned",0,1)</f>
        <v>Subscriptions / Digital</v>
      </c>
      <c r="E176" t="str">
        <f>_xlfn.XLOOKUP(B176,'Payee Ref'!A:A,'Payee Ref'!C:C,"unassigned",0,1)</f>
        <v>Luxury</v>
      </c>
      <c r="F176" t="s">
        <v>2558</v>
      </c>
    </row>
    <row r="177" spans="1:6" x14ac:dyDescent="0.2">
      <c r="A177" s="63">
        <v>45803</v>
      </c>
      <c r="B177" t="s">
        <v>2526</v>
      </c>
      <c r="C177">
        <v>-33.11</v>
      </c>
      <c r="D177">
        <f>_xlfn.XLOOKUP(B177,'Payee Ref'!A:A,'Payee Ref'!B:B,"unassigned",0,1)</f>
        <v>0</v>
      </c>
      <c r="E177">
        <f>_xlfn.XLOOKUP(B177,'Payee Ref'!A:A,'Payee Ref'!C:C,"unassigned",0,1)</f>
        <v>0</v>
      </c>
      <c r="F177" t="s">
        <v>2558</v>
      </c>
    </row>
    <row r="178" spans="1:6" x14ac:dyDescent="0.2">
      <c r="A178" s="63">
        <v>45805</v>
      </c>
      <c r="B178" t="s">
        <v>2525</v>
      </c>
      <c r="C178">
        <v>-52.51</v>
      </c>
      <c r="D178" t="str">
        <f>_xlfn.XLOOKUP(B178,'Payee Ref'!A:A,'Payee Ref'!B:B,"unassigned",0,1)</f>
        <v>Travel</v>
      </c>
      <c r="E178" t="str">
        <f>_xlfn.XLOOKUP(B178,'Payee Ref'!A:A,'Payee Ref'!C:C,"unassigned",0,1)</f>
        <v>Luxury</v>
      </c>
      <c r="F178" t="s">
        <v>2558</v>
      </c>
    </row>
    <row r="179" spans="1:6" hidden="1" x14ac:dyDescent="0.2">
      <c r="A179" s="63">
        <v>45805</v>
      </c>
      <c r="B179" t="s">
        <v>159</v>
      </c>
      <c r="C179">
        <v>2921.24</v>
      </c>
      <c r="D179" t="str">
        <f>_xlfn.XLOOKUP(B179,'Payee Ref'!A:A,'Payee Ref'!B:B,"unassigned",0,1)</f>
        <v>Credit Card Payment</v>
      </c>
      <c r="E179" t="str">
        <f>_xlfn.XLOOKUP(B179,'Payee Ref'!A:A,'Payee Ref'!C:C,"unassigned",0,1)</f>
        <v>Basic</v>
      </c>
      <c r="F179" t="s">
        <v>2558</v>
      </c>
    </row>
    <row r="180" spans="1:6" x14ac:dyDescent="0.2">
      <c r="A180" s="63">
        <v>45806</v>
      </c>
      <c r="B180" t="s">
        <v>2523</v>
      </c>
      <c r="C180">
        <v>-4075.45</v>
      </c>
      <c r="D180">
        <f>_xlfn.XLOOKUP(B180,'Payee Ref'!A:A,'Payee Ref'!B:B,"unassigned",0,1)</f>
        <v>0</v>
      </c>
      <c r="E180">
        <f>_xlfn.XLOOKUP(B180,'Payee Ref'!A:A,'Payee Ref'!C:C,"unassigned",0,1)</f>
        <v>0</v>
      </c>
      <c r="F180" t="s">
        <v>2558</v>
      </c>
    </row>
    <row r="181" spans="1:6" x14ac:dyDescent="0.2">
      <c r="A181" s="63">
        <v>45806</v>
      </c>
      <c r="B181" t="s">
        <v>2524</v>
      </c>
      <c r="C181">
        <v>-31.93</v>
      </c>
      <c r="D181">
        <f>_xlfn.XLOOKUP(B181,'Payee Ref'!A:A,'Payee Ref'!B:B,"unassigned",0,1)</f>
        <v>0</v>
      </c>
      <c r="E181">
        <f>_xlfn.XLOOKUP(B181,'Payee Ref'!A:A,'Payee Ref'!C:C,"unassigned",0,1)</f>
        <v>0</v>
      </c>
      <c r="F181" t="s">
        <v>2558</v>
      </c>
    </row>
    <row r="182" spans="1:6" x14ac:dyDescent="0.2">
      <c r="A182" s="63">
        <v>45807</v>
      </c>
      <c r="B182" t="s">
        <v>2452</v>
      </c>
      <c r="C182">
        <v>-15</v>
      </c>
      <c r="D182">
        <f>_xlfn.XLOOKUP(B182,'Payee Ref'!A:A,'Payee Ref'!B:B,"unassigned",0,1)</f>
        <v>0</v>
      </c>
      <c r="E182">
        <f>_xlfn.XLOOKUP(B182,'Payee Ref'!A:A,'Payee Ref'!C:C,"unassigned",0,1)</f>
        <v>0</v>
      </c>
      <c r="F182" t="s">
        <v>2558</v>
      </c>
    </row>
    <row r="183" spans="1:6" hidden="1" x14ac:dyDescent="0.2">
      <c r="A183" s="63">
        <v>45807</v>
      </c>
      <c r="B183" t="s">
        <v>538</v>
      </c>
      <c r="C183">
        <v>-127.67</v>
      </c>
      <c r="D183" t="str">
        <f>_xlfn.XLOOKUP(B183,'Payee Ref'!A:A,'Payee Ref'!B:B,"unassigned",0,1)</f>
        <v>Groceries</v>
      </c>
      <c r="E183" t="str">
        <f>_xlfn.XLOOKUP(B183,'Payee Ref'!A:A,'Payee Ref'!C:C,"unassigned",0,1)</f>
        <v>Basic</v>
      </c>
      <c r="F183" t="s">
        <v>2558</v>
      </c>
    </row>
    <row r="184" spans="1:6" hidden="1" x14ac:dyDescent="0.2">
      <c r="A184" s="63">
        <v>45810</v>
      </c>
      <c r="B184" t="s">
        <v>573</v>
      </c>
      <c r="C184">
        <v>-54.38</v>
      </c>
      <c r="D184" t="str">
        <f>_xlfn.XLOOKUP(B184,'Payee Ref'!A:A,'Payee Ref'!B:B,"unassigned",0,1)</f>
        <v>Groceries</v>
      </c>
      <c r="E184" t="str">
        <f>_xlfn.XLOOKUP(B184,'Payee Ref'!A:A,'Payee Ref'!C:C,"unassigned",0,1)</f>
        <v>Basic</v>
      </c>
      <c r="F184" t="s">
        <v>2558</v>
      </c>
    </row>
    <row r="185" spans="1:6" x14ac:dyDescent="0.2">
      <c r="A185" s="63">
        <v>45810</v>
      </c>
      <c r="B185" t="s">
        <v>2521</v>
      </c>
      <c r="C185">
        <v>-150</v>
      </c>
      <c r="D185">
        <f>_xlfn.XLOOKUP(B185,'Payee Ref'!A:A,'Payee Ref'!B:B,"unassigned",0,1)</f>
        <v>0</v>
      </c>
      <c r="E185">
        <f>_xlfn.XLOOKUP(B185,'Payee Ref'!A:A,'Payee Ref'!C:C,"unassigned",0,1)</f>
        <v>0</v>
      </c>
      <c r="F185" t="s">
        <v>2558</v>
      </c>
    </row>
    <row r="186" spans="1:6" x14ac:dyDescent="0.2">
      <c r="A186" s="63">
        <v>45810</v>
      </c>
      <c r="B186" t="s">
        <v>2522</v>
      </c>
      <c r="C186">
        <v>-27.38</v>
      </c>
      <c r="D186">
        <f>_xlfn.XLOOKUP(B186,'Payee Ref'!A:A,'Payee Ref'!B:B,"unassigned",0,1)</f>
        <v>0</v>
      </c>
      <c r="E186">
        <f>_xlfn.XLOOKUP(B186,'Payee Ref'!A:A,'Payee Ref'!C:C,"unassigned",0,1)</f>
        <v>0</v>
      </c>
      <c r="F186" t="s">
        <v>2558</v>
      </c>
    </row>
    <row r="187" spans="1:6" hidden="1" x14ac:dyDescent="0.2">
      <c r="A187" s="63">
        <v>45811</v>
      </c>
      <c r="B187" t="s">
        <v>369</v>
      </c>
      <c r="C187">
        <v>-24.28</v>
      </c>
      <c r="D187" t="str">
        <f>_xlfn.XLOOKUP(B187,'Payee Ref'!A:A,'Payee Ref'!B:B,"unassigned",0,1)</f>
        <v>Dining</v>
      </c>
      <c r="E187" t="str">
        <f>_xlfn.XLOOKUP(B187,'Payee Ref'!A:A,'Payee Ref'!C:C,"unassigned",0,1)</f>
        <v>Luxury</v>
      </c>
      <c r="F187" t="s">
        <v>2558</v>
      </c>
    </row>
    <row r="188" spans="1:6" hidden="1" x14ac:dyDescent="0.2">
      <c r="A188" s="63">
        <v>45811</v>
      </c>
      <c r="B188" t="s">
        <v>721</v>
      </c>
      <c r="C188">
        <v>-99</v>
      </c>
      <c r="D188" t="str">
        <f>_xlfn.XLOOKUP(B188,'Payee Ref'!A:A,'Payee Ref'!B:B,"unassigned",0,1)</f>
        <v>Home &amp; Garden</v>
      </c>
      <c r="E188" t="str">
        <f>_xlfn.XLOOKUP(B188,'Payee Ref'!A:A,'Payee Ref'!C:C,"unassigned",0,1)</f>
        <v>Basic</v>
      </c>
      <c r="F188" t="s">
        <v>2558</v>
      </c>
    </row>
    <row r="189" spans="1:6" x14ac:dyDescent="0.2">
      <c r="A189" s="63">
        <v>45814</v>
      </c>
      <c r="B189" t="s">
        <v>2483</v>
      </c>
      <c r="C189">
        <v>-165.11</v>
      </c>
      <c r="D189">
        <f>_xlfn.XLOOKUP(B189,'Payee Ref'!A:A,'Payee Ref'!B:B,"unassigned",0,1)</f>
        <v>0</v>
      </c>
      <c r="E189">
        <f>_xlfn.XLOOKUP(B189,'Payee Ref'!A:A,'Payee Ref'!C:C,"unassigned",0,1)</f>
        <v>0</v>
      </c>
      <c r="F189" t="s">
        <v>2558</v>
      </c>
    </row>
    <row r="190" spans="1:6" hidden="1" x14ac:dyDescent="0.2">
      <c r="A190" s="63">
        <v>45814</v>
      </c>
      <c r="B190" t="s">
        <v>538</v>
      </c>
      <c r="C190">
        <v>-119.67</v>
      </c>
      <c r="D190" t="str">
        <f>_xlfn.XLOOKUP(B190,'Payee Ref'!A:A,'Payee Ref'!B:B,"unassigned",0,1)</f>
        <v>Groceries</v>
      </c>
      <c r="E190" t="str">
        <f>_xlfn.XLOOKUP(B190,'Payee Ref'!A:A,'Payee Ref'!C:C,"unassigned",0,1)</f>
        <v>Basic</v>
      </c>
      <c r="F190" t="s">
        <v>2558</v>
      </c>
    </row>
    <row r="191" spans="1:6" x14ac:dyDescent="0.2">
      <c r="A191" s="63">
        <v>45814</v>
      </c>
      <c r="B191" t="s">
        <v>2520</v>
      </c>
      <c r="C191">
        <v>-9.93</v>
      </c>
      <c r="D191">
        <f>_xlfn.XLOOKUP(B191,'Payee Ref'!A:A,'Payee Ref'!B:B,"unassigned",0,1)</f>
        <v>0</v>
      </c>
      <c r="E191">
        <f>_xlfn.XLOOKUP(B191,'Payee Ref'!A:A,'Payee Ref'!C:C,"unassigned",0,1)</f>
        <v>0</v>
      </c>
      <c r="F191" t="s">
        <v>2558</v>
      </c>
    </row>
    <row r="192" spans="1:6" x14ac:dyDescent="0.2">
      <c r="A192" s="63">
        <v>45817</v>
      </c>
      <c r="B192" t="s">
        <v>2519</v>
      </c>
      <c r="C192">
        <v>-31.86</v>
      </c>
      <c r="D192">
        <f>_xlfn.XLOOKUP(B192,'Payee Ref'!A:A,'Payee Ref'!B:B,"unassigned",0,1)</f>
        <v>0</v>
      </c>
      <c r="E192">
        <f>_xlfn.XLOOKUP(B192,'Payee Ref'!A:A,'Payee Ref'!C:C,"unassigned",0,1)</f>
        <v>0</v>
      </c>
      <c r="F192" t="s">
        <v>2558</v>
      </c>
    </row>
    <row r="193" spans="1:6" x14ac:dyDescent="0.2">
      <c r="A193" s="63">
        <v>45818</v>
      </c>
      <c r="B193" t="s">
        <v>2518</v>
      </c>
      <c r="C193">
        <v>-369.62</v>
      </c>
      <c r="D193">
        <f>_xlfn.XLOOKUP(B193,'Payee Ref'!A:A,'Payee Ref'!B:B,"unassigned",0,1)</f>
        <v>0</v>
      </c>
      <c r="E193">
        <f>_xlfn.XLOOKUP(B193,'Payee Ref'!A:A,'Payee Ref'!C:C,"unassigned",0,1)</f>
        <v>0</v>
      </c>
      <c r="F193" t="s">
        <v>2558</v>
      </c>
    </row>
    <row r="194" spans="1:6" x14ac:dyDescent="0.2">
      <c r="A194" s="63">
        <v>45819</v>
      </c>
      <c r="B194" t="s">
        <v>2517</v>
      </c>
      <c r="C194">
        <v>-156.66999999999999</v>
      </c>
      <c r="D194">
        <f>_xlfn.XLOOKUP(B194,'Payee Ref'!A:A,'Payee Ref'!B:B,"unassigned",0,1)</f>
        <v>0</v>
      </c>
      <c r="E194">
        <f>_xlfn.XLOOKUP(B194,'Payee Ref'!A:A,'Payee Ref'!C:C,"unassigned",0,1)</f>
        <v>0</v>
      </c>
      <c r="F194" t="s">
        <v>2558</v>
      </c>
    </row>
    <row r="195" spans="1:6" hidden="1" x14ac:dyDescent="0.2">
      <c r="A195" s="63">
        <v>45820</v>
      </c>
      <c r="B195" t="s">
        <v>364</v>
      </c>
      <c r="C195">
        <v>-24.15</v>
      </c>
      <c r="D195" t="str">
        <f>_xlfn.XLOOKUP(B195,'Payee Ref'!A:A,'Payee Ref'!B:B,"unassigned",0,1)</f>
        <v>Dining</v>
      </c>
      <c r="E195" t="str">
        <f>_xlfn.XLOOKUP(B195,'Payee Ref'!A:A,'Payee Ref'!C:C,"unassigned",0,1)</f>
        <v>Luxury</v>
      </c>
      <c r="F195" t="s">
        <v>2558</v>
      </c>
    </row>
    <row r="196" spans="1:6" x14ac:dyDescent="0.2">
      <c r="A196" s="63">
        <v>45820</v>
      </c>
      <c r="B196" t="s">
        <v>2487</v>
      </c>
      <c r="C196">
        <v>-32.49</v>
      </c>
      <c r="D196">
        <f>_xlfn.XLOOKUP(B196,'Payee Ref'!A:A,'Payee Ref'!B:B,"unassigned",0,1)</f>
        <v>0</v>
      </c>
      <c r="E196">
        <f>_xlfn.XLOOKUP(B196,'Payee Ref'!A:A,'Payee Ref'!C:C,"unassigned",0,1)</f>
        <v>0</v>
      </c>
      <c r="F196" t="s">
        <v>2558</v>
      </c>
    </row>
    <row r="197" spans="1:6" x14ac:dyDescent="0.2">
      <c r="A197" s="63">
        <v>45821</v>
      </c>
      <c r="B197" t="s">
        <v>2452</v>
      </c>
      <c r="C197">
        <v>-41.5</v>
      </c>
      <c r="D197">
        <f>_xlfn.XLOOKUP(B197,'Payee Ref'!A:A,'Payee Ref'!B:B,"unassigned",0,1)</f>
        <v>0</v>
      </c>
      <c r="E197">
        <f>_xlfn.XLOOKUP(B197,'Payee Ref'!A:A,'Payee Ref'!C:C,"unassigned",0,1)</f>
        <v>0</v>
      </c>
      <c r="F197" t="s">
        <v>2558</v>
      </c>
    </row>
    <row r="198" spans="1:6" hidden="1" x14ac:dyDescent="0.2">
      <c r="A198" s="63">
        <v>45821</v>
      </c>
      <c r="B198" t="s">
        <v>538</v>
      </c>
      <c r="C198">
        <v>-127.67</v>
      </c>
      <c r="D198" t="str">
        <f>_xlfn.XLOOKUP(B198,'Payee Ref'!A:A,'Payee Ref'!B:B,"unassigned",0,1)</f>
        <v>Groceries</v>
      </c>
      <c r="E198" t="str">
        <f>_xlfn.XLOOKUP(B198,'Payee Ref'!A:A,'Payee Ref'!C:C,"unassigned",0,1)</f>
        <v>Basic</v>
      </c>
      <c r="F198" t="s">
        <v>2558</v>
      </c>
    </row>
    <row r="199" spans="1:6" x14ac:dyDescent="0.2">
      <c r="A199" s="63">
        <v>45821</v>
      </c>
      <c r="B199" t="s">
        <v>2483</v>
      </c>
      <c r="C199">
        <v>-458.61</v>
      </c>
      <c r="D199">
        <f>_xlfn.XLOOKUP(B199,'Payee Ref'!A:A,'Payee Ref'!B:B,"unassigned",0,1)</f>
        <v>0</v>
      </c>
      <c r="E199">
        <f>_xlfn.XLOOKUP(B199,'Payee Ref'!A:A,'Payee Ref'!C:C,"unassigned",0,1)</f>
        <v>0</v>
      </c>
      <c r="F199" t="s">
        <v>2558</v>
      </c>
    </row>
    <row r="200" spans="1:6" x14ac:dyDescent="0.2">
      <c r="A200" s="63">
        <v>45822</v>
      </c>
      <c r="B200" t="s">
        <v>2516</v>
      </c>
      <c r="C200">
        <v>-89</v>
      </c>
      <c r="D200">
        <f>_xlfn.XLOOKUP(B200,'Payee Ref'!A:A,'Payee Ref'!B:B,"unassigned",0,1)</f>
        <v>0</v>
      </c>
      <c r="E200">
        <f>_xlfn.XLOOKUP(B200,'Payee Ref'!A:A,'Payee Ref'!C:C,"unassigned",0,1)</f>
        <v>0</v>
      </c>
      <c r="F200" t="s">
        <v>2558</v>
      </c>
    </row>
    <row r="201" spans="1:6" hidden="1" x14ac:dyDescent="0.2">
      <c r="A201" s="63">
        <v>45824</v>
      </c>
      <c r="B201" t="s">
        <v>925</v>
      </c>
      <c r="C201">
        <v>-25.55</v>
      </c>
      <c r="D201" t="str">
        <f>_xlfn.XLOOKUP(B201,'Payee Ref'!A:A,'Payee Ref'!B:B,"unassigned",0,1)</f>
        <v>Subscriptions / Digital</v>
      </c>
      <c r="E201" t="str">
        <f>_xlfn.XLOOKUP(B201,'Payee Ref'!A:A,'Payee Ref'!C:C,"unassigned",0,1)</f>
        <v>Luxury</v>
      </c>
      <c r="F201" t="s">
        <v>2558</v>
      </c>
    </row>
    <row r="202" spans="1:6" x14ac:dyDescent="0.2">
      <c r="A202" s="63">
        <v>45825</v>
      </c>
      <c r="B202" t="s">
        <v>2515</v>
      </c>
      <c r="C202">
        <v>-31.09</v>
      </c>
      <c r="D202">
        <f>_xlfn.XLOOKUP(B202,'Payee Ref'!A:A,'Payee Ref'!B:B,"unassigned",0,1)</f>
        <v>0</v>
      </c>
      <c r="E202">
        <f>_xlfn.XLOOKUP(B202,'Payee Ref'!A:A,'Payee Ref'!C:C,"unassigned",0,1)</f>
        <v>0</v>
      </c>
      <c r="F202" t="s">
        <v>2558</v>
      </c>
    </row>
    <row r="203" spans="1:6" hidden="1" x14ac:dyDescent="0.2">
      <c r="A203" s="63">
        <v>45826</v>
      </c>
      <c r="B203" t="s">
        <v>824</v>
      </c>
      <c r="C203">
        <v>-8</v>
      </c>
      <c r="D203" t="str">
        <f>_xlfn.XLOOKUP(B203,'Payee Ref'!A:A,'Payee Ref'!B:B,"unassigned",0,1)</f>
        <v>Parking</v>
      </c>
      <c r="E203" t="str">
        <f>_xlfn.XLOOKUP(B203,'Payee Ref'!A:A,'Payee Ref'!C:C,"unassigned",0,1)</f>
        <v>Basic</v>
      </c>
      <c r="F203" t="s">
        <v>2558</v>
      </c>
    </row>
    <row r="204" spans="1:6" x14ac:dyDescent="0.2">
      <c r="A204" s="63">
        <v>45826</v>
      </c>
      <c r="B204" t="s">
        <v>2514</v>
      </c>
      <c r="C204">
        <v>-141.22999999999999</v>
      </c>
      <c r="D204">
        <f>_xlfn.XLOOKUP(B204,'Payee Ref'!A:A,'Payee Ref'!B:B,"unassigned",0,1)</f>
        <v>0</v>
      </c>
      <c r="E204">
        <f>_xlfn.XLOOKUP(B204,'Payee Ref'!A:A,'Payee Ref'!C:C,"unassigned",0,1)</f>
        <v>0</v>
      </c>
      <c r="F204" t="s">
        <v>2558</v>
      </c>
    </row>
    <row r="205" spans="1:6" hidden="1" x14ac:dyDescent="0.2">
      <c r="A205" s="63">
        <v>45827</v>
      </c>
      <c r="B205" t="s">
        <v>907</v>
      </c>
      <c r="C205">
        <v>-17.649999999999999</v>
      </c>
      <c r="D205" t="str">
        <f>_xlfn.XLOOKUP(B205,'Payee Ref'!A:A,'Payee Ref'!B:B,"unassigned",0,1)</f>
        <v>Subscriptions / Digital</v>
      </c>
      <c r="E205" t="str">
        <f>_xlfn.XLOOKUP(B205,'Payee Ref'!A:A,'Payee Ref'!C:C,"unassigned",0,1)</f>
        <v>Luxury</v>
      </c>
      <c r="F205" t="s">
        <v>2558</v>
      </c>
    </row>
    <row r="206" spans="1:6" x14ac:dyDescent="0.2">
      <c r="A206" s="63">
        <v>45828</v>
      </c>
      <c r="B206" t="s">
        <v>2512</v>
      </c>
      <c r="C206">
        <v>-23.98</v>
      </c>
      <c r="D206" t="str">
        <f>_xlfn.XLOOKUP(B206,'Payee Ref'!A:A,'Payee Ref'!B:B,"unassigned",0,1)</f>
        <v>Travel</v>
      </c>
      <c r="E206" t="str">
        <f>_xlfn.XLOOKUP(B206,'Payee Ref'!A:A,'Payee Ref'!C:C,"unassigned",0,1)</f>
        <v>Luxury</v>
      </c>
      <c r="F206" t="s">
        <v>2558</v>
      </c>
    </row>
    <row r="207" spans="1:6" x14ac:dyDescent="0.2">
      <c r="A207" s="63">
        <v>45828</v>
      </c>
      <c r="B207" t="s">
        <v>2513</v>
      </c>
      <c r="C207">
        <v>-14.99</v>
      </c>
      <c r="D207">
        <f>_xlfn.XLOOKUP(B207,'Payee Ref'!A:A,'Payee Ref'!B:B,"unassigned",0,1)</f>
        <v>0</v>
      </c>
      <c r="E207">
        <f>_xlfn.XLOOKUP(B207,'Payee Ref'!A:A,'Payee Ref'!C:C,"unassigned",0,1)</f>
        <v>0</v>
      </c>
      <c r="F207" t="s">
        <v>2558</v>
      </c>
    </row>
    <row r="208" spans="1:6" x14ac:dyDescent="0.2">
      <c r="A208" s="63">
        <v>45829</v>
      </c>
      <c r="B208" t="s">
        <v>2511</v>
      </c>
      <c r="C208">
        <v>-133.30000000000001</v>
      </c>
      <c r="D208" t="str">
        <f>_xlfn.XLOOKUP(B208,'Payee Ref'!A:A,'Payee Ref'!B:B,"unassigned",0,1)</f>
        <v>Travel</v>
      </c>
      <c r="E208" t="str">
        <f>_xlfn.XLOOKUP(B208,'Payee Ref'!A:A,'Payee Ref'!C:C,"unassigned",0,1)</f>
        <v>Luxury</v>
      </c>
      <c r="F208" t="s">
        <v>2558</v>
      </c>
    </row>
    <row r="209" spans="1:6" x14ac:dyDescent="0.2">
      <c r="A209" s="63">
        <v>45831</v>
      </c>
      <c r="B209" t="s">
        <v>2499</v>
      </c>
      <c r="C209">
        <v>-284.99</v>
      </c>
      <c r="D209" t="str">
        <f>_xlfn.XLOOKUP(B209,'Payee Ref'!A:A,'Payee Ref'!B:B,"unassigned",0,1)</f>
        <v>Travel</v>
      </c>
      <c r="E209" t="str">
        <f>_xlfn.XLOOKUP(B209,'Payee Ref'!A:A,'Payee Ref'!C:C,"unassigned",0,1)</f>
        <v>Luxury</v>
      </c>
      <c r="F209" t="s">
        <v>2558</v>
      </c>
    </row>
    <row r="210" spans="1:6" hidden="1" x14ac:dyDescent="0.2">
      <c r="A210" s="63">
        <v>45831</v>
      </c>
      <c r="B210" t="s">
        <v>159</v>
      </c>
      <c r="C210">
        <v>2921.24</v>
      </c>
      <c r="D210" t="str">
        <f>_xlfn.XLOOKUP(B210,'Payee Ref'!A:A,'Payee Ref'!B:B,"unassigned",0,1)</f>
        <v>Credit Card Payment</v>
      </c>
      <c r="E210" t="str">
        <f>_xlfn.XLOOKUP(B210,'Payee Ref'!A:A,'Payee Ref'!C:C,"unassigned",0,1)</f>
        <v>Basic</v>
      </c>
      <c r="F210" t="s">
        <v>2558</v>
      </c>
    </row>
    <row r="211" spans="1:6" x14ac:dyDescent="0.2">
      <c r="A211" s="63">
        <v>45831</v>
      </c>
      <c r="B211" t="s">
        <v>2509</v>
      </c>
      <c r="C211">
        <v>-10.220000000000001</v>
      </c>
      <c r="D211">
        <f>_xlfn.XLOOKUP(B211,'Payee Ref'!A:A,'Payee Ref'!B:B,"unassigned",0,1)</f>
        <v>0</v>
      </c>
      <c r="E211">
        <f>_xlfn.XLOOKUP(B211,'Payee Ref'!A:A,'Payee Ref'!C:C,"unassigned",0,1)</f>
        <v>0</v>
      </c>
      <c r="F211" t="s">
        <v>2558</v>
      </c>
    </row>
    <row r="212" spans="1:6" x14ac:dyDescent="0.2">
      <c r="A212" s="63">
        <v>45831</v>
      </c>
      <c r="B212" t="s">
        <v>2510</v>
      </c>
      <c r="C212">
        <v>-40.409999999999997</v>
      </c>
      <c r="D212">
        <f>_xlfn.XLOOKUP(B212,'Payee Ref'!A:A,'Payee Ref'!B:B,"unassigned",0,1)</f>
        <v>0</v>
      </c>
      <c r="E212">
        <f>_xlfn.XLOOKUP(B212,'Payee Ref'!A:A,'Payee Ref'!C:C,"unassigned",0,1)</f>
        <v>0</v>
      </c>
      <c r="F212" t="s">
        <v>2558</v>
      </c>
    </row>
    <row r="213" spans="1:6" x14ac:dyDescent="0.2">
      <c r="A213" s="63">
        <v>45831</v>
      </c>
      <c r="B213" t="s">
        <v>2510</v>
      </c>
      <c r="C213">
        <v>-84.04</v>
      </c>
      <c r="D213">
        <f>_xlfn.XLOOKUP(B213,'Payee Ref'!A:A,'Payee Ref'!B:B,"unassigned",0,1)</f>
        <v>0</v>
      </c>
      <c r="E213">
        <f>_xlfn.XLOOKUP(B213,'Payee Ref'!A:A,'Payee Ref'!C:C,"unassigned",0,1)</f>
        <v>0</v>
      </c>
      <c r="F213" t="s">
        <v>2558</v>
      </c>
    </row>
    <row r="214" spans="1:6" x14ac:dyDescent="0.2">
      <c r="A214" s="63">
        <v>45832</v>
      </c>
      <c r="B214" t="s">
        <v>2507</v>
      </c>
      <c r="C214">
        <v>-18.93</v>
      </c>
      <c r="D214">
        <f>_xlfn.XLOOKUP(B214,'Payee Ref'!A:A,'Payee Ref'!B:B,"unassigned",0,1)</f>
        <v>0</v>
      </c>
      <c r="E214">
        <f>_xlfn.XLOOKUP(B214,'Payee Ref'!A:A,'Payee Ref'!C:C,"unassigned",0,1)</f>
        <v>0</v>
      </c>
      <c r="F214" t="s">
        <v>2558</v>
      </c>
    </row>
    <row r="215" spans="1:6" x14ac:dyDescent="0.2">
      <c r="A215" s="63">
        <v>45832</v>
      </c>
      <c r="B215" t="s">
        <v>2508</v>
      </c>
      <c r="C215">
        <v>-704.37</v>
      </c>
      <c r="D215" t="str">
        <f>_xlfn.XLOOKUP(B215,'Payee Ref'!A:A,'Payee Ref'!B:B,"unassigned",0,1)</f>
        <v>Travel</v>
      </c>
      <c r="E215" t="str">
        <f>_xlfn.XLOOKUP(B215,'Payee Ref'!A:A,'Payee Ref'!C:C,"unassigned",0,1)</f>
        <v>Luxury</v>
      </c>
      <c r="F215" t="s">
        <v>2558</v>
      </c>
    </row>
    <row r="216" spans="1:6" hidden="1" x14ac:dyDescent="0.2">
      <c r="A216" s="63">
        <v>45834</v>
      </c>
      <c r="B216" t="s">
        <v>932</v>
      </c>
      <c r="C216">
        <v>-3.3</v>
      </c>
      <c r="D216" t="str">
        <f>_xlfn.XLOOKUP(B216,'Payee Ref'!A:A,'Payee Ref'!B:B,"unassigned",0,1)</f>
        <v>Subscriptions / Digital</v>
      </c>
      <c r="E216" t="str">
        <f>_xlfn.XLOOKUP(B216,'Payee Ref'!A:A,'Payee Ref'!C:C,"unassigned",0,1)</f>
        <v>Luxury</v>
      </c>
      <c r="F216" t="s">
        <v>2558</v>
      </c>
    </row>
    <row r="217" spans="1:6" x14ac:dyDescent="0.2">
      <c r="A217" s="63">
        <v>45835</v>
      </c>
      <c r="B217" t="s">
        <v>2504</v>
      </c>
      <c r="C217">
        <v>-1328.4</v>
      </c>
      <c r="D217">
        <f>_xlfn.XLOOKUP(B217,'Payee Ref'!A:A,'Payee Ref'!B:B,"unassigned",0,1)</f>
        <v>0</v>
      </c>
      <c r="E217">
        <f>_xlfn.XLOOKUP(B217,'Payee Ref'!A:A,'Payee Ref'!C:C,"unassigned",0,1)</f>
        <v>0</v>
      </c>
      <c r="F217" t="s">
        <v>2558</v>
      </c>
    </row>
    <row r="218" spans="1:6" x14ac:dyDescent="0.2">
      <c r="A218" s="63">
        <v>45835</v>
      </c>
      <c r="B218" t="s">
        <v>2505</v>
      </c>
      <c r="C218">
        <v>-64.13</v>
      </c>
      <c r="D218">
        <f>_xlfn.XLOOKUP(B218,'Payee Ref'!A:A,'Payee Ref'!B:B,"unassigned",0,1)</f>
        <v>0</v>
      </c>
      <c r="E218">
        <f>_xlfn.XLOOKUP(B218,'Payee Ref'!A:A,'Payee Ref'!C:C,"unassigned",0,1)</f>
        <v>0</v>
      </c>
      <c r="F218" t="s">
        <v>2558</v>
      </c>
    </row>
    <row r="219" spans="1:6" x14ac:dyDescent="0.2">
      <c r="A219" s="63">
        <v>45835</v>
      </c>
      <c r="B219" t="s">
        <v>2506</v>
      </c>
      <c r="C219">
        <v>-9.33</v>
      </c>
      <c r="D219">
        <f>_xlfn.XLOOKUP(B219,'Payee Ref'!A:A,'Payee Ref'!B:B,"unassigned",0,1)</f>
        <v>0</v>
      </c>
      <c r="E219">
        <f>_xlfn.XLOOKUP(B219,'Payee Ref'!A:A,'Payee Ref'!C:C,"unassigned",0,1)</f>
        <v>0</v>
      </c>
      <c r="F219" t="s">
        <v>2558</v>
      </c>
    </row>
    <row r="220" spans="1:6" x14ac:dyDescent="0.2">
      <c r="A220" s="63">
        <v>45835</v>
      </c>
      <c r="B220" t="s">
        <v>2506</v>
      </c>
      <c r="C220">
        <v>-8.17</v>
      </c>
      <c r="D220">
        <f>_xlfn.XLOOKUP(B220,'Payee Ref'!A:A,'Payee Ref'!B:B,"unassigned",0,1)</f>
        <v>0</v>
      </c>
      <c r="E220">
        <f>_xlfn.XLOOKUP(B220,'Payee Ref'!A:A,'Payee Ref'!C:C,"unassigned",0,1)</f>
        <v>0</v>
      </c>
      <c r="F220" t="s">
        <v>2558</v>
      </c>
    </row>
    <row r="221" spans="1:6" hidden="1" x14ac:dyDescent="0.2">
      <c r="A221" s="63">
        <v>45835</v>
      </c>
      <c r="B221" t="s">
        <v>538</v>
      </c>
      <c r="C221">
        <v>-127.67</v>
      </c>
      <c r="D221" t="str">
        <f>_xlfn.XLOOKUP(B221,'Payee Ref'!A:A,'Payee Ref'!B:B,"unassigned",0,1)</f>
        <v>Groceries</v>
      </c>
      <c r="E221" t="str">
        <f>_xlfn.XLOOKUP(B221,'Payee Ref'!A:A,'Payee Ref'!C:C,"unassigned",0,1)</f>
        <v>Basic</v>
      </c>
      <c r="F221" t="s">
        <v>2558</v>
      </c>
    </row>
    <row r="222" spans="1:6" x14ac:dyDescent="0.2">
      <c r="A222" s="63">
        <v>45838</v>
      </c>
      <c r="B222" t="s">
        <v>2503</v>
      </c>
      <c r="C222">
        <v>-45.3</v>
      </c>
      <c r="D222">
        <f>_xlfn.XLOOKUP(B222,'Payee Ref'!A:A,'Payee Ref'!B:B,"unassigned",0,1)</f>
        <v>0</v>
      </c>
      <c r="E222">
        <f>_xlfn.XLOOKUP(B222,'Payee Ref'!A:A,'Payee Ref'!C:C,"unassigned",0,1)</f>
        <v>0</v>
      </c>
      <c r="F222" t="s">
        <v>2558</v>
      </c>
    </row>
    <row r="223" spans="1:6" x14ac:dyDescent="0.2">
      <c r="A223" s="63">
        <v>45839</v>
      </c>
      <c r="B223" t="s">
        <v>2462</v>
      </c>
      <c r="C223">
        <v>-42.35</v>
      </c>
      <c r="D223" t="str">
        <f>_xlfn.XLOOKUP(B223,'Payee Ref'!A:A,'Payee Ref'!B:B,"unassigned",0,1)</f>
        <v>Dining</v>
      </c>
      <c r="E223" t="str">
        <f>_xlfn.XLOOKUP(B223,'Payee Ref'!A:A,'Payee Ref'!C:C,"unassigned",0,1)</f>
        <v>Luxury</v>
      </c>
      <c r="F223" t="s">
        <v>2558</v>
      </c>
    </row>
    <row r="224" spans="1:6" hidden="1" x14ac:dyDescent="0.2">
      <c r="A224" s="63">
        <v>45840</v>
      </c>
      <c r="B224" t="s">
        <v>721</v>
      </c>
      <c r="C224">
        <v>-99</v>
      </c>
      <c r="D224" t="str">
        <f>_xlfn.XLOOKUP(B224,'Payee Ref'!A:A,'Payee Ref'!B:B,"unassigned",0,1)</f>
        <v>Home &amp; Garden</v>
      </c>
      <c r="E224" t="str">
        <f>_xlfn.XLOOKUP(B224,'Payee Ref'!A:A,'Payee Ref'!C:C,"unassigned",0,1)</f>
        <v>Basic</v>
      </c>
      <c r="F224" t="s">
        <v>2558</v>
      </c>
    </row>
    <row r="225" spans="1:6" x14ac:dyDescent="0.2">
      <c r="A225" s="63">
        <v>45841</v>
      </c>
      <c r="B225" t="s">
        <v>2452</v>
      </c>
      <c r="C225">
        <v>-7</v>
      </c>
      <c r="D225">
        <f>_xlfn.XLOOKUP(B225,'Payee Ref'!A:A,'Payee Ref'!B:B,"unassigned",0,1)</f>
        <v>0</v>
      </c>
      <c r="E225">
        <f>_xlfn.XLOOKUP(B225,'Payee Ref'!A:A,'Payee Ref'!C:C,"unassigned",0,1)</f>
        <v>0</v>
      </c>
      <c r="F225" t="s">
        <v>2558</v>
      </c>
    </row>
    <row r="226" spans="1:6" hidden="1" x14ac:dyDescent="0.2">
      <c r="A226" s="63">
        <v>45841</v>
      </c>
      <c r="B226" t="s">
        <v>364</v>
      </c>
      <c r="C226">
        <v>-9.2799999999999994</v>
      </c>
      <c r="D226" t="str">
        <f>_xlfn.XLOOKUP(B226,'Payee Ref'!A:A,'Payee Ref'!B:B,"unassigned",0,1)</f>
        <v>Dining</v>
      </c>
      <c r="E226" t="str">
        <f>_xlfn.XLOOKUP(B226,'Payee Ref'!A:A,'Payee Ref'!C:C,"unassigned",0,1)</f>
        <v>Luxury</v>
      </c>
      <c r="F226" t="s">
        <v>2558</v>
      </c>
    </row>
    <row r="227" spans="1:6" hidden="1" x14ac:dyDescent="0.2">
      <c r="A227" s="63">
        <v>45842</v>
      </c>
      <c r="B227" t="s">
        <v>369</v>
      </c>
      <c r="C227">
        <v>-34.21</v>
      </c>
      <c r="D227" t="str">
        <f>_xlfn.XLOOKUP(B227,'Payee Ref'!A:A,'Payee Ref'!B:B,"unassigned",0,1)</f>
        <v>Dining</v>
      </c>
      <c r="E227" t="str">
        <f>_xlfn.XLOOKUP(B227,'Payee Ref'!A:A,'Payee Ref'!C:C,"unassigned",0,1)</f>
        <v>Luxury</v>
      </c>
      <c r="F227" t="s">
        <v>2558</v>
      </c>
    </row>
    <row r="228" spans="1:6" hidden="1" x14ac:dyDescent="0.2">
      <c r="A228" s="63">
        <v>45846</v>
      </c>
      <c r="B228" t="s">
        <v>137</v>
      </c>
      <c r="C228">
        <v>-66</v>
      </c>
      <c r="D228" t="str">
        <f>_xlfn.XLOOKUP(B228,'Payee Ref'!A:A,'Payee Ref'!B:B,"unassigned",0,1)</f>
        <v>Clothing</v>
      </c>
      <c r="E228" t="str">
        <f>_xlfn.XLOOKUP(B228,'Payee Ref'!A:A,'Payee Ref'!C:C,"unassigned",0,1)</f>
        <v>Basic</v>
      </c>
      <c r="F228" t="s">
        <v>2558</v>
      </c>
    </row>
    <row r="229" spans="1:6" x14ac:dyDescent="0.2">
      <c r="A229" s="63">
        <v>45847</v>
      </c>
      <c r="B229" t="s">
        <v>2502</v>
      </c>
      <c r="C229">
        <v>-11.73</v>
      </c>
      <c r="D229">
        <f>_xlfn.XLOOKUP(B229,'Payee Ref'!A:A,'Payee Ref'!B:B,"unassigned",0,1)</f>
        <v>0</v>
      </c>
      <c r="E229">
        <f>_xlfn.XLOOKUP(B229,'Payee Ref'!A:A,'Payee Ref'!C:C,"unassigned",0,1)</f>
        <v>0</v>
      </c>
      <c r="F229" t="s">
        <v>2558</v>
      </c>
    </row>
    <row r="230" spans="1:6" hidden="1" x14ac:dyDescent="0.2">
      <c r="A230" s="63">
        <v>45849</v>
      </c>
      <c r="B230" t="s">
        <v>538</v>
      </c>
      <c r="C230">
        <v>-127.67</v>
      </c>
      <c r="D230" t="str">
        <f>_xlfn.XLOOKUP(B230,'Payee Ref'!A:A,'Payee Ref'!B:B,"unassigned",0,1)</f>
        <v>Groceries</v>
      </c>
      <c r="E230" t="str">
        <f>_xlfn.XLOOKUP(B230,'Payee Ref'!A:A,'Payee Ref'!C:C,"unassigned",0,1)</f>
        <v>Basic</v>
      </c>
      <c r="F230" t="s">
        <v>2558</v>
      </c>
    </row>
    <row r="231" spans="1:6" x14ac:dyDescent="0.2">
      <c r="A231" s="63">
        <v>45850</v>
      </c>
      <c r="B231" t="s">
        <v>2501</v>
      </c>
      <c r="C231">
        <v>-27.67</v>
      </c>
      <c r="D231">
        <f>_xlfn.XLOOKUP(B231,'Payee Ref'!A:A,'Payee Ref'!B:B,"unassigned",0,1)</f>
        <v>0</v>
      </c>
      <c r="E231">
        <f>_xlfn.XLOOKUP(B231,'Payee Ref'!A:A,'Payee Ref'!C:C,"unassigned",0,1)</f>
        <v>0</v>
      </c>
      <c r="F231" t="s">
        <v>2558</v>
      </c>
    </row>
    <row r="232" spans="1:6" hidden="1" x14ac:dyDescent="0.2">
      <c r="A232" s="63">
        <v>45853</v>
      </c>
      <c r="B232" t="s">
        <v>925</v>
      </c>
      <c r="C232">
        <v>-25.55</v>
      </c>
      <c r="D232" t="str">
        <f>_xlfn.XLOOKUP(B232,'Payee Ref'!A:A,'Payee Ref'!B:B,"unassigned",0,1)</f>
        <v>Subscriptions / Digital</v>
      </c>
      <c r="E232" t="str">
        <f>_xlfn.XLOOKUP(B232,'Payee Ref'!A:A,'Payee Ref'!C:C,"unassigned",0,1)</f>
        <v>Luxury</v>
      </c>
      <c r="F232" t="s">
        <v>2558</v>
      </c>
    </row>
    <row r="233" spans="1:6" x14ac:dyDescent="0.2">
      <c r="A233" s="63">
        <v>45855</v>
      </c>
      <c r="B233" t="s">
        <v>2500</v>
      </c>
      <c r="C233">
        <v>-186.49</v>
      </c>
      <c r="D233">
        <f>_xlfn.XLOOKUP(B233,'Payee Ref'!A:A,'Payee Ref'!B:B,"unassigned",0,1)</f>
        <v>0</v>
      </c>
      <c r="E233">
        <f>_xlfn.XLOOKUP(B233,'Payee Ref'!A:A,'Payee Ref'!C:C,"unassigned",0,1)</f>
        <v>0</v>
      </c>
      <c r="F233" t="s">
        <v>2558</v>
      </c>
    </row>
    <row r="234" spans="1:6" x14ac:dyDescent="0.2">
      <c r="A234" s="63">
        <v>45856</v>
      </c>
      <c r="B234" t="s">
        <v>2499</v>
      </c>
      <c r="C234">
        <v>-76.59</v>
      </c>
      <c r="D234" t="str">
        <f>_xlfn.XLOOKUP(B234,'Payee Ref'!A:A,'Payee Ref'!B:B,"unassigned",0,1)</f>
        <v>Travel</v>
      </c>
      <c r="E234" t="str">
        <f>_xlfn.XLOOKUP(B234,'Payee Ref'!A:A,'Payee Ref'!C:C,"unassigned",0,1)</f>
        <v>Luxury</v>
      </c>
      <c r="F234" t="s">
        <v>2558</v>
      </c>
    </row>
    <row r="235" spans="1:6" hidden="1" x14ac:dyDescent="0.2">
      <c r="A235" s="63">
        <v>45856</v>
      </c>
      <c r="B235" t="s">
        <v>538</v>
      </c>
      <c r="C235">
        <v>-121.56</v>
      </c>
      <c r="D235" t="str">
        <f>_xlfn.XLOOKUP(B235,'Payee Ref'!A:A,'Payee Ref'!B:B,"unassigned",0,1)</f>
        <v>Groceries</v>
      </c>
      <c r="E235" t="str">
        <f>_xlfn.XLOOKUP(B235,'Payee Ref'!A:A,'Payee Ref'!C:C,"unassigned",0,1)</f>
        <v>Basic</v>
      </c>
      <c r="F235" t="s">
        <v>2558</v>
      </c>
    </row>
    <row r="236" spans="1:6" x14ac:dyDescent="0.2">
      <c r="A236" s="63">
        <v>45857</v>
      </c>
      <c r="B236" t="s">
        <v>2498</v>
      </c>
      <c r="C236">
        <v>-48.3</v>
      </c>
      <c r="D236">
        <f>_xlfn.XLOOKUP(B236,'Payee Ref'!A:A,'Payee Ref'!B:B,"unassigned",0,1)</f>
        <v>0</v>
      </c>
      <c r="E236">
        <f>_xlfn.XLOOKUP(B236,'Payee Ref'!A:A,'Payee Ref'!C:C,"unassigned",0,1)</f>
        <v>0</v>
      </c>
      <c r="F236" t="s">
        <v>2558</v>
      </c>
    </row>
    <row r="237" spans="1:6" hidden="1" x14ac:dyDescent="0.2">
      <c r="A237" s="63">
        <v>45857</v>
      </c>
      <c r="B237" t="s">
        <v>907</v>
      </c>
      <c r="C237">
        <v>-17.649999999999999</v>
      </c>
      <c r="D237" t="str">
        <f>_xlfn.XLOOKUP(B237,'Payee Ref'!A:A,'Payee Ref'!B:B,"unassigned",0,1)</f>
        <v>Subscriptions / Digital</v>
      </c>
      <c r="E237" t="str">
        <f>_xlfn.XLOOKUP(B237,'Payee Ref'!A:A,'Payee Ref'!C:C,"unassigned",0,1)</f>
        <v>Luxury</v>
      </c>
      <c r="F237" t="s">
        <v>2558</v>
      </c>
    </row>
    <row r="238" spans="1:6" x14ac:dyDescent="0.2">
      <c r="A238" s="63">
        <v>45859</v>
      </c>
      <c r="B238" t="s">
        <v>2497</v>
      </c>
      <c r="C238">
        <v>-49</v>
      </c>
      <c r="D238">
        <f>_xlfn.XLOOKUP(B238,'Payee Ref'!A:A,'Payee Ref'!B:B,"unassigned",0,1)</f>
        <v>0</v>
      </c>
      <c r="E238">
        <f>_xlfn.XLOOKUP(B238,'Payee Ref'!A:A,'Payee Ref'!C:C,"unassigned",0,1)</f>
        <v>0</v>
      </c>
      <c r="F238" t="s">
        <v>2558</v>
      </c>
    </row>
    <row r="239" spans="1:6" hidden="1" x14ac:dyDescent="0.2">
      <c r="A239" s="63">
        <v>45861</v>
      </c>
      <c r="B239" t="s">
        <v>75</v>
      </c>
      <c r="C239">
        <v>-39</v>
      </c>
      <c r="D239" t="str">
        <f>_xlfn.XLOOKUP(B239,'Payee Ref'!A:A,'Payee Ref'!B:B,"unassigned",0,1)</f>
        <v>Bank Fees</v>
      </c>
      <c r="E239" t="str">
        <f>_xlfn.XLOOKUP(B239,'Payee Ref'!A:A,'Payee Ref'!C:C,"unassigned",0,1)</f>
        <v>Luxury</v>
      </c>
      <c r="F239" t="s">
        <v>2558</v>
      </c>
    </row>
    <row r="240" spans="1:6" x14ac:dyDescent="0.2">
      <c r="A240" s="63">
        <v>45861</v>
      </c>
      <c r="B240" t="s">
        <v>2494</v>
      </c>
      <c r="C240">
        <v>-2763</v>
      </c>
      <c r="D240">
        <f>_xlfn.XLOOKUP(B240,'Payee Ref'!A:A,'Payee Ref'!B:B,"unassigned",0,1)</f>
        <v>0</v>
      </c>
      <c r="E240">
        <f>_xlfn.XLOOKUP(B240,'Payee Ref'!A:A,'Payee Ref'!C:C,"unassigned",0,1)</f>
        <v>0</v>
      </c>
      <c r="F240" t="s">
        <v>2558</v>
      </c>
    </row>
    <row r="241" spans="1:6" x14ac:dyDescent="0.2">
      <c r="A241" s="63">
        <v>45861</v>
      </c>
      <c r="B241" t="s">
        <v>2495</v>
      </c>
      <c r="C241">
        <v>-79.05</v>
      </c>
      <c r="D241">
        <f>_xlfn.XLOOKUP(B241,'Payee Ref'!A:A,'Payee Ref'!B:B,"unassigned",0,1)</f>
        <v>0</v>
      </c>
      <c r="E241">
        <f>_xlfn.XLOOKUP(B241,'Payee Ref'!A:A,'Payee Ref'!C:C,"unassigned",0,1)</f>
        <v>0</v>
      </c>
      <c r="F241" t="s">
        <v>2558</v>
      </c>
    </row>
    <row r="242" spans="1:6" x14ac:dyDescent="0.2">
      <c r="A242" s="63">
        <v>45861</v>
      </c>
      <c r="B242" t="s">
        <v>2496</v>
      </c>
      <c r="C242">
        <v>-68.88</v>
      </c>
      <c r="D242">
        <f>_xlfn.XLOOKUP(B242,'Payee Ref'!A:A,'Payee Ref'!B:B,"unassigned",0,1)</f>
        <v>0</v>
      </c>
      <c r="E242">
        <f>_xlfn.XLOOKUP(B242,'Payee Ref'!A:A,'Payee Ref'!C:C,"unassigned",0,1)</f>
        <v>0</v>
      </c>
      <c r="F242" t="s">
        <v>2558</v>
      </c>
    </row>
    <row r="243" spans="1:6" hidden="1" x14ac:dyDescent="0.2">
      <c r="A243" s="63">
        <v>45861</v>
      </c>
      <c r="B243" t="s">
        <v>159</v>
      </c>
      <c r="C243">
        <v>4937.8</v>
      </c>
      <c r="D243" t="str">
        <f>_xlfn.XLOOKUP(B243,'Payee Ref'!A:A,'Payee Ref'!B:B,"unassigned",0,1)</f>
        <v>Credit Card Payment</v>
      </c>
      <c r="E243" t="str">
        <f>_xlfn.XLOOKUP(B243,'Payee Ref'!A:A,'Payee Ref'!C:C,"unassigned",0,1)</f>
        <v>Basic</v>
      </c>
      <c r="F243" t="s">
        <v>2558</v>
      </c>
    </row>
    <row r="244" spans="1:6" x14ac:dyDescent="0.2">
      <c r="A244" s="63">
        <v>45862</v>
      </c>
      <c r="B244" t="s">
        <v>2487</v>
      </c>
      <c r="C244">
        <v>-33.24</v>
      </c>
      <c r="D244">
        <f>_xlfn.XLOOKUP(B244,'Payee Ref'!A:A,'Payee Ref'!B:B,"unassigned",0,1)</f>
        <v>0</v>
      </c>
      <c r="E244">
        <f>_xlfn.XLOOKUP(B244,'Payee Ref'!A:A,'Payee Ref'!C:C,"unassigned",0,1)</f>
        <v>0</v>
      </c>
      <c r="F244" t="s">
        <v>2558</v>
      </c>
    </row>
    <row r="245" spans="1:6" hidden="1" x14ac:dyDescent="0.2">
      <c r="A245" s="63">
        <v>45863</v>
      </c>
      <c r="B245" t="s">
        <v>70</v>
      </c>
      <c r="C245">
        <v>-98.21</v>
      </c>
      <c r="D245" t="str">
        <f>_xlfn.XLOOKUP(B245,'Payee Ref'!A:A,'Payee Ref'!B:B,"unassigned",0,1)</f>
        <v>Bank Fees</v>
      </c>
      <c r="E245" t="str">
        <f>_xlfn.XLOOKUP(B245,'Payee Ref'!A:A,'Payee Ref'!C:C,"unassigned",0,1)</f>
        <v>Luxury</v>
      </c>
      <c r="F245" t="s">
        <v>2558</v>
      </c>
    </row>
    <row r="246" spans="1:6" hidden="1" x14ac:dyDescent="0.2">
      <c r="A246" s="63">
        <v>45863</v>
      </c>
      <c r="B246" t="s">
        <v>538</v>
      </c>
      <c r="C246">
        <v>-127.67</v>
      </c>
      <c r="D246" t="str">
        <f>_xlfn.XLOOKUP(B246,'Payee Ref'!A:A,'Payee Ref'!B:B,"unassigned",0,1)</f>
        <v>Groceries</v>
      </c>
      <c r="E246" t="str">
        <f>_xlfn.XLOOKUP(B246,'Payee Ref'!A:A,'Payee Ref'!C:C,"unassigned",0,1)</f>
        <v>Basic</v>
      </c>
      <c r="F246" t="s">
        <v>2558</v>
      </c>
    </row>
    <row r="247" spans="1:6" hidden="1" x14ac:dyDescent="0.2">
      <c r="A247" s="63">
        <v>45864</v>
      </c>
      <c r="B247" t="s">
        <v>932</v>
      </c>
      <c r="C247">
        <v>-3.3</v>
      </c>
      <c r="D247" t="str">
        <f>_xlfn.XLOOKUP(B247,'Payee Ref'!A:A,'Payee Ref'!B:B,"unassigned",0,1)</f>
        <v>Subscriptions / Digital</v>
      </c>
      <c r="E247" t="str">
        <f>_xlfn.XLOOKUP(B247,'Payee Ref'!A:A,'Payee Ref'!C:C,"unassigned",0,1)</f>
        <v>Luxury</v>
      </c>
      <c r="F247" t="s">
        <v>2558</v>
      </c>
    </row>
    <row r="248" spans="1:6" x14ac:dyDescent="0.2">
      <c r="A248" s="63">
        <v>45864</v>
      </c>
      <c r="B248" t="s">
        <v>2557</v>
      </c>
      <c r="C248">
        <v>-3.57</v>
      </c>
      <c r="D248">
        <f>_xlfn.XLOOKUP(B248,'Payee Ref'!A:A,'Payee Ref'!B:B,"unassigned",0,1)</f>
        <v>0</v>
      </c>
      <c r="E248">
        <f>_xlfn.XLOOKUP(B248,'Payee Ref'!A:A,'Payee Ref'!C:C,"unassigned",0,1)</f>
        <v>0</v>
      </c>
      <c r="F248" t="s">
        <v>2558</v>
      </c>
    </row>
    <row r="249" spans="1:6" x14ac:dyDescent="0.2">
      <c r="A249" s="63">
        <v>45864</v>
      </c>
      <c r="B249" t="s">
        <v>2557</v>
      </c>
      <c r="C249">
        <v>-13.22</v>
      </c>
      <c r="D249">
        <f>_xlfn.XLOOKUP(B249,'Payee Ref'!A:A,'Payee Ref'!B:B,"unassigned",0,1)</f>
        <v>0</v>
      </c>
      <c r="E249">
        <f>_xlfn.XLOOKUP(B249,'Payee Ref'!A:A,'Payee Ref'!C:C,"unassigned",0,1)</f>
        <v>0</v>
      </c>
      <c r="F249" t="s">
        <v>2558</v>
      </c>
    </row>
    <row r="250" spans="1:6" x14ac:dyDescent="0.2">
      <c r="A250" s="63">
        <v>45864</v>
      </c>
      <c r="B250" t="s">
        <v>2557</v>
      </c>
      <c r="C250">
        <v>-15.36</v>
      </c>
      <c r="D250">
        <f>_xlfn.XLOOKUP(B250,'Payee Ref'!A:A,'Payee Ref'!B:B,"unassigned",0,1)</f>
        <v>0</v>
      </c>
      <c r="E250">
        <f>_xlfn.XLOOKUP(B250,'Payee Ref'!A:A,'Payee Ref'!C:C,"unassigned",0,1)</f>
        <v>0</v>
      </c>
      <c r="F250" t="s">
        <v>2558</v>
      </c>
    </row>
    <row r="251" spans="1:6" x14ac:dyDescent="0.2">
      <c r="A251" s="63">
        <v>45866</v>
      </c>
      <c r="B251" t="s">
        <v>2554</v>
      </c>
      <c r="C251">
        <v>-94.95</v>
      </c>
      <c r="D251">
        <f>_xlfn.XLOOKUP(B251,'Payee Ref'!A:A,'Payee Ref'!B:B,"unassigned",0,1)</f>
        <v>0</v>
      </c>
      <c r="E251">
        <f>_xlfn.XLOOKUP(B251,'Payee Ref'!A:A,'Payee Ref'!C:C,"unassigned",0,1)</f>
        <v>0</v>
      </c>
      <c r="F251" t="s">
        <v>2558</v>
      </c>
    </row>
    <row r="252" spans="1:6" x14ac:dyDescent="0.2">
      <c r="A252" s="63">
        <v>45866</v>
      </c>
      <c r="B252" t="s">
        <v>2555</v>
      </c>
      <c r="C252">
        <v>-39.72</v>
      </c>
      <c r="D252">
        <f>_xlfn.XLOOKUP(B252,'Payee Ref'!A:A,'Payee Ref'!B:B,"unassigned",0,1)</f>
        <v>0</v>
      </c>
      <c r="E252">
        <f>_xlfn.XLOOKUP(B252,'Payee Ref'!A:A,'Payee Ref'!C:C,"unassigned",0,1)</f>
        <v>0</v>
      </c>
      <c r="F252" t="s">
        <v>2558</v>
      </c>
    </row>
    <row r="253" spans="1:6" x14ac:dyDescent="0.2">
      <c r="A253" s="63">
        <v>45866</v>
      </c>
      <c r="B253" t="s">
        <v>2556</v>
      </c>
      <c r="C253">
        <v>-267.05</v>
      </c>
      <c r="D253">
        <f>_xlfn.XLOOKUP(B253,'Payee Ref'!A:A,'Payee Ref'!B:B,"unassigned",0,1)</f>
        <v>0</v>
      </c>
      <c r="E253">
        <f>_xlfn.XLOOKUP(B253,'Payee Ref'!A:A,'Payee Ref'!C:C,"unassigned",0,1)</f>
        <v>0</v>
      </c>
      <c r="F253" t="s">
        <v>2558</v>
      </c>
    </row>
    <row r="254" spans="1:6" hidden="1" x14ac:dyDescent="0.2">
      <c r="A254" s="63">
        <v>45867</v>
      </c>
      <c r="B254" t="s">
        <v>824</v>
      </c>
      <c r="C254">
        <v>-8</v>
      </c>
      <c r="D254" t="str">
        <f>_xlfn.XLOOKUP(B254,'Payee Ref'!A:A,'Payee Ref'!B:B,"unassigned",0,1)</f>
        <v>Parking</v>
      </c>
      <c r="E254" t="str">
        <f>_xlfn.XLOOKUP(B254,'Payee Ref'!A:A,'Payee Ref'!C:C,"unassigned",0,1)</f>
        <v>Basic</v>
      </c>
      <c r="F254" t="s">
        <v>2558</v>
      </c>
    </row>
    <row r="255" spans="1:6" x14ac:dyDescent="0.2">
      <c r="A255" s="63">
        <v>45867</v>
      </c>
      <c r="B255" t="s">
        <v>2451</v>
      </c>
      <c r="C255">
        <v>-102.5</v>
      </c>
      <c r="D255">
        <f>_xlfn.XLOOKUP(B255,'Payee Ref'!A:A,'Payee Ref'!B:B,"unassigned",0,1)</f>
        <v>0</v>
      </c>
      <c r="E255">
        <f>_xlfn.XLOOKUP(B255,'Payee Ref'!A:A,'Payee Ref'!C:C,"unassigned",0,1)</f>
        <v>0</v>
      </c>
      <c r="F255" t="s">
        <v>2558</v>
      </c>
    </row>
    <row r="256" spans="1:6" x14ac:dyDescent="0.2">
      <c r="A256" s="63">
        <v>45867</v>
      </c>
      <c r="B256" t="s">
        <v>2553</v>
      </c>
      <c r="C256">
        <v>-25.18</v>
      </c>
      <c r="D256">
        <f>_xlfn.XLOOKUP(B256,'Payee Ref'!A:A,'Payee Ref'!B:B,"unassigned",0,1)</f>
        <v>0</v>
      </c>
      <c r="E256">
        <f>_xlfn.XLOOKUP(B256,'Payee Ref'!A:A,'Payee Ref'!C:C,"unassigned",0,1)</f>
        <v>0</v>
      </c>
      <c r="F256" t="s">
        <v>2558</v>
      </c>
    </row>
    <row r="257" spans="1:6" hidden="1" x14ac:dyDescent="0.2">
      <c r="A257" s="63">
        <v>45868</v>
      </c>
      <c r="B257" t="s">
        <v>573</v>
      </c>
      <c r="C257">
        <v>-54.38</v>
      </c>
      <c r="D257" t="str">
        <f>_xlfn.XLOOKUP(B257,'Payee Ref'!A:A,'Payee Ref'!B:B,"unassigned",0,1)</f>
        <v>Groceries</v>
      </c>
      <c r="E257" t="str">
        <f>_xlfn.XLOOKUP(B257,'Payee Ref'!A:A,'Payee Ref'!C:C,"unassigned",0,1)</f>
        <v>Basic</v>
      </c>
      <c r="F257" t="s">
        <v>2558</v>
      </c>
    </row>
    <row r="258" spans="1:6" x14ac:dyDescent="0.2">
      <c r="A258" s="63">
        <v>45868</v>
      </c>
      <c r="B258" t="s">
        <v>2499</v>
      </c>
      <c r="C258">
        <v>-64.62</v>
      </c>
      <c r="D258" t="str">
        <f>_xlfn.XLOOKUP(B258,'Payee Ref'!A:A,'Payee Ref'!B:B,"unassigned",0,1)</f>
        <v>Travel</v>
      </c>
      <c r="E258" t="str">
        <f>_xlfn.XLOOKUP(B258,'Payee Ref'!A:A,'Payee Ref'!C:C,"unassigned",0,1)</f>
        <v>Luxury</v>
      </c>
      <c r="F258" t="s">
        <v>2558</v>
      </c>
    </row>
    <row r="259" spans="1:6" hidden="1" x14ac:dyDescent="0.2">
      <c r="A259" s="63">
        <v>45869</v>
      </c>
      <c r="B259" t="s">
        <v>369</v>
      </c>
      <c r="C259">
        <v>-21.29</v>
      </c>
      <c r="D259" t="str">
        <f>_xlfn.XLOOKUP(B259,'Payee Ref'!A:A,'Payee Ref'!B:B,"unassigned",0,1)</f>
        <v>Dining</v>
      </c>
      <c r="E259" t="str">
        <f>_xlfn.XLOOKUP(B259,'Payee Ref'!A:A,'Payee Ref'!C:C,"unassigned",0,1)</f>
        <v>Luxury</v>
      </c>
      <c r="F259" t="s">
        <v>2558</v>
      </c>
    </row>
    <row r="260" spans="1:6" hidden="1" x14ac:dyDescent="0.2">
      <c r="A260" s="63">
        <v>45870</v>
      </c>
      <c r="B260" t="s">
        <v>538</v>
      </c>
      <c r="C260">
        <v>-127.67</v>
      </c>
      <c r="D260" t="str">
        <f>_xlfn.XLOOKUP(B260,'Payee Ref'!A:A,'Payee Ref'!B:B,"unassigned",0,1)</f>
        <v>Groceries</v>
      </c>
      <c r="E260" t="str">
        <f>_xlfn.XLOOKUP(B260,'Payee Ref'!A:A,'Payee Ref'!C:C,"unassigned",0,1)</f>
        <v>Basic</v>
      </c>
      <c r="F260" t="s">
        <v>2558</v>
      </c>
    </row>
    <row r="261" spans="1:6" hidden="1" x14ac:dyDescent="0.2">
      <c r="A261" s="63">
        <v>45870</v>
      </c>
      <c r="B261" t="s">
        <v>721</v>
      </c>
      <c r="C261">
        <v>-99</v>
      </c>
      <c r="D261" t="str">
        <f>_xlfn.XLOOKUP(B261,'Payee Ref'!A:A,'Payee Ref'!B:B,"unassigned",0,1)</f>
        <v>Home &amp; Garden</v>
      </c>
      <c r="E261" t="str">
        <f>_xlfn.XLOOKUP(B261,'Payee Ref'!A:A,'Payee Ref'!C:C,"unassigned",0,1)</f>
        <v>Basic</v>
      </c>
      <c r="F261" t="s">
        <v>2558</v>
      </c>
    </row>
    <row r="262" spans="1:6" hidden="1" x14ac:dyDescent="0.2">
      <c r="A262" s="63">
        <v>45871</v>
      </c>
      <c r="B262" t="s">
        <v>824</v>
      </c>
      <c r="C262">
        <v>-8</v>
      </c>
      <c r="D262" t="str">
        <f>_xlfn.XLOOKUP(B262,'Payee Ref'!A:A,'Payee Ref'!B:B,"unassigned",0,1)</f>
        <v>Parking</v>
      </c>
      <c r="E262" t="str">
        <f>_xlfn.XLOOKUP(B262,'Payee Ref'!A:A,'Payee Ref'!C:C,"unassigned",0,1)</f>
        <v>Basic</v>
      </c>
      <c r="F262" t="s">
        <v>2558</v>
      </c>
    </row>
    <row r="263" spans="1:6" x14ac:dyDescent="0.2">
      <c r="A263" s="63">
        <v>45871</v>
      </c>
      <c r="B263" t="s">
        <v>2551</v>
      </c>
      <c r="C263">
        <v>-27.86</v>
      </c>
      <c r="D263">
        <f>_xlfn.XLOOKUP(B263,'Payee Ref'!A:A,'Payee Ref'!B:B,"unassigned",0,1)</f>
        <v>0</v>
      </c>
      <c r="E263">
        <f>_xlfn.XLOOKUP(B263,'Payee Ref'!A:A,'Payee Ref'!C:C,"unassigned",0,1)</f>
        <v>0</v>
      </c>
      <c r="F263" t="s">
        <v>2558</v>
      </c>
    </row>
    <row r="264" spans="1:6" x14ac:dyDescent="0.2">
      <c r="A264" s="63">
        <v>45871</v>
      </c>
      <c r="B264" t="s">
        <v>2552</v>
      </c>
      <c r="C264">
        <v>-11.92</v>
      </c>
      <c r="D264">
        <f>_xlfn.XLOOKUP(B264,'Payee Ref'!A:A,'Payee Ref'!B:B,"unassigned",0,1)</f>
        <v>0</v>
      </c>
      <c r="E264">
        <f>_xlfn.XLOOKUP(B264,'Payee Ref'!A:A,'Payee Ref'!C:C,"unassigned",0,1)</f>
        <v>0</v>
      </c>
      <c r="F264" t="s">
        <v>2558</v>
      </c>
    </row>
    <row r="265" spans="1:6" x14ac:dyDescent="0.2">
      <c r="A265" s="63">
        <v>45873</v>
      </c>
      <c r="B265" t="s">
        <v>2530</v>
      </c>
      <c r="C265">
        <v>-75</v>
      </c>
      <c r="D265">
        <f>_xlfn.XLOOKUP(B265,'Payee Ref'!A:A,'Payee Ref'!B:B,"unassigned",0,1)</f>
        <v>0</v>
      </c>
      <c r="E265">
        <f>_xlfn.XLOOKUP(B265,'Payee Ref'!A:A,'Payee Ref'!C:C,"unassigned",0,1)</f>
        <v>0</v>
      </c>
      <c r="F265" t="s">
        <v>2558</v>
      </c>
    </row>
    <row r="266" spans="1:6" x14ac:dyDescent="0.2">
      <c r="A266" s="63">
        <v>45876</v>
      </c>
      <c r="B266" t="s">
        <v>2549</v>
      </c>
      <c r="C266">
        <v>-320.39999999999998</v>
      </c>
      <c r="D266">
        <f>_xlfn.XLOOKUP(B266,'Payee Ref'!A:A,'Payee Ref'!B:B,"unassigned",0,1)</f>
        <v>0</v>
      </c>
      <c r="E266">
        <f>_xlfn.XLOOKUP(B266,'Payee Ref'!A:A,'Payee Ref'!C:C,"unassigned",0,1)</f>
        <v>0</v>
      </c>
      <c r="F266" t="s">
        <v>2558</v>
      </c>
    </row>
    <row r="267" spans="1:6" x14ac:dyDescent="0.2">
      <c r="A267" s="63">
        <v>45876</v>
      </c>
      <c r="B267" t="s">
        <v>2550</v>
      </c>
      <c r="C267">
        <v>-438.51</v>
      </c>
      <c r="D267">
        <f>_xlfn.XLOOKUP(B267,'Payee Ref'!A:A,'Payee Ref'!B:B,"unassigned",0,1)</f>
        <v>0</v>
      </c>
      <c r="E267">
        <f>_xlfn.XLOOKUP(B267,'Payee Ref'!A:A,'Payee Ref'!C:C,"unassigned",0,1)</f>
        <v>0</v>
      </c>
      <c r="F267" t="s">
        <v>2558</v>
      </c>
    </row>
    <row r="268" spans="1:6" x14ac:dyDescent="0.2">
      <c r="A268" s="63">
        <v>45877</v>
      </c>
      <c r="B268" t="s">
        <v>2452</v>
      </c>
      <c r="C268">
        <v>-12.5</v>
      </c>
      <c r="D268">
        <f>_xlfn.XLOOKUP(B268,'Payee Ref'!A:A,'Payee Ref'!B:B,"unassigned",0,1)</f>
        <v>0</v>
      </c>
      <c r="E268">
        <f>_xlfn.XLOOKUP(B268,'Payee Ref'!A:A,'Payee Ref'!C:C,"unassigned",0,1)</f>
        <v>0</v>
      </c>
      <c r="F268" t="s">
        <v>2558</v>
      </c>
    </row>
    <row r="269" spans="1:6" hidden="1" x14ac:dyDescent="0.2">
      <c r="A269" s="63">
        <v>45880</v>
      </c>
      <c r="B269" t="s">
        <v>925</v>
      </c>
      <c r="C269">
        <v>-25.55</v>
      </c>
      <c r="D269" t="str">
        <f>_xlfn.XLOOKUP(B269,'Payee Ref'!A:A,'Payee Ref'!B:B,"unassigned",0,1)</f>
        <v>Subscriptions / Digital</v>
      </c>
      <c r="E269" t="str">
        <f>_xlfn.XLOOKUP(B269,'Payee Ref'!A:A,'Payee Ref'!C:C,"unassigned",0,1)</f>
        <v>Luxury</v>
      </c>
      <c r="F269" t="s">
        <v>2558</v>
      </c>
    </row>
    <row r="270" spans="1:6" x14ac:dyDescent="0.2">
      <c r="A270" s="63">
        <v>45880</v>
      </c>
      <c r="B270" t="s">
        <v>2548</v>
      </c>
      <c r="C270">
        <v>-973.81</v>
      </c>
      <c r="D270">
        <f>_xlfn.XLOOKUP(B270,'Payee Ref'!A:A,'Payee Ref'!B:B,"unassigned",0,1)</f>
        <v>0</v>
      </c>
      <c r="E270">
        <f>_xlfn.XLOOKUP(B270,'Payee Ref'!A:A,'Payee Ref'!C:C,"unassigned",0,1)</f>
        <v>0</v>
      </c>
      <c r="F270" t="s">
        <v>2558</v>
      </c>
    </row>
    <row r="271" spans="1:6" x14ac:dyDescent="0.2">
      <c r="A271" s="63">
        <v>45881</v>
      </c>
      <c r="B271" t="s">
        <v>2462</v>
      </c>
      <c r="C271">
        <v>-47.63</v>
      </c>
      <c r="D271" t="str">
        <f>_xlfn.XLOOKUP(B271,'Payee Ref'!A:A,'Payee Ref'!B:B,"unassigned",0,1)</f>
        <v>Dining</v>
      </c>
      <c r="E271" t="str">
        <f>_xlfn.XLOOKUP(B271,'Payee Ref'!A:A,'Payee Ref'!C:C,"unassigned",0,1)</f>
        <v>Luxury</v>
      </c>
      <c r="F271" t="s">
        <v>2558</v>
      </c>
    </row>
    <row r="272" spans="1:6" x14ac:dyDescent="0.2">
      <c r="A272" s="63">
        <v>45884</v>
      </c>
      <c r="B272" t="s">
        <v>2452</v>
      </c>
      <c r="C272">
        <v>-9.5</v>
      </c>
      <c r="D272">
        <f>_xlfn.XLOOKUP(B272,'Payee Ref'!A:A,'Payee Ref'!B:B,"unassigned",0,1)</f>
        <v>0</v>
      </c>
      <c r="E272">
        <f>_xlfn.XLOOKUP(B272,'Payee Ref'!A:A,'Payee Ref'!C:C,"unassigned",0,1)</f>
        <v>0</v>
      </c>
      <c r="F272" t="s">
        <v>2558</v>
      </c>
    </row>
    <row r="273" spans="1:6" hidden="1" x14ac:dyDescent="0.2">
      <c r="A273" s="63">
        <v>45884</v>
      </c>
      <c r="B273" t="s">
        <v>538</v>
      </c>
      <c r="C273">
        <v>-127.67</v>
      </c>
      <c r="D273" t="str">
        <f>_xlfn.XLOOKUP(B273,'Payee Ref'!A:A,'Payee Ref'!B:B,"unassigned",0,1)</f>
        <v>Groceries</v>
      </c>
      <c r="E273" t="str">
        <f>_xlfn.XLOOKUP(B273,'Payee Ref'!A:A,'Payee Ref'!C:C,"unassigned",0,1)</f>
        <v>Basic</v>
      </c>
      <c r="F273" t="s">
        <v>2558</v>
      </c>
    </row>
    <row r="274" spans="1:6" x14ac:dyDescent="0.2">
      <c r="A274" s="63">
        <v>45885</v>
      </c>
      <c r="B274" t="s">
        <v>2547</v>
      </c>
      <c r="C274">
        <v>-108.62</v>
      </c>
      <c r="D274">
        <f>_xlfn.XLOOKUP(B274,'Payee Ref'!A:A,'Payee Ref'!B:B,"unassigned",0,1)</f>
        <v>0</v>
      </c>
      <c r="E274">
        <f>_xlfn.XLOOKUP(B274,'Payee Ref'!A:A,'Payee Ref'!C:C,"unassigned",0,1)</f>
        <v>0</v>
      </c>
      <c r="F274" t="s">
        <v>2558</v>
      </c>
    </row>
    <row r="275" spans="1:6" x14ac:dyDescent="0.2">
      <c r="A275" s="63">
        <v>45888</v>
      </c>
      <c r="B275" t="s">
        <v>2487</v>
      </c>
      <c r="C275">
        <v>-15.79</v>
      </c>
      <c r="D275">
        <f>_xlfn.XLOOKUP(B275,'Payee Ref'!A:A,'Payee Ref'!B:B,"unassigned",0,1)</f>
        <v>0</v>
      </c>
      <c r="E275">
        <f>_xlfn.XLOOKUP(B275,'Payee Ref'!A:A,'Payee Ref'!C:C,"unassigned",0,1)</f>
        <v>0</v>
      </c>
      <c r="F275" t="s">
        <v>2558</v>
      </c>
    </row>
    <row r="276" spans="1:6" x14ac:dyDescent="0.2">
      <c r="A276" s="63">
        <v>45889</v>
      </c>
      <c r="B276" t="s">
        <v>2546</v>
      </c>
      <c r="C276">
        <v>-38.5</v>
      </c>
      <c r="D276">
        <f>_xlfn.XLOOKUP(B276,'Payee Ref'!A:A,'Payee Ref'!B:B,"unassigned",0,1)</f>
        <v>0</v>
      </c>
      <c r="E276">
        <f>_xlfn.XLOOKUP(B276,'Payee Ref'!A:A,'Payee Ref'!C:C,"unassigned",0,1)</f>
        <v>0</v>
      </c>
      <c r="F276" t="s">
        <v>2558</v>
      </c>
    </row>
    <row r="277" spans="1:6" hidden="1" x14ac:dyDescent="0.2">
      <c r="A277" s="63">
        <v>45890</v>
      </c>
      <c r="B277" t="s">
        <v>452</v>
      </c>
      <c r="C277">
        <v>-39.08</v>
      </c>
      <c r="D277" t="str">
        <f>_xlfn.XLOOKUP(B277,'Payee Ref'!A:A,'Payee Ref'!B:B,"unassigned",0,1)</f>
        <v>Dining</v>
      </c>
      <c r="E277" t="str">
        <f>_xlfn.XLOOKUP(B277,'Payee Ref'!A:A,'Payee Ref'!C:C,"unassigned",0,1)</f>
        <v>Luxury</v>
      </c>
      <c r="F277" t="s">
        <v>2558</v>
      </c>
    </row>
    <row r="278" spans="1:6" hidden="1" x14ac:dyDescent="0.2">
      <c r="A278" s="63">
        <v>45891</v>
      </c>
      <c r="B278" t="s">
        <v>538</v>
      </c>
      <c r="C278">
        <v>-129.56</v>
      </c>
      <c r="D278" t="str">
        <f>_xlfn.XLOOKUP(B278,'Payee Ref'!A:A,'Payee Ref'!B:B,"unassigned",0,1)</f>
        <v>Groceries</v>
      </c>
      <c r="E278" t="str">
        <f>_xlfn.XLOOKUP(B278,'Payee Ref'!A:A,'Payee Ref'!C:C,"unassigned",0,1)</f>
        <v>Basic</v>
      </c>
      <c r="F278" t="s">
        <v>2558</v>
      </c>
    </row>
    <row r="279" spans="1:6" x14ac:dyDescent="0.2">
      <c r="A279" s="63">
        <v>45891</v>
      </c>
      <c r="B279" t="s">
        <v>2545</v>
      </c>
      <c r="C279">
        <v>-24.11</v>
      </c>
      <c r="D279">
        <f>_xlfn.XLOOKUP(B279,'Payee Ref'!A:A,'Payee Ref'!B:B,"unassigned",0,1)</f>
        <v>0</v>
      </c>
      <c r="E279">
        <f>_xlfn.XLOOKUP(B279,'Payee Ref'!A:A,'Payee Ref'!C:C,"unassigned",0,1)</f>
        <v>0</v>
      </c>
      <c r="F279" t="s">
        <v>2558</v>
      </c>
    </row>
    <row r="280" spans="1:6" hidden="1" x14ac:dyDescent="0.2">
      <c r="A280" s="63">
        <v>45892</v>
      </c>
      <c r="B280" t="s">
        <v>75</v>
      </c>
      <c r="C280">
        <v>-39</v>
      </c>
      <c r="D280" t="str">
        <f>_xlfn.XLOOKUP(B280,'Payee Ref'!A:A,'Payee Ref'!B:B,"unassigned",0,1)</f>
        <v>Bank Fees</v>
      </c>
      <c r="E280" t="str">
        <f>_xlfn.XLOOKUP(B280,'Payee Ref'!A:A,'Payee Ref'!C:C,"unassigned",0,1)</f>
        <v>Luxury</v>
      </c>
      <c r="F280" t="s">
        <v>2558</v>
      </c>
    </row>
    <row r="281" spans="1:6" x14ac:dyDescent="0.2">
      <c r="A281" s="63">
        <v>45892</v>
      </c>
      <c r="B281" t="s">
        <v>2544</v>
      </c>
      <c r="C281">
        <v>-40.119999999999997</v>
      </c>
      <c r="D281">
        <f>_xlfn.XLOOKUP(B281,'Payee Ref'!A:A,'Payee Ref'!B:B,"unassigned",0,1)</f>
        <v>0</v>
      </c>
      <c r="E281">
        <f>_xlfn.XLOOKUP(B281,'Payee Ref'!A:A,'Payee Ref'!C:C,"unassigned",0,1)</f>
        <v>0</v>
      </c>
      <c r="F281" t="s">
        <v>2558</v>
      </c>
    </row>
    <row r="282" spans="1:6" x14ac:dyDescent="0.2">
      <c r="A282" s="63">
        <v>45892</v>
      </c>
      <c r="B282" t="s">
        <v>2539</v>
      </c>
      <c r="C282">
        <v>-6.55</v>
      </c>
      <c r="D282">
        <f>_xlfn.XLOOKUP(B282,'Payee Ref'!A:A,'Payee Ref'!B:B,"unassigned",0,1)</f>
        <v>0</v>
      </c>
      <c r="E282">
        <f>_xlfn.XLOOKUP(B282,'Payee Ref'!A:A,'Payee Ref'!C:C,"unassigned",0,1)</f>
        <v>0</v>
      </c>
      <c r="F282" t="s">
        <v>2558</v>
      </c>
    </row>
    <row r="283" spans="1:6" hidden="1" x14ac:dyDescent="0.2">
      <c r="A283" s="63">
        <v>45894</v>
      </c>
      <c r="B283" t="s">
        <v>70</v>
      </c>
      <c r="C283">
        <v>-125.66</v>
      </c>
      <c r="D283" t="str">
        <f>_xlfn.XLOOKUP(B283,'Payee Ref'!A:A,'Payee Ref'!B:B,"unassigned",0,1)</f>
        <v>Bank Fees</v>
      </c>
      <c r="E283" t="str">
        <f>_xlfn.XLOOKUP(B283,'Payee Ref'!A:A,'Payee Ref'!C:C,"unassigned",0,1)</f>
        <v>Luxury</v>
      </c>
      <c r="F283" t="s">
        <v>2558</v>
      </c>
    </row>
    <row r="284" spans="1:6" x14ac:dyDescent="0.2">
      <c r="A284" s="63">
        <v>45896</v>
      </c>
      <c r="B284" t="s">
        <v>2452</v>
      </c>
      <c r="C284">
        <v>-28.5</v>
      </c>
      <c r="D284">
        <f>_xlfn.XLOOKUP(B284,'Payee Ref'!A:A,'Payee Ref'!B:B,"unassigned",0,1)</f>
        <v>0</v>
      </c>
      <c r="E284">
        <f>_xlfn.XLOOKUP(B284,'Payee Ref'!A:A,'Payee Ref'!C:C,"unassigned",0,1)</f>
        <v>0</v>
      </c>
      <c r="F284" t="s">
        <v>2558</v>
      </c>
    </row>
    <row r="285" spans="1:6" hidden="1" x14ac:dyDescent="0.2">
      <c r="A285" s="63">
        <v>45896</v>
      </c>
      <c r="B285" t="s">
        <v>932</v>
      </c>
      <c r="C285">
        <v>-3.3</v>
      </c>
      <c r="D285" t="str">
        <f>_xlfn.XLOOKUP(B285,'Payee Ref'!A:A,'Payee Ref'!B:B,"unassigned",0,1)</f>
        <v>Subscriptions / Digital</v>
      </c>
      <c r="E285" t="str">
        <f>_xlfn.XLOOKUP(B285,'Payee Ref'!A:A,'Payee Ref'!C:C,"unassigned",0,1)</f>
        <v>Luxury</v>
      </c>
      <c r="F285" t="s">
        <v>2558</v>
      </c>
    </row>
    <row r="286" spans="1:6" x14ac:dyDescent="0.2">
      <c r="A286" s="63">
        <v>45896</v>
      </c>
      <c r="B286" t="s">
        <v>2477</v>
      </c>
      <c r="C286">
        <v>-124.12</v>
      </c>
      <c r="D286">
        <f>_xlfn.XLOOKUP(B286,'Payee Ref'!A:A,'Payee Ref'!B:B,"unassigned",0,1)</f>
        <v>0</v>
      </c>
      <c r="E286">
        <f>_xlfn.XLOOKUP(B286,'Payee Ref'!A:A,'Payee Ref'!C:C,"unassigned",0,1)</f>
        <v>0</v>
      </c>
      <c r="F286" t="s">
        <v>2558</v>
      </c>
    </row>
    <row r="287" spans="1:6" hidden="1" x14ac:dyDescent="0.2">
      <c r="A287" s="63">
        <v>45896</v>
      </c>
      <c r="B287" t="s">
        <v>159</v>
      </c>
      <c r="C287">
        <v>5745.4</v>
      </c>
      <c r="D287" t="str">
        <f>_xlfn.XLOOKUP(B287,'Payee Ref'!A:A,'Payee Ref'!B:B,"unassigned",0,1)</f>
        <v>Credit Card Payment</v>
      </c>
      <c r="E287" t="str">
        <f>_xlfn.XLOOKUP(B287,'Payee Ref'!A:A,'Payee Ref'!C:C,"unassigned",0,1)</f>
        <v>Basic</v>
      </c>
      <c r="F287" t="s">
        <v>2558</v>
      </c>
    </row>
    <row r="288" spans="1:6" hidden="1" x14ac:dyDescent="0.2">
      <c r="A288" s="63">
        <v>45898</v>
      </c>
      <c r="B288" t="s">
        <v>538</v>
      </c>
      <c r="C288">
        <v>-129.56</v>
      </c>
      <c r="D288" t="str">
        <f>_xlfn.XLOOKUP(B288,'Payee Ref'!A:A,'Payee Ref'!B:B,"unassigned",0,1)</f>
        <v>Groceries</v>
      </c>
      <c r="E288" t="str">
        <f>_xlfn.XLOOKUP(B288,'Payee Ref'!A:A,'Payee Ref'!C:C,"unassigned",0,1)</f>
        <v>Basic</v>
      </c>
      <c r="F288" t="s">
        <v>2558</v>
      </c>
    </row>
    <row r="289" spans="1:6" hidden="1" x14ac:dyDescent="0.2">
      <c r="A289" s="63">
        <v>45901</v>
      </c>
      <c r="B289" t="s">
        <v>721</v>
      </c>
      <c r="C289">
        <v>-99</v>
      </c>
      <c r="D289" t="str">
        <f>_xlfn.XLOOKUP(B289,'Payee Ref'!A:A,'Payee Ref'!B:B,"unassigned",0,1)</f>
        <v>Home &amp; Garden</v>
      </c>
      <c r="E289" t="str">
        <f>_xlfn.XLOOKUP(B289,'Payee Ref'!A:A,'Payee Ref'!C:C,"unassigned",0,1)</f>
        <v>Basic</v>
      </c>
      <c r="F289" t="s">
        <v>2558</v>
      </c>
    </row>
    <row r="290" spans="1:6" x14ac:dyDescent="0.2">
      <c r="A290" s="63">
        <v>45901</v>
      </c>
      <c r="B290" t="s">
        <v>2475</v>
      </c>
      <c r="C290">
        <v>-183.07</v>
      </c>
      <c r="D290">
        <f>_xlfn.XLOOKUP(B290,'Payee Ref'!A:A,'Payee Ref'!B:B,"unassigned",0,1)</f>
        <v>0</v>
      </c>
      <c r="E290">
        <f>_xlfn.XLOOKUP(B290,'Payee Ref'!A:A,'Payee Ref'!C:C,"unassigned",0,1)</f>
        <v>0</v>
      </c>
      <c r="F290" t="s">
        <v>2558</v>
      </c>
    </row>
    <row r="291" spans="1:6" hidden="1" x14ac:dyDescent="0.2">
      <c r="A291" s="63">
        <v>45901</v>
      </c>
      <c r="B291" t="s">
        <v>549</v>
      </c>
      <c r="C291">
        <v>-33.33</v>
      </c>
      <c r="D291" t="str">
        <f>_xlfn.XLOOKUP(B291,'Payee Ref'!A:A,'Payee Ref'!B:B,"unassigned",0,1)</f>
        <v>Groceries</v>
      </c>
      <c r="E291" t="str">
        <f>_xlfn.XLOOKUP(B291,'Payee Ref'!A:A,'Payee Ref'!C:C,"unassigned",0,1)</f>
        <v>Basic</v>
      </c>
      <c r="F291" t="s">
        <v>2558</v>
      </c>
    </row>
    <row r="292" spans="1:6" x14ac:dyDescent="0.2">
      <c r="A292" s="63">
        <v>45901</v>
      </c>
      <c r="B292" t="s">
        <v>2476</v>
      </c>
      <c r="C292">
        <v>-15.82</v>
      </c>
      <c r="D292">
        <f>_xlfn.XLOOKUP(B292,'Payee Ref'!A:A,'Payee Ref'!B:B,"unassigned",0,1)</f>
        <v>0</v>
      </c>
      <c r="E292">
        <f>_xlfn.XLOOKUP(B292,'Payee Ref'!A:A,'Payee Ref'!C:C,"unassigned",0,1)</f>
        <v>0</v>
      </c>
      <c r="F292" t="s">
        <v>2558</v>
      </c>
    </row>
    <row r="293" spans="1:6" x14ac:dyDescent="0.2">
      <c r="A293" s="63">
        <v>45902</v>
      </c>
      <c r="B293" t="s">
        <v>2474</v>
      </c>
      <c r="C293">
        <v>-15</v>
      </c>
      <c r="D293">
        <f>_xlfn.XLOOKUP(B293,'Payee Ref'!A:A,'Payee Ref'!B:B,"unassigned",0,1)</f>
        <v>0</v>
      </c>
      <c r="E293">
        <f>_xlfn.XLOOKUP(B293,'Payee Ref'!A:A,'Payee Ref'!C:C,"unassigned",0,1)</f>
        <v>0</v>
      </c>
      <c r="F293" t="s">
        <v>2558</v>
      </c>
    </row>
    <row r="294" spans="1:6" x14ac:dyDescent="0.2">
      <c r="A294" s="63">
        <v>45904</v>
      </c>
      <c r="B294" t="s">
        <v>2473</v>
      </c>
      <c r="C294">
        <v>-139.04</v>
      </c>
      <c r="D294">
        <f>_xlfn.XLOOKUP(B294,'Payee Ref'!A:A,'Payee Ref'!B:B,"unassigned",0,1)</f>
        <v>0</v>
      </c>
      <c r="E294">
        <f>_xlfn.XLOOKUP(B294,'Payee Ref'!A:A,'Payee Ref'!C:C,"unassigned",0,1)</f>
        <v>0</v>
      </c>
      <c r="F294" t="s">
        <v>2558</v>
      </c>
    </row>
    <row r="295" spans="1:6" hidden="1" x14ac:dyDescent="0.2">
      <c r="A295" s="63">
        <v>45905</v>
      </c>
      <c r="B295" t="s">
        <v>538</v>
      </c>
      <c r="C295">
        <v>-129.56</v>
      </c>
      <c r="D295" t="str">
        <f>_xlfn.XLOOKUP(B295,'Payee Ref'!A:A,'Payee Ref'!B:B,"unassigned",0,1)</f>
        <v>Groceries</v>
      </c>
      <c r="E295" t="str">
        <f>_xlfn.XLOOKUP(B295,'Payee Ref'!A:A,'Payee Ref'!C:C,"unassigned",0,1)</f>
        <v>Basic</v>
      </c>
      <c r="F295" t="s">
        <v>2558</v>
      </c>
    </row>
    <row r="296" spans="1:6" hidden="1" x14ac:dyDescent="0.2">
      <c r="A296" s="63">
        <v>45908</v>
      </c>
      <c r="B296" t="s">
        <v>925</v>
      </c>
      <c r="C296">
        <v>-25.55</v>
      </c>
      <c r="D296" t="str">
        <f>_xlfn.XLOOKUP(B296,'Payee Ref'!A:A,'Payee Ref'!B:B,"unassigned",0,1)</f>
        <v>Subscriptions / Digital</v>
      </c>
      <c r="E296" t="str">
        <f>_xlfn.XLOOKUP(B296,'Payee Ref'!A:A,'Payee Ref'!C:C,"unassigned",0,1)</f>
        <v>Luxury</v>
      </c>
      <c r="F296" t="s">
        <v>2558</v>
      </c>
    </row>
    <row r="297" spans="1:6" x14ac:dyDescent="0.2">
      <c r="A297" s="63">
        <v>45908</v>
      </c>
      <c r="B297" t="s">
        <v>2472</v>
      </c>
      <c r="C297">
        <v>-83.57</v>
      </c>
      <c r="D297">
        <f>_xlfn.XLOOKUP(B297,'Payee Ref'!A:A,'Payee Ref'!B:B,"unassigned",0,1)</f>
        <v>0</v>
      </c>
      <c r="E297">
        <f>_xlfn.XLOOKUP(B297,'Payee Ref'!A:A,'Payee Ref'!C:C,"unassigned",0,1)</f>
        <v>0</v>
      </c>
      <c r="F297" t="s">
        <v>2558</v>
      </c>
    </row>
    <row r="298" spans="1:6" x14ac:dyDescent="0.2">
      <c r="A298" s="63">
        <v>45911</v>
      </c>
      <c r="B298" t="s">
        <v>2470</v>
      </c>
      <c r="C298">
        <v>-109.23</v>
      </c>
      <c r="D298">
        <f>_xlfn.XLOOKUP(B298,'Payee Ref'!A:A,'Payee Ref'!B:B,"unassigned",0,1)</f>
        <v>0</v>
      </c>
      <c r="E298">
        <f>_xlfn.XLOOKUP(B298,'Payee Ref'!A:A,'Payee Ref'!C:C,"unassigned",0,1)</f>
        <v>0</v>
      </c>
      <c r="F298" t="s">
        <v>2558</v>
      </c>
    </row>
    <row r="299" spans="1:6" x14ac:dyDescent="0.2">
      <c r="A299" s="63">
        <v>45911</v>
      </c>
      <c r="B299" t="s">
        <v>2471</v>
      </c>
      <c r="C299">
        <v>-77.180000000000007</v>
      </c>
      <c r="D299">
        <f>_xlfn.XLOOKUP(B299,'Payee Ref'!A:A,'Payee Ref'!B:B,"unassigned",0,1)</f>
        <v>0</v>
      </c>
      <c r="E299">
        <f>_xlfn.XLOOKUP(B299,'Payee Ref'!A:A,'Payee Ref'!C:C,"unassigned",0,1)</f>
        <v>0</v>
      </c>
      <c r="F299" t="s">
        <v>2558</v>
      </c>
    </row>
    <row r="300" spans="1:6" x14ac:dyDescent="0.2">
      <c r="A300" s="63">
        <v>45912</v>
      </c>
      <c r="B300" t="s">
        <v>2469</v>
      </c>
      <c r="C300">
        <v>-4.4000000000000004</v>
      </c>
      <c r="D300">
        <f>_xlfn.XLOOKUP(B300,'Payee Ref'!A:A,'Payee Ref'!B:B,"unassigned",0,1)</f>
        <v>0</v>
      </c>
      <c r="E300">
        <f>_xlfn.XLOOKUP(B300,'Payee Ref'!A:A,'Payee Ref'!C:C,"unassigned",0,1)</f>
        <v>0</v>
      </c>
      <c r="F300" t="s">
        <v>2558</v>
      </c>
    </row>
    <row r="301" spans="1:6" x14ac:dyDescent="0.2">
      <c r="A301" s="63">
        <v>45913</v>
      </c>
      <c r="B301" t="s">
        <v>2465</v>
      </c>
      <c r="C301">
        <v>-27.87</v>
      </c>
      <c r="D301">
        <f>_xlfn.XLOOKUP(B301,'Payee Ref'!A:A,'Payee Ref'!B:B,"unassigned",0,1)</f>
        <v>0</v>
      </c>
      <c r="E301">
        <f>_xlfn.XLOOKUP(B301,'Payee Ref'!A:A,'Payee Ref'!C:C,"unassigned",0,1)</f>
        <v>0</v>
      </c>
      <c r="F301" t="s">
        <v>2558</v>
      </c>
    </row>
    <row r="302" spans="1:6" x14ac:dyDescent="0.2">
      <c r="A302" s="63">
        <v>45913</v>
      </c>
      <c r="B302" t="s">
        <v>2465</v>
      </c>
      <c r="C302">
        <v>-18.75</v>
      </c>
      <c r="D302">
        <f>_xlfn.XLOOKUP(B302,'Payee Ref'!A:A,'Payee Ref'!B:B,"unassigned",0,1)</f>
        <v>0</v>
      </c>
      <c r="E302">
        <f>_xlfn.XLOOKUP(B302,'Payee Ref'!A:A,'Payee Ref'!C:C,"unassigned",0,1)</f>
        <v>0</v>
      </c>
      <c r="F302" t="s">
        <v>2558</v>
      </c>
    </row>
    <row r="303" spans="1:6" x14ac:dyDescent="0.2">
      <c r="A303" s="63">
        <v>45913</v>
      </c>
      <c r="B303" t="s">
        <v>2465</v>
      </c>
      <c r="C303">
        <v>-23.58</v>
      </c>
      <c r="D303">
        <f>_xlfn.XLOOKUP(B303,'Payee Ref'!A:A,'Payee Ref'!B:B,"unassigned",0,1)</f>
        <v>0</v>
      </c>
      <c r="E303">
        <f>_xlfn.XLOOKUP(B303,'Payee Ref'!A:A,'Payee Ref'!C:C,"unassigned",0,1)</f>
        <v>0</v>
      </c>
      <c r="F303" t="s">
        <v>2558</v>
      </c>
    </row>
    <row r="304" spans="1:6" x14ac:dyDescent="0.2">
      <c r="A304" s="63">
        <v>45913</v>
      </c>
      <c r="B304" t="s">
        <v>2468</v>
      </c>
      <c r="C304">
        <v>-160</v>
      </c>
      <c r="D304">
        <f>_xlfn.XLOOKUP(B304,'Payee Ref'!A:A,'Payee Ref'!B:B,"unassigned",0,1)</f>
        <v>0</v>
      </c>
      <c r="E304">
        <f>_xlfn.XLOOKUP(B304,'Payee Ref'!A:A,'Payee Ref'!C:C,"unassigned",0,1)</f>
        <v>0</v>
      </c>
      <c r="F304" t="s">
        <v>2558</v>
      </c>
    </row>
    <row r="305" spans="1:6" hidden="1" x14ac:dyDescent="0.2">
      <c r="A305" s="63">
        <v>45913</v>
      </c>
      <c r="B305" t="s">
        <v>843</v>
      </c>
      <c r="C305">
        <v>-8.82</v>
      </c>
      <c r="D305" t="str">
        <f>_xlfn.XLOOKUP(B305,'Payee Ref'!A:A,'Payee Ref'!B:B,"unassigned",0,1)</f>
        <v>Pets</v>
      </c>
      <c r="E305" t="str">
        <f>_xlfn.XLOOKUP(B305,'Payee Ref'!A:A,'Payee Ref'!C:C,"unassigned",0,1)</f>
        <v>Luxury</v>
      </c>
      <c r="F305" t="s">
        <v>2558</v>
      </c>
    </row>
    <row r="306" spans="1:6" x14ac:dyDescent="0.2">
      <c r="A306" s="63">
        <v>45915</v>
      </c>
      <c r="B306" t="s">
        <v>2466</v>
      </c>
      <c r="C306">
        <v>-3.4</v>
      </c>
      <c r="D306">
        <f>_xlfn.XLOOKUP(B306,'Payee Ref'!A:A,'Payee Ref'!B:B,"unassigned",0,1)</f>
        <v>0</v>
      </c>
      <c r="E306">
        <f>_xlfn.XLOOKUP(B306,'Payee Ref'!A:A,'Payee Ref'!C:C,"unassigned",0,1)</f>
        <v>0</v>
      </c>
      <c r="F306" t="s">
        <v>2558</v>
      </c>
    </row>
    <row r="307" spans="1:6" x14ac:dyDescent="0.2">
      <c r="A307" s="63">
        <v>45915</v>
      </c>
      <c r="B307" t="s">
        <v>2465</v>
      </c>
      <c r="C307">
        <v>-9.0500000000000007</v>
      </c>
      <c r="D307">
        <f>_xlfn.XLOOKUP(B307,'Payee Ref'!A:A,'Payee Ref'!B:B,"unassigned",0,1)</f>
        <v>0</v>
      </c>
      <c r="E307">
        <f>_xlfn.XLOOKUP(B307,'Payee Ref'!A:A,'Payee Ref'!C:C,"unassigned",0,1)</f>
        <v>0</v>
      </c>
      <c r="F307" t="s">
        <v>2558</v>
      </c>
    </row>
    <row r="308" spans="1:6" x14ac:dyDescent="0.2">
      <c r="A308" s="63">
        <v>45915</v>
      </c>
      <c r="B308" t="s">
        <v>2467</v>
      </c>
      <c r="C308">
        <v>-35.68</v>
      </c>
      <c r="D308">
        <f>_xlfn.XLOOKUP(B308,'Payee Ref'!A:A,'Payee Ref'!B:B,"unassigned",0,1)</f>
        <v>0</v>
      </c>
      <c r="E308">
        <f>_xlfn.XLOOKUP(B308,'Payee Ref'!A:A,'Payee Ref'!C:C,"unassigned",0,1)</f>
        <v>0</v>
      </c>
      <c r="F308" t="s">
        <v>2558</v>
      </c>
    </row>
    <row r="309" spans="1:6" x14ac:dyDescent="0.2">
      <c r="A309" s="63">
        <v>45917</v>
      </c>
      <c r="B309" t="s">
        <v>2465</v>
      </c>
      <c r="C309">
        <v>-0.68</v>
      </c>
      <c r="D309">
        <f>_xlfn.XLOOKUP(B309,'Payee Ref'!A:A,'Payee Ref'!B:B,"unassigned",0,1)</f>
        <v>0</v>
      </c>
      <c r="E309">
        <f>_xlfn.XLOOKUP(B309,'Payee Ref'!A:A,'Payee Ref'!C:C,"unassigned",0,1)</f>
        <v>0</v>
      </c>
      <c r="F309" t="s">
        <v>2558</v>
      </c>
    </row>
    <row r="310" spans="1:6" hidden="1" x14ac:dyDescent="0.2">
      <c r="A310" s="63">
        <v>45919</v>
      </c>
      <c r="B310" t="s">
        <v>538</v>
      </c>
      <c r="C310">
        <v>-131.44999999999999</v>
      </c>
      <c r="D310" t="str">
        <f>_xlfn.XLOOKUP(B310,'Payee Ref'!A:A,'Payee Ref'!B:B,"unassigned",0,1)</f>
        <v>Groceries</v>
      </c>
      <c r="E310" t="str">
        <f>_xlfn.XLOOKUP(B310,'Payee Ref'!A:A,'Payee Ref'!C:C,"unassigned",0,1)</f>
        <v>Basic</v>
      </c>
      <c r="F310" t="s">
        <v>2558</v>
      </c>
    </row>
    <row r="311" spans="1:6" hidden="1" x14ac:dyDescent="0.2">
      <c r="A311" s="63">
        <v>45922</v>
      </c>
      <c r="B311" t="s">
        <v>159</v>
      </c>
      <c r="C311">
        <v>3585.15</v>
      </c>
      <c r="D311" t="str">
        <f>_xlfn.XLOOKUP(B311,'Payee Ref'!A:A,'Payee Ref'!B:B,"unassigned",0,1)</f>
        <v>Credit Card Payment</v>
      </c>
      <c r="E311" t="str">
        <f>_xlfn.XLOOKUP(B311,'Payee Ref'!A:A,'Payee Ref'!C:C,"unassigned",0,1)</f>
        <v>Basic</v>
      </c>
      <c r="F311" t="s">
        <v>2558</v>
      </c>
    </row>
    <row r="312" spans="1:6" hidden="1" x14ac:dyDescent="0.2">
      <c r="A312" s="63">
        <v>45925</v>
      </c>
      <c r="B312" t="s">
        <v>70</v>
      </c>
      <c r="C312">
        <v>-67.319999999999993</v>
      </c>
      <c r="D312" t="str">
        <f>_xlfn.XLOOKUP(B312,'Payee Ref'!A:A,'Payee Ref'!B:B,"unassigned",0,1)</f>
        <v>Bank Fees</v>
      </c>
      <c r="E312" t="str">
        <f>_xlfn.XLOOKUP(B312,'Payee Ref'!A:A,'Payee Ref'!C:C,"unassigned",0,1)</f>
        <v>Luxury</v>
      </c>
      <c r="F312" t="s">
        <v>2558</v>
      </c>
    </row>
    <row r="313" spans="1:6" hidden="1" x14ac:dyDescent="0.2">
      <c r="A313" s="63">
        <v>45926</v>
      </c>
      <c r="B313" t="s">
        <v>932</v>
      </c>
      <c r="C313">
        <v>-3.3</v>
      </c>
      <c r="D313" t="str">
        <f>_xlfn.XLOOKUP(B313,'Payee Ref'!A:A,'Payee Ref'!B:B,"unassigned",0,1)</f>
        <v>Subscriptions / Digital</v>
      </c>
      <c r="E313" t="str">
        <f>_xlfn.XLOOKUP(B313,'Payee Ref'!A:A,'Payee Ref'!C:C,"unassigned",0,1)</f>
        <v>Luxury</v>
      </c>
      <c r="F313" t="s">
        <v>2558</v>
      </c>
    </row>
    <row r="314" spans="1:6" x14ac:dyDescent="0.2">
      <c r="A314" s="63">
        <v>45926</v>
      </c>
      <c r="B314" t="s">
        <v>2492</v>
      </c>
      <c r="C314">
        <v>-40.98</v>
      </c>
      <c r="D314">
        <f>_xlfn.XLOOKUP(B314,'Payee Ref'!A:A,'Payee Ref'!B:B,"unassigned",0,1)</f>
        <v>0</v>
      </c>
      <c r="E314">
        <f>_xlfn.XLOOKUP(B314,'Payee Ref'!A:A,'Payee Ref'!C:C,"unassigned",0,1)</f>
        <v>0</v>
      </c>
      <c r="F314" t="s">
        <v>2558</v>
      </c>
    </row>
    <row r="315" spans="1:6" hidden="1" x14ac:dyDescent="0.2">
      <c r="A315" s="63">
        <v>45926</v>
      </c>
      <c r="B315" t="s">
        <v>538</v>
      </c>
      <c r="C315">
        <v>-131.44999999999999</v>
      </c>
      <c r="D315" t="str">
        <f>_xlfn.XLOOKUP(B315,'Payee Ref'!A:A,'Payee Ref'!B:B,"unassigned",0,1)</f>
        <v>Groceries</v>
      </c>
      <c r="E315" t="str">
        <f>_xlfn.XLOOKUP(B315,'Payee Ref'!A:A,'Payee Ref'!C:C,"unassigned",0,1)</f>
        <v>Basic</v>
      </c>
      <c r="F315" t="s">
        <v>2558</v>
      </c>
    </row>
    <row r="316" spans="1:6" x14ac:dyDescent="0.2">
      <c r="A316" s="63">
        <v>45926</v>
      </c>
      <c r="B316" t="s">
        <v>2493</v>
      </c>
      <c r="C316">
        <v>-86</v>
      </c>
      <c r="D316">
        <f>_xlfn.XLOOKUP(B316,'Payee Ref'!A:A,'Payee Ref'!B:B,"unassigned",0,1)</f>
        <v>0</v>
      </c>
      <c r="E316">
        <f>_xlfn.XLOOKUP(B316,'Payee Ref'!A:A,'Payee Ref'!C:C,"unassigned",0,1)</f>
        <v>0</v>
      </c>
      <c r="F316" t="s">
        <v>2558</v>
      </c>
    </row>
    <row r="317" spans="1:6" x14ac:dyDescent="0.2">
      <c r="A317" s="63">
        <v>45927</v>
      </c>
      <c r="B317" t="s">
        <v>2490</v>
      </c>
      <c r="C317">
        <v>-18.75</v>
      </c>
      <c r="D317">
        <f>_xlfn.XLOOKUP(B317,'Payee Ref'!A:A,'Payee Ref'!B:B,"unassigned",0,1)</f>
        <v>0</v>
      </c>
      <c r="E317">
        <f>_xlfn.XLOOKUP(B317,'Payee Ref'!A:A,'Payee Ref'!C:C,"unassigned",0,1)</f>
        <v>0</v>
      </c>
      <c r="F317" t="s">
        <v>2558</v>
      </c>
    </row>
    <row r="318" spans="1:6" hidden="1" x14ac:dyDescent="0.2">
      <c r="A318" s="63">
        <v>45927</v>
      </c>
      <c r="B318" t="s">
        <v>573</v>
      </c>
      <c r="C318">
        <v>-54.38</v>
      </c>
      <c r="D318" t="str">
        <f>_xlfn.XLOOKUP(B318,'Payee Ref'!A:A,'Payee Ref'!B:B,"unassigned",0,1)</f>
        <v>Groceries</v>
      </c>
      <c r="E318" t="str">
        <f>_xlfn.XLOOKUP(B318,'Payee Ref'!A:A,'Payee Ref'!C:C,"unassigned",0,1)</f>
        <v>Basic</v>
      </c>
      <c r="F318" t="s">
        <v>2558</v>
      </c>
    </row>
    <row r="319" spans="1:6" x14ac:dyDescent="0.2">
      <c r="A319" s="63">
        <v>45927</v>
      </c>
      <c r="B319" t="s">
        <v>2491</v>
      </c>
      <c r="C319">
        <v>-37.200000000000003</v>
      </c>
      <c r="D319">
        <f>_xlfn.XLOOKUP(B319,'Payee Ref'!A:A,'Payee Ref'!B:B,"unassigned",0,1)</f>
        <v>0</v>
      </c>
      <c r="E319">
        <f>_xlfn.XLOOKUP(B319,'Payee Ref'!A:A,'Payee Ref'!C:C,"unassigned",0,1)</f>
        <v>0</v>
      </c>
      <c r="F319" t="s">
        <v>2558</v>
      </c>
    </row>
    <row r="320" spans="1:6" x14ac:dyDescent="0.2">
      <c r="A320" s="63">
        <v>45929</v>
      </c>
      <c r="B320" t="s">
        <v>2489</v>
      </c>
      <c r="C320">
        <v>-54.92</v>
      </c>
      <c r="D320">
        <f>_xlfn.XLOOKUP(B320,'Payee Ref'!A:A,'Payee Ref'!B:B,"unassigned",0,1)</f>
        <v>0</v>
      </c>
      <c r="E320">
        <f>_xlfn.XLOOKUP(B320,'Payee Ref'!A:A,'Payee Ref'!C:C,"unassigned",0,1)</f>
        <v>0</v>
      </c>
      <c r="F320" t="s">
        <v>2558</v>
      </c>
    </row>
    <row r="321" spans="1:6" x14ac:dyDescent="0.2">
      <c r="A321" s="63">
        <v>45932</v>
      </c>
      <c r="B321" t="s">
        <v>2488</v>
      </c>
      <c r="C321">
        <v>-19.46</v>
      </c>
      <c r="D321">
        <f>_xlfn.XLOOKUP(B321,'Payee Ref'!A:A,'Payee Ref'!B:B,"unassigned",0,1)</f>
        <v>0</v>
      </c>
      <c r="E321">
        <f>_xlfn.XLOOKUP(B321,'Payee Ref'!A:A,'Payee Ref'!C:C,"unassigned",0,1)</f>
        <v>0</v>
      </c>
      <c r="F321" t="s">
        <v>2558</v>
      </c>
    </row>
    <row r="322" spans="1:6" hidden="1" x14ac:dyDescent="0.2">
      <c r="A322" s="63">
        <v>45933</v>
      </c>
      <c r="B322" t="s">
        <v>721</v>
      </c>
      <c r="C322">
        <v>-99</v>
      </c>
      <c r="D322" t="str">
        <f>_xlfn.XLOOKUP(B322,'Payee Ref'!A:A,'Payee Ref'!B:B,"unassigned",0,1)</f>
        <v>Home &amp; Garden</v>
      </c>
      <c r="E322" t="str">
        <f>_xlfn.XLOOKUP(B322,'Payee Ref'!A:A,'Payee Ref'!C:C,"unassigned",0,1)</f>
        <v>Basic</v>
      </c>
      <c r="F322" t="s">
        <v>2558</v>
      </c>
    </row>
    <row r="323" spans="1:6" hidden="1" x14ac:dyDescent="0.2">
      <c r="A323" s="63">
        <v>45933</v>
      </c>
      <c r="B323" t="s">
        <v>538</v>
      </c>
      <c r="C323">
        <v>-131.44999999999999</v>
      </c>
      <c r="D323" t="str">
        <f>_xlfn.XLOOKUP(B323,'Payee Ref'!A:A,'Payee Ref'!B:B,"unassigned",0,1)</f>
        <v>Groceries</v>
      </c>
      <c r="E323" t="str">
        <f>_xlfn.XLOOKUP(B323,'Payee Ref'!A:A,'Payee Ref'!C:C,"unassigned",0,1)</f>
        <v>Basic</v>
      </c>
      <c r="F323" t="s">
        <v>2558</v>
      </c>
    </row>
    <row r="324" spans="1:6" x14ac:dyDescent="0.2">
      <c r="A324" s="63">
        <v>45933</v>
      </c>
      <c r="B324" t="s">
        <v>2487</v>
      </c>
      <c r="C324">
        <v>-39.409999999999997</v>
      </c>
      <c r="D324">
        <f>_xlfn.XLOOKUP(B324,'Payee Ref'!A:A,'Payee Ref'!B:B,"unassigned",0,1)</f>
        <v>0</v>
      </c>
      <c r="E324">
        <f>_xlfn.XLOOKUP(B324,'Payee Ref'!A:A,'Payee Ref'!C:C,"unassigned",0,1)</f>
        <v>0</v>
      </c>
      <c r="F324" t="s">
        <v>2558</v>
      </c>
    </row>
    <row r="325" spans="1:6" hidden="1" x14ac:dyDescent="0.2">
      <c r="A325" s="63">
        <v>45936</v>
      </c>
      <c r="B325" t="s">
        <v>925</v>
      </c>
      <c r="C325">
        <v>-25.55</v>
      </c>
      <c r="D325" t="str">
        <f>_xlfn.XLOOKUP(B325,'Payee Ref'!A:A,'Payee Ref'!B:B,"unassigned",0,1)</f>
        <v>Subscriptions / Digital</v>
      </c>
      <c r="E325" t="str">
        <f>_xlfn.XLOOKUP(B325,'Payee Ref'!A:A,'Payee Ref'!C:C,"unassigned",0,1)</f>
        <v>Luxury</v>
      </c>
      <c r="F325" t="s">
        <v>2558</v>
      </c>
    </row>
    <row r="326" spans="1:6" x14ac:dyDescent="0.2">
      <c r="A326" s="63">
        <v>45936</v>
      </c>
      <c r="B326" t="s">
        <v>2486</v>
      </c>
      <c r="C326">
        <v>-41.31</v>
      </c>
      <c r="D326">
        <f>_xlfn.XLOOKUP(B326,'Payee Ref'!A:A,'Payee Ref'!B:B,"unassigned",0,1)</f>
        <v>0</v>
      </c>
      <c r="E326">
        <f>_xlfn.XLOOKUP(B326,'Payee Ref'!A:A,'Payee Ref'!C:C,"unassigned",0,1)</f>
        <v>0</v>
      </c>
      <c r="F326" t="s">
        <v>2558</v>
      </c>
    </row>
    <row r="327" spans="1:6" x14ac:dyDescent="0.2">
      <c r="A327" s="63">
        <v>45938</v>
      </c>
      <c r="B327" t="s">
        <v>2484</v>
      </c>
      <c r="C327">
        <v>-61.88</v>
      </c>
      <c r="D327">
        <f>_xlfn.XLOOKUP(B327,'Payee Ref'!A:A,'Payee Ref'!B:B,"unassigned",0,1)</f>
        <v>0</v>
      </c>
      <c r="E327">
        <f>_xlfn.XLOOKUP(B327,'Payee Ref'!A:A,'Payee Ref'!C:C,"unassigned",0,1)</f>
        <v>0</v>
      </c>
      <c r="F327" t="s">
        <v>2558</v>
      </c>
    </row>
    <row r="328" spans="1:6" x14ac:dyDescent="0.2">
      <c r="A328" s="63">
        <v>45938</v>
      </c>
      <c r="B328" t="s">
        <v>2485</v>
      </c>
      <c r="C328">
        <v>-92.66</v>
      </c>
      <c r="D328">
        <f>_xlfn.XLOOKUP(B328,'Payee Ref'!A:A,'Payee Ref'!B:B,"unassigned",0,1)</f>
        <v>0</v>
      </c>
      <c r="E328">
        <f>_xlfn.XLOOKUP(B328,'Payee Ref'!A:A,'Payee Ref'!C:C,"unassigned",0,1)</f>
        <v>0</v>
      </c>
      <c r="F328" t="s">
        <v>2558</v>
      </c>
    </row>
    <row r="329" spans="1:6" hidden="1" x14ac:dyDescent="0.2">
      <c r="A329" s="63">
        <v>45939</v>
      </c>
      <c r="B329" t="s">
        <v>369</v>
      </c>
      <c r="C329">
        <v>-19.86</v>
      </c>
      <c r="D329" t="str">
        <f>_xlfn.XLOOKUP(B329,'Payee Ref'!A:A,'Payee Ref'!B:B,"unassigned",0,1)</f>
        <v>Dining</v>
      </c>
      <c r="E329" t="str">
        <f>_xlfn.XLOOKUP(B329,'Payee Ref'!A:A,'Payee Ref'!C:C,"unassigned",0,1)</f>
        <v>Luxury</v>
      </c>
      <c r="F329" t="s">
        <v>2558</v>
      </c>
    </row>
    <row r="330" spans="1:6" hidden="1" x14ac:dyDescent="0.2">
      <c r="A330" s="63">
        <v>45939</v>
      </c>
      <c r="B330" t="s">
        <v>369</v>
      </c>
      <c r="C330">
        <v>-39.340000000000003</v>
      </c>
      <c r="D330" t="str">
        <f>_xlfn.XLOOKUP(B330,'Payee Ref'!A:A,'Payee Ref'!B:B,"unassigned",0,1)</f>
        <v>Dining</v>
      </c>
      <c r="E330" t="str">
        <f>_xlfn.XLOOKUP(B330,'Payee Ref'!A:A,'Payee Ref'!C:C,"unassigned",0,1)</f>
        <v>Luxury</v>
      </c>
      <c r="F330" t="s">
        <v>2558</v>
      </c>
    </row>
    <row r="331" spans="1:6" x14ac:dyDescent="0.2">
      <c r="A331" s="63">
        <v>45940</v>
      </c>
      <c r="B331" t="s">
        <v>2452</v>
      </c>
      <c r="C331">
        <v>-7.5</v>
      </c>
      <c r="D331">
        <f>_xlfn.XLOOKUP(B331,'Payee Ref'!A:A,'Payee Ref'!B:B,"unassigned",0,1)</f>
        <v>0</v>
      </c>
      <c r="E331">
        <f>_xlfn.XLOOKUP(B331,'Payee Ref'!A:A,'Payee Ref'!C:C,"unassigned",0,1)</f>
        <v>0</v>
      </c>
      <c r="F331" t="s">
        <v>2558</v>
      </c>
    </row>
    <row r="332" spans="1:6" hidden="1" x14ac:dyDescent="0.2">
      <c r="A332" s="63">
        <v>45940</v>
      </c>
      <c r="B332" t="s">
        <v>538</v>
      </c>
      <c r="C332">
        <v>-127.67</v>
      </c>
      <c r="D332" t="str">
        <f>_xlfn.XLOOKUP(B332,'Payee Ref'!A:A,'Payee Ref'!B:B,"unassigned",0,1)</f>
        <v>Groceries</v>
      </c>
      <c r="E332" t="str">
        <f>_xlfn.XLOOKUP(B332,'Payee Ref'!A:A,'Payee Ref'!C:C,"unassigned",0,1)</f>
        <v>Basic</v>
      </c>
      <c r="F332" t="s">
        <v>2558</v>
      </c>
    </row>
    <row r="333" spans="1:6" x14ac:dyDescent="0.2">
      <c r="A333" s="63">
        <v>45940</v>
      </c>
      <c r="B333" t="s">
        <v>2483</v>
      </c>
      <c r="C333">
        <v>-533.24</v>
      </c>
      <c r="D333">
        <f>_xlfn.XLOOKUP(B333,'Payee Ref'!A:A,'Payee Ref'!B:B,"unassigned",0,1)</f>
        <v>0</v>
      </c>
      <c r="E333">
        <f>_xlfn.XLOOKUP(B333,'Payee Ref'!A:A,'Payee Ref'!C:C,"unassigned",0,1)</f>
        <v>0</v>
      </c>
      <c r="F333" t="s">
        <v>2558</v>
      </c>
    </row>
    <row r="334" spans="1:6" x14ac:dyDescent="0.2">
      <c r="A334" s="63">
        <v>45946</v>
      </c>
      <c r="B334" t="s">
        <v>2482</v>
      </c>
      <c r="C334">
        <v>-62</v>
      </c>
      <c r="D334">
        <f>_xlfn.XLOOKUP(B334,'Payee Ref'!A:A,'Payee Ref'!B:B,"unassigned",0,1)</f>
        <v>0</v>
      </c>
      <c r="E334">
        <f>_xlfn.XLOOKUP(B334,'Payee Ref'!A:A,'Payee Ref'!C:C,"unassigned",0,1)</f>
        <v>0</v>
      </c>
      <c r="F334" t="s">
        <v>2558</v>
      </c>
    </row>
    <row r="335" spans="1:6" hidden="1" x14ac:dyDescent="0.2">
      <c r="A335" s="63">
        <v>45947</v>
      </c>
      <c r="B335" t="s">
        <v>538</v>
      </c>
      <c r="C335">
        <v>-133.34</v>
      </c>
      <c r="D335" t="str">
        <f>_xlfn.XLOOKUP(B335,'Payee Ref'!A:A,'Payee Ref'!B:B,"unassigned",0,1)</f>
        <v>Groceries</v>
      </c>
      <c r="E335" t="str">
        <f>_xlfn.XLOOKUP(B335,'Payee Ref'!A:A,'Payee Ref'!C:C,"unassigned",0,1)</f>
        <v>Basic</v>
      </c>
      <c r="F335" t="s">
        <v>2558</v>
      </c>
    </row>
    <row r="336" spans="1:6" x14ac:dyDescent="0.2">
      <c r="A336" s="63">
        <v>45948</v>
      </c>
      <c r="B336" t="s">
        <v>2481</v>
      </c>
      <c r="C336">
        <v>-54.15</v>
      </c>
      <c r="D336">
        <f>_xlfn.XLOOKUP(B336,'Payee Ref'!A:A,'Payee Ref'!B:B,"unassigned",0,1)</f>
        <v>0</v>
      </c>
      <c r="E336">
        <f>_xlfn.XLOOKUP(B336,'Payee Ref'!A:A,'Payee Ref'!C:C,"unassigned",0,1)</f>
        <v>0</v>
      </c>
      <c r="F336" t="s">
        <v>2558</v>
      </c>
    </row>
    <row r="337" spans="1:6" x14ac:dyDescent="0.2">
      <c r="A337" s="63">
        <v>45951</v>
      </c>
      <c r="B337" t="s">
        <v>2479</v>
      </c>
      <c r="C337">
        <v>-263.76</v>
      </c>
      <c r="D337">
        <f>_xlfn.XLOOKUP(B337,'Payee Ref'!A:A,'Payee Ref'!B:B,"unassigned",0,1)</f>
        <v>0</v>
      </c>
      <c r="E337">
        <f>_xlfn.XLOOKUP(B337,'Payee Ref'!A:A,'Payee Ref'!C:C,"unassigned",0,1)</f>
        <v>0</v>
      </c>
      <c r="F337" t="s">
        <v>2558</v>
      </c>
    </row>
    <row r="338" spans="1:6" x14ac:dyDescent="0.2">
      <c r="A338" s="63">
        <v>45951</v>
      </c>
      <c r="B338" t="s">
        <v>2480</v>
      </c>
      <c r="C338">
        <v>-5081</v>
      </c>
      <c r="D338">
        <f>_xlfn.XLOOKUP(B338,'Payee Ref'!A:A,'Payee Ref'!B:B,"unassigned",0,1)</f>
        <v>0</v>
      </c>
      <c r="E338">
        <f>_xlfn.XLOOKUP(B338,'Payee Ref'!A:A,'Payee Ref'!C:C,"unassigned",0,1)</f>
        <v>0</v>
      </c>
      <c r="F338" t="s">
        <v>2558</v>
      </c>
    </row>
    <row r="339" spans="1:6" x14ac:dyDescent="0.2">
      <c r="A339" s="63">
        <v>45952</v>
      </c>
      <c r="B339" t="s">
        <v>2478</v>
      </c>
      <c r="C339">
        <v>-11.4</v>
      </c>
      <c r="D339">
        <f>_xlfn.XLOOKUP(B339,'Payee Ref'!A:A,'Payee Ref'!B:B,"unassigned",0,1)</f>
        <v>0</v>
      </c>
      <c r="E339">
        <f>_xlfn.XLOOKUP(B339,'Payee Ref'!A:A,'Payee Ref'!C:C,"unassigned",0,1)</f>
        <v>0</v>
      </c>
      <c r="F339" t="s">
        <v>2558</v>
      </c>
    </row>
    <row r="340" spans="1:6" hidden="1" x14ac:dyDescent="0.2">
      <c r="A340" s="63">
        <v>45952</v>
      </c>
      <c r="B340" t="s">
        <v>159</v>
      </c>
      <c r="C340">
        <v>1686.83</v>
      </c>
      <c r="D340" t="str">
        <f>_xlfn.XLOOKUP(B340,'Payee Ref'!A:A,'Payee Ref'!B:B,"unassigned",0,1)</f>
        <v>Credit Card Payment</v>
      </c>
      <c r="E340" t="str">
        <f>_xlfn.XLOOKUP(B340,'Payee Ref'!A:A,'Payee Ref'!C:C,"unassigned",0,1)</f>
        <v>Basic</v>
      </c>
      <c r="F340" t="s">
        <v>2558</v>
      </c>
    </row>
    <row r="341" spans="1:6" hidden="1" x14ac:dyDescent="0.2">
      <c r="A341" s="63">
        <v>45954</v>
      </c>
      <c r="B341" t="s">
        <v>538</v>
      </c>
      <c r="C341">
        <v>-131.44999999999999</v>
      </c>
      <c r="D341" t="str">
        <f>_xlfn.XLOOKUP(B341,'Payee Ref'!A:A,'Payee Ref'!B:B,"unassigned",0,1)</f>
        <v>Groceries</v>
      </c>
      <c r="E341" t="str">
        <f>_xlfn.XLOOKUP(B341,'Payee Ref'!A:A,'Payee Ref'!C:C,"unassigned",0,1)</f>
        <v>Basic</v>
      </c>
      <c r="F341" t="s">
        <v>2558</v>
      </c>
    </row>
    <row r="342" spans="1:6" hidden="1" x14ac:dyDescent="0.2">
      <c r="A342" s="63">
        <v>45957</v>
      </c>
      <c r="B342" t="s">
        <v>932</v>
      </c>
      <c r="C342">
        <v>-3.3</v>
      </c>
      <c r="D342" t="str">
        <f>_xlfn.XLOOKUP(B342,'Payee Ref'!A:A,'Payee Ref'!B:B,"unassigned",0,1)</f>
        <v>Subscriptions / Digital</v>
      </c>
      <c r="E342" t="str">
        <f>_xlfn.XLOOKUP(B342,'Payee Ref'!A:A,'Payee Ref'!C:C,"unassigned",0,1)</f>
        <v>Luxury</v>
      </c>
      <c r="F342" t="s">
        <v>2558</v>
      </c>
    </row>
    <row r="343" spans="1:6" x14ac:dyDescent="0.2">
      <c r="A343" s="63">
        <v>45957</v>
      </c>
      <c r="B343" t="s">
        <v>2543</v>
      </c>
      <c r="C343">
        <v>-2147.9299999999998</v>
      </c>
      <c r="D343">
        <f>_xlfn.XLOOKUP(B343,'Payee Ref'!A:A,'Payee Ref'!B:B,"unassigned",0,1)</f>
        <v>0</v>
      </c>
      <c r="E343">
        <f>_xlfn.XLOOKUP(B343,'Payee Ref'!A:A,'Payee Ref'!C:C,"unassigned",0,1)</f>
        <v>0</v>
      </c>
      <c r="F343" t="s">
        <v>2558</v>
      </c>
    </row>
    <row r="344" spans="1:6" x14ac:dyDescent="0.2">
      <c r="A344" s="63">
        <v>45957</v>
      </c>
      <c r="B344" t="s">
        <v>2536</v>
      </c>
      <c r="C344">
        <v>-14.87</v>
      </c>
      <c r="D344">
        <f>_xlfn.XLOOKUP(B344,'Payee Ref'!A:A,'Payee Ref'!B:B,"unassigned",0,1)</f>
        <v>0</v>
      </c>
      <c r="E344">
        <f>_xlfn.XLOOKUP(B344,'Payee Ref'!A:A,'Payee Ref'!C:C,"unassigned",0,1)</f>
        <v>0</v>
      </c>
      <c r="F344" t="s">
        <v>2558</v>
      </c>
    </row>
    <row r="345" spans="1:6" hidden="1" x14ac:dyDescent="0.2">
      <c r="A345" s="63">
        <v>45958</v>
      </c>
      <c r="B345" t="s">
        <v>369</v>
      </c>
      <c r="C345">
        <v>-10.48</v>
      </c>
      <c r="D345" t="str">
        <f>_xlfn.XLOOKUP(B345,'Payee Ref'!A:A,'Payee Ref'!B:B,"unassigned",0,1)</f>
        <v>Dining</v>
      </c>
      <c r="E345" t="str">
        <f>_xlfn.XLOOKUP(B345,'Payee Ref'!A:A,'Payee Ref'!C:C,"unassigned",0,1)</f>
        <v>Luxury</v>
      </c>
      <c r="F345" t="s">
        <v>2558</v>
      </c>
    </row>
    <row r="346" spans="1:6" x14ac:dyDescent="0.2">
      <c r="A346" s="63">
        <v>45960</v>
      </c>
      <c r="B346" t="s">
        <v>2541</v>
      </c>
      <c r="C346">
        <v>-999</v>
      </c>
      <c r="D346">
        <f>_xlfn.XLOOKUP(B346,'Payee Ref'!A:A,'Payee Ref'!B:B,"unassigned",0,1)</f>
        <v>0</v>
      </c>
      <c r="E346">
        <f>_xlfn.XLOOKUP(B346,'Payee Ref'!A:A,'Payee Ref'!C:C,"unassigned",0,1)</f>
        <v>0</v>
      </c>
      <c r="F346" t="s">
        <v>2558</v>
      </c>
    </row>
    <row r="347" spans="1:6" x14ac:dyDescent="0.2">
      <c r="A347" s="63">
        <v>45960</v>
      </c>
      <c r="B347" t="s">
        <v>2542</v>
      </c>
      <c r="C347">
        <v>-6.24</v>
      </c>
      <c r="D347">
        <f>_xlfn.XLOOKUP(B347,'Payee Ref'!A:A,'Payee Ref'!B:B,"unassigned",0,1)</f>
        <v>0</v>
      </c>
      <c r="E347">
        <f>_xlfn.XLOOKUP(B347,'Payee Ref'!A:A,'Payee Ref'!C:C,"unassigned",0,1)</f>
        <v>0</v>
      </c>
      <c r="F347" t="s">
        <v>2558</v>
      </c>
    </row>
    <row r="348" spans="1:6" x14ac:dyDescent="0.2">
      <c r="A348" s="63">
        <v>45961</v>
      </c>
      <c r="B348" t="s">
        <v>2540</v>
      </c>
      <c r="C348">
        <v>-95</v>
      </c>
      <c r="D348">
        <f>_xlfn.XLOOKUP(B348,'Payee Ref'!A:A,'Payee Ref'!B:B,"unassigned",0,1)</f>
        <v>0</v>
      </c>
      <c r="E348">
        <f>_xlfn.XLOOKUP(B348,'Payee Ref'!A:A,'Payee Ref'!C:C,"unassigned",0,1)</f>
        <v>0</v>
      </c>
      <c r="F348" t="s">
        <v>2558</v>
      </c>
    </row>
    <row r="349" spans="1:6" hidden="1" x14ac:dyDescent="0.2">
      <c r="A349" s="63">
        <v>45961</v>
      </c>
      <c r="B349" t="s">
        <v>538</v>
      </c>
      <c r="C349">
        <v>-131.44999999999999</v>
      </c>
      <c r="D349" t="str">
        <f>_xlfn.XLOOKUP(B349,'Payee Ref'!A:A,'Payee Ref'!B:B,"unassigned",0,1)</f>
        <v>Groceries</v>
      </c>
      <c r="E349" t="str">
        <f>_xlfn.XLOOKUP(B349,'Payee Ref'!A:A,'Payee Ref'!C:C,"unassigned",0,1)</f>
        <v>Basic</v>
      </c>
      <c r="F349" t="s">
        <v>2558</v>
      </c>
    </row>
    <row r="350" spans="1:6" hidden="1" x14ac:dyDescent="0.2">
      <c r="A350" s="63">
        <v>45964</v>
      </c>
      <c r="B350" t="s">
        <v>925</v>
      </c>
      <c r="C350">
        <v>-25.55</v>
      </c>
      <c r="D350" t="str">
        <f>_xlfn.XLOOKUP(B350,'Payee Ref'!A:A,'Payee Ref'!B:B,"unassigned",0,1)</f>
        <v>Subscriptions / Digital</v>
      </c>
      <c r="E350" t="str">
        <f>_xlfn.XLOOKUP(B350,'Payee Ref'!A:A,'Payee Ref'!C:C,"unassigned",0,1)</f>
        <v>Luxury</v>
      </c>
      <c r="F350" t="s">
        <v>2558</v>
      </c>
    </row>
    <row r="351" spans="1:6" hidden="1" x14ac:dyDescent="0.2">
      <c r="A351" s="63">
        <v>45964</v>
      </c>
      <c r="B351" t="s">
        <v>721</v>
      </c>
      <c r="C351">
        <v>-99</v>
      </c>
      <c r="D351" t="str">
        <f>_xlfn.XLOOKUP(B351,'Payee Ref'!A:A,'Payee Ref'!B:B,"unassigned",0,1)</f>
        <v>Home &amp; Garden</v>
      </c>
      <c r="E351" t="str">
        <f>_xlfn.XLOOKUP(B351,'Payee Ref'!A:A,'Payee Ref'!C:C,"unassigned",0,1)</f>
        <v>Basic</v>
      </c>
      <c r="F351" t="s">
        <v>2558</v>
      </c>
    </row>
    <row r="352" spans="1:6" x14ac:dyDescent="0.2">
      <c r="A352" s="63">
        <v>45964</v>
      </c>
      <c r="B352" t="s">
        <v>2539</v>
      </c>
      <c r="C352">
        <v>-13.59</v>
      </c>
      <c r="D352">
        <f>_xlfn.XLOOKUP(B352,'Payee Ref'!A:A,'Payee Ref'!B:B,"unassigned",0,1)</f>
        <v>0</v>
      </c>
      <c r="E352">
        <f>_xlfn.XLOOKUP(B352,'Payee Ref'!A:A,'Payee Ref'!C:C,"unassigned",0,1)</f>
        <v>0</v>
      </c>
      <c r="F352" t="s">
        <v>2558</v>
      </c>
    </row>
    <row r="353" spans="1:6" hidden="1" x14ac:dyDescent="0.2">
      <c r="A353" s="63">
        <v>45965</v>
      </c>
      <c r="B353" t="s">
        <v>369</v>
      </c>
      <c r="C353">
        <v>-18.760000000000002</v>
      </c>
      <c r="D353" t="str">
        <f>_xlfn.XLOOKUP(B353,'Payee Ref'!A:A,'Payee Ref'!B:B,"unassigned",0,1)</f>
        <v>Dining</v>
      </c>
      <c r="E353" t="str">
        <f>_xlfn.XLOOKUP(B353,'Payee Ref'!A:A,'Payee Ref'!C:C,"unassigned",0,1)</f>
        <v>Luxury</v>
      </c>
      <c r="F353" t="s">
        <v>2558</v>
      </c>
    </row>
    <row r="354" spans="1:6" hidden="1" x14ac:dyDescent="0.2">
      <c r="A354" s="63">
        <v>45968</v>
      </c>
      <c r="B354" t="s">
        <v>538</v>
      </c>
      <c r="C354">
        <v>-133.34</v>
      </c>
      <c r="D354" t="str">
        <f>_xlfn.XLOOKUP(B354,'Payee Ref'!A:A,'Payee Ref'!B:B,"unassigned",0,1)</f>
        <v>Groceries</v>
      </c>
      <c r="E354" t="str">
        <f>_xlfn.XLOOKUP(B354,'Payee Ref'!A:A,'Payee Ref'!C:C,"unassigned",0,1)</f>
        <v>Basic</v>
      </c>
      <c r="F354" t="s">
        <v>2558</v>
      </c>
    </row>
    <row r="355" spans="1:6" x14ac:dyDescent="0.2">
      <c r="A355" s="63">
        <v>45971</v>
      </c>
      <c r="B355" t="s">
        <v>2538</v>
      </c>
      <c r="C355">
        <v>-136.97999999999999</v>
      </c>
      <c r="D355">
        <f>_xlfn.XLOOKUP(B355,'Payee Ref'!A:A,'Payee Ref'!B:B,"unassigned",0,1)</f>
        <v>0</v>
      </c>
      <c r="E355">
        <f>_xlfn.XLOOKUP(B355,'Payee Ref'!A:A,'Payee Ref'!C:C,"unassigned",0,1)</f>
        <v>0</v>
      </c>
      <c r="F355" t="s">
        <v>2558</v>
      </c>
    </row>
    <row r="356" spans="1:6" hidden="1" x14ac:dyDescent="0.2">
      <c r="A356" s="63">
        <v>45975</v>
      </c>
      <c r="B356" t="s">
        <v>538</v>
      </c>
      <c r="C356">
        <v>-131.44999999999999</v>
      </c>
      <c r="D356" t="str">
        <f>_xlfn.XLOOKUP(B356,'Payee Ref'!A:A,'Payee Ref'!B:B,"unassigned",0,1)</f>
        <v>Groceries</v>
      </c>
      <c r="E356" t="str">
        <f>_xlfn.XLOOKUP(B356,'Payee Ref'!A:A,'Payee Ref'!C:C,"unassigned",0,1)</f>
        <v>Basic</v>
      </c>
      <c r="F356" t="s">
        <v>2558</v>
      </c>
    </row>
    <row r="357" spans="1:6" x14ac:dyDescent="0.2">
      <c r="A357" s="63">
        <v>45975</v>
      </c>
      <c r="B357" t="s">
        <v>2537</v>
      </c>
      <c r="C357">
        <v>-90.79</v>
      </c>
      <c r="D357">
        <f>_xlfn.XLOOKUP(B357,'Payee Ref'!A:A,'Payee Ref'!B:B,"unassigned",0,1)</f>
        <v>0</v>
      </c>
      <c r="E357">
        <f>_xlfn.XLOOKUP(B357,'Payee Ref'!A:A,'Payee Ref'!C:C,"unassigned",0,1)</f>
        <v>0</v>
      </c>
      <c r="F357" t="s">
        <v>2558</v>
      </c>
    </row>
    <row r="358" spans="1:6" x14ac:dyDescent="0.2">
      <c r="A358" s="63">
        <v>45978</v>
      </c>
      <c r="B358" t="s">
        <v>2534</v>
      </c>
      <c r="C358">
        <v>-81.36</v>
      </c>
      <c r="D358">
        <f>_xlfn.XLOOKUP(B358,'Payee Ref'!A:A,'Payee Ref'!B:B,"unassigned",0,1)</f>
        <v>0</v>
      </c>
      <c r="E358">
        <f>_xlfn.XLOOKUP(B358,'Payee Ref'!A:A,'Payee Ref'!C:C,"unassigned",0,1)</f>
        <v>0</v>
      </c>
      <c r="F358" t="s">
        <v>2558</v>
      </c>
    </row>
    <row r="359" spans="1:6" x14ac:dyDescent="0.2">
      <c r="A359" s="63">
        <v>45978</v>
      </c>
      <c r="B359" t="s">
        <v>2535</v>
      </c>
      <c r="C359">
        <v>-191.05</v>
      </c>
      <c r="D359">
        <f>_xlfn.XLOOKUP(B359,'Payee Ref'!A:A,'Payee Ref'!B:B,"unassigned",0,1)</f>
        <v>0</v>
      </c>
      <c r="E359">
        <f>_xlfn.XLOOKUP(B359,'Payee Ref'!A:A,'Payee Ref'!C:C,"unassigned",0,1)</f>
        <v>0</v>
      </c>
      <c r="F359" t="s">
        <v>2558</v>
      </c>
    </row>
    <row r="360" spans="1:6" x14ac:dyDescent="0.2">
      <c r="A360" s="63">
        <v>45978</v>
      </c>
      <c r="B360" t="s">
        <v>2536</v>
      </c>
      <c r="C360">
        <v>-14.87</v>
      </c>
      <c r="D360">
        <f>_xlfn.XLOOKUP(B360,'Payee Ref'!A:A,'Payee Ref'!B:B,"unassigned",0,1)</f>
        <v>0</v>
      </c>
      <c r="E360">
        <f>_xlfn.XLOOKUP(B360,'Payee Ref'!A:A,'Payee Ref'!C:C,"unassigned",0,1)</f>
        <v>0</v>
      </c>
      <c r="F360" t="s">
        <v>2558</v>
      </c>
    </row>
    <row r="361" spans="1:6" x14ac:dyDescent="0.2">
      <c r="A361" s="63">
        <v>45979</v>
      </c>
      <c r="B361" t="s">
        <v>2533</v>
      </c>
      <c r="C361">
        <v>-1381.06</v>
      </c>
      <c r="D361">
        <f>_xlfn.XLOOKUP(B361,'Payee Ref'!A:A,'Payee Ref'!B:B,"unassigned",0,1)</f>
        <v>0</v>
      </c>
      <c r="E361">
        <f>_xlfn.XLOOKUP(B361,'Payee Ref'!A:A,'Payee Ref'!C:C,"unassigned",0,1)</f>
        <v>0</v>
      </c>
      <c r="F361" t="s">
        <v>2558</v>
      </c>
    </row>
    <row r="362" spans="1:6" x14ac:dyDescent="0.2">
      <c r="A362" s="63">
        <v>45980</v>
      </c>
      <c r="B362" t="s">
        <v>2532</v>
      </c>
      <c r="C362">
        <v>-27.58</v>
      </c>
      <c r="D362">
        <f>_xlfn.XLOOKUP(B362,'Payee Ref'!A:A,'Payee Ref'!B:B,"unassigned",0,1)</f>
        <v>0</v>
      </c>
      <c r="E362">
        <f>_xlfn.XLOOKUP(B362,'Payee Ref'!A:A,'Payee Ref'!C:C,"unassigned",0,1)</f>
        <v>0</v>
      </c>
      <c r="F362" t="s">
        <v>2558</v>
      </c>
    </row>
    <row r="363" spans="1:6" hidden="1" x14ac:dyDescent="0.2">
      <c r="A363" s="63">
        <v>45981</v>
      </c>
      <c r="B363" t="s">
        <v>123</v>
      </c>
      <c r="C363">
        <v>-22.07</v>
      </c>
      <c r="D363" t="str">
        <f>_xlfn.XLOOKUP(B363,'Payee Ref'!A:A,'Payee Ref'!B:B,"unassigned",0,1)</f>
        <v>Clothing</v>
      </c>
      <c r="E363" t="str">
        <f>_xlfn.XLOOKUP(B363,'Payee Ref'!A:A,'Payee Ref'!C:C,"unassigned",0,1)</f>
        <v>Luxury</v>
      </c>
      <c r="F363" t="s">
        <v>2558</v>
      </c>
    </row>
    <row r="364" spans="1:6" hidden="1" x14ac:dyDescent="0.2">
      <c r="A364" s="63">
        <v>45982</v>
      </c>
      <c r="B364" t="s">
        <v>538</v>
      </c>
      <c r="C364">
        <v>-135.22999999999999</v>
      </c>
      <c r="D364" t="str">
        <f>_xlfn.XLOOKUP(B364,'Payee Ref'!A:A,'Payee Ref'!B:B,"unassigned",0,1)</f>
        <v>Groceries</v>
      </c>
      <c r="E364" t="str">
        <f>_xlfn.XLOOKUP(B364,'Payee Ref'!A:A,'Payee Ref'!C:C,"unassigned",0,1)</f>
        <v>Basic</v>
      </c>
      <c r="F364" t="s">
        <v>2558</v>
      </c>
    </row>
    <row r="365" spans="1:6" hidden="1" x14ac:dyDescent="0.2">
      <c r="A365" s="63">
        <v>45982</v>
      </c>
      <c r="B365" t="s">
        <v>123</v>
      </c>
      <c r="C365">
        <v>-44.14</v>
      </c>
      <c r="D365" t="str">
        <f>_xlfn.XLOOKUP(B365,'Payee Ref'!A:A,'Payee Ref'!B:B,"unassigned",0,1)</f>
        <v>Clothing</v>
      </c>
      <c r="E365" t="str">
        <f>_xlfn.XLOOKUP(B365,'Payee Ref'!A:A,'Payee Ref'!C:C,"unassigned",0,1)</f>
        <v>Luxury</v>
      </c>
      <c r="F365" t="s">
        <v>2558</v>
      </c>
    </row>
    <row r="366" spans="1:6" hidden="1" x14ac:dyDescent="0.2">
      <c r="A366" s="63">
        <v>45982</v>
      </c>
      <c r="B366" t="s">
        <v>452</v>
      </c>
      <c r="C366">
        <v>-51.56</v>
      </c>
      <c r="D366" t="str">
        <f>_xlfn.XLOOKUP(B366,'Payee Ref'!A:A,'Payee Ref'!B:B,"unassigned",0,1)</f>
        <v>Dining</v>
      </c>
      <c r="E366" t="str">
        <f>_xlfn.XLOOKUP(B366,'Payee Ref'!A:A,'Payee Ref'!C:C,"unassigned",0,1)</f>
        <v>Luxury</v>
      </c>
      <c r="F366" t="s">
        <v>2558</v>
      </c>
    </row>
    <row r="367" spans="1:6" x14ac:dyDescent="0.2">
      <c r="A367" s="63">
        <v>45983</v>
      </c>
      <c r="B367" t="s">
        <v>2531</v>
      </c>
      <c r="C367">
        <v>-1500</v>
      </c>
      <c r="D367">
        <f>_xlfn.XLOOKUP(B367,'Payee Ref'!A:A,'Payee Ref'!B:B,"unassigned",0,1)</f>
        <v>0</v>
      </c>
      <c r="E367">
        <f>_xlfn.XLOOKUP(B367,'Payee Ref'!A:A,'Payee Ref'!C:C,"unassigned",0,1)</f>
        <v>0</v>
      </c>
      <c r="F367" t="s">
        <v>2558</v>
      </c>
    </row>
    <row r="368" spans="1:6" hidden="1" x14ac:dyDescent="0.2">
      <c r="A368" s="63">
        <v>45985</v>
      </c>
      <c r="B368" t="s">
        <v>75</v>
      </c>
      <c r="C368">
        <v>-39</v>
      </c>
      <c r="D368" t="str">
        <f>_xlfn.XLOOKUP(B368,'Payee Ref'!A:A,'Payee Ref'!B:B,"unassigned",0,1)</f>
        <v>Bank Fees</v>
      </c>
      <c r="E368" t="str">
        <f>_xlfn.XLOOKUP(B368,'Payee Ref'!A:A,'Payee Ref'!C:C,"unassigned",0,1)</f>
        <v>Luxury</v>
      </c>
      <c r="F368" t="s">
        <v>2558</v>
      </c>
    </row>
    <row r="369" spans="1:6" x14ac:dyDescent="0.2">
      <c r="A369" s="63">
        <v>45985</v>
      </c>
      <c r="B369" t="s">
        <v>2528</v>
      </c>
      <c r="C369">
        <v>-7.69</v>
      </c>
      <c r="D369">
        <f>_xlfn.XLOOKUP(B369,'Payee Ref'!A:A,'Payee Ref'!B:B,"unassigned",0,1)</f>
        <v>0</v>
      </c>
      <c r="E369">
        <f>_xlfn.XLOOKUP(B369,'Payee Ref'!A:A,'Payee Ref'!C:C,"unassigned",0,1)</f>
        <v>0</v>
      </c>
      <c r="F369" t="s">
        <v>2558</v>
      </c>
    </row>
    <row r="370" spans="1:6" x14ac:dyDescent="0.2">
      <c r="A370" s="63">
        <v>45985</v>
      </c>
      <c r="B370" t="s">
        <v>2529</v>
      </c>
      <c r="C370">
        <v>-750</v>
      </c>
      <c r="D370">
        <f>_xlfn.XLOOKUP(B370,'Payee Ref'!A:A,'Payee Ref'!B:B,"unassigned",0,1)</f>
        <v>0</v>
      </c>
      <c r="E370">
        <f>_xlfn.XLOOKUP(B370,'Payee Ref'!A:A,'Payee Ref'!C:C,"unassigned",0,1)</f>
        <v>0</v>
      </c>
      <c r="F370" t="s">
        <v>2558</v>
      </c>
    </row>
    <row r="371" spans="1:6" x14ac:dyDescent="0.2">
      <c r="A371" s="63">
        <v>45985</v>
      </c>
      <c r="B371" t="s">
        <v>2530</v>
      </c>
      <c r="C371">
        <v>-75</v>
      </c>
      <c r="D371">
        <f>_xlfn.XLOOKUP(B371,'Payee Ref'!A:A,'Payee Ref'!B:B,"unassigned",0,1)</f>
        <v>0</v>
      </c>
      <c r="E371">
        <f>_xlfn.XLOOKUP(B371,'Payee Ref'!A:A,'Payee Ref'!C:C,"unassigned",0,1)</f>
        <v>0</v>
      </c>
      <c r="F371" t="s">
        <v>2558</v>
      </c>
    </row>
    <row r="372" spans="1:6" hidden="1" x14ac:dyDescent="0.2">
      <c r="A372" s="63">
        <v>45986</v>
      </c>
      <c r="B372" t="s">
        <v>70</v>
      </c>
      <c r="C372">
        <v>-178.53</v>
      </c>
      <c r="D372" t="str">
        <f>_xlfn.XLOOKUP(B372,'Payee Ref'!A:A,'Payee Ref'!B:B,"unassigned",0,1)</f>
        <v>Bank Fees</v>
      </c>
      <c r="E372" t="str">
        <f>_xlfn.XLOOKUP(B372,'Payee Ref'!A:A,'Payee Ref'!C:C,"unassigned",0,1)</f>
        <v>Luxury</v>
      </c>
      <c r="F372" t="s">
        <v>2558</v>
      </c>
    </row>
    <row r="373" spans="1:6" hidden="1" x14ac:dyDescent="0.2">
      <c r="A373" s="63">
        <v>45986</v>
      </c>
      <c r="B373" t="s">
        <v>369</v>
      </c>
      <c r="C373">
        <v>-8.83</v>
      </c>
      <c r="D373" t="str">
        <f>_xlfn.XLOOKUP(B373,'Payee Ref'!A:A,'Payee Ref'!B:B,"unassigned",0,1)</f>
        <v>Dining</v>
      </c>
      <c r="E373" t="str">
        <f>_xlfn.XLOOKUP(B373,'Payee Ref'!A:A,'Payee Ref'!C:C,"unassigned",0,1)</f>
        <v>Luxury</v>
      </c>
      <c r="F373" t="s">
        <v>2558</v>
      </c>
    </row>
    <row r="374" spans="1:6" x14ac:dyDescent="0.2">
      <c r="A374" s="63">
        <v>45986</v>
      </c>
      <c r="B374" t="s">
        <v>2527</v>
      </c>
      <c r="C374">
        <v>-71.989999999999995</v>
      </c>
      <c r="D374">
        <f>_xlfn.XLOOKUP(B374,'Payee Ref'!A:A,'Payee Ref'!B:B,"unassigned",0,1)</f>
        <v>0</v>
      </c>
      <c r="E374">
        <f>_xlfn.XLOOKUP(B374,'Payee Ref'!A:A,'Payee Ref'!C:C,"unassigned",0,1)</f>
        <v>0</v>
      </c>
      <c r="F374" t="s">
        <v>2558</v>
      </c>
    </row>
    <row r="375" spans="1:6" hidden="1" x14ac:dyDescent="0.2">
      <c r="A375" s="63">
        <v>45986</v>
      </c>
      <c r="B375" t="s">
        <v>159</v>
      </c>
      <c r="C375">
        <v>7402.41</v>
      </c>
      <c r="D375" t="str">
        <f>_xlfn.XLOOKUP(B375,'Payee Ref'!A:A,'Payee Ref'!B:B,"unassigned",0,1)</f>
        <v>Credit Card Payment</v>
      </c>
      <c r="E375" t="str">
        <f>_xlfn.XLOOKUP(B375,'Payee Ref'!A:A,'Payee Ref'!C:C,"unassigned",0,1)</f>
        <v>Basic</v>
      </c>
      <c r="F375" t="s">
        <v>2558</v>
      </c>
    </row>
  </sheetData>
  <autoFilter ref="A1:F375" xr:uid="{3ED07787-CB02-EA4A-BCB1-9C33738DEC1B}">
    <filterColumn colId="4">
      <filters>
        <filter val="unassigned"/>
      </filters>
    </filterColumn>
  </autoFilter>
  <sortState xmlns:xlrd2="http://schemas.microsoft.com/office/spreadsheetml/2017/richdata2" ref="A2:F375">
    <sortCondition ref="A2:A375"/>
  </sortState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C1A2E-A23B-BF45-8920-9FBFE34E478C}">
  <dimension ref="A2:D1899"/>
  <sheetViews>
    <sheetView tabSelected="1" topLeftCell="A1834" zoomScale="130" zoomScaleNormal="130" workbookViewId="0">
      <selection activeCell="B921" sqref="B921"/>
    </sheetView>
  </sheetViews>
  <sheetFormatPr baseColWidth="10" defaultRowHeight="16" x14ac:dyDescent="0.2"/>
  <cols>
    <col min="1" max="1" width="91.5" customWidth="1"/>
    <col min="2" max="2" width="19.1640625" bestFit="1" customWidth="1"/>
    <col min="3" max="3" width="19.1640625" customWidth="1"/>
    <col min="4" max="4" width="37.1640625" bestFit="1" customWidth="1"/>
  </cols>
  <sheetData>
    <row r="2" spans="1:4" x14ac:dyDescent="0.2">
      <c r="A2" s="1" t="s">
        <v>0</v>
      </c>
      <c r="B2" s="1" t="s">
        <v>1</v>
      </c>
      <c r="C2" s="2" t="s">
        <v>2</v>
      </c>
      <c r="D2" t="s">
        <v>3</v>
      </c>
    </row>
    <row r="3" spans="1:4" x14ac:dyDescent="0.2">
      <c r="A3" s="28" t="s">
        <v>1384</v>
      </c>
    </row>
    <row r="4" spans="1:4" x14ac:dyDescent="0.2">
      <c r="A4" t="s">
        <v>164</v>
      </c>
      <c r="B4" t="s">
        <v>165</v>
      </c>
      <c r="C4" t="s">
        <v>45</v>
      </c>
    </row>
    <row r="5" spans="1:4" x14ac:dyDescent="0.2">
      <c r="A5" s="28" t="s">
        <v>1260</v>
      </c>
      <c r="B5" t="s">
        <v>5</v>
      </c>
      <c r="C5" t="s">
        <v>6</v>
      </c>
    </row>
    <row r="6" spans="1:4" x14ac:dyDescent="0.2">
      <c r="A6" s="28" t="s">
        <v>1260</v>
      </c>
      <c r="B6" t="s">
        <v>5</v>
      </c>
      <c r="C6" t="s">
        <v>6</v>
      </c>
    </row>
    <row r="7" spans="1:4" x14ac:dyDescent="0.2">
      <c r="A7" s="28" t="s">
        <v>1298</v>
      </c>
      <c r="B7" t="s">
        <v>165</v>
      </c>
      <c r="C7" t="s">
        <v>45</v>
      </c>
    </row>
    <row r="8" spans="1:4" x14ac:dyDescent="0.2">
      <c r="A8" t="s">
        <v>513</v>
      </c>
      <c r="B8" t="s">
        <v>514</v>
      </c>
      <c r="C8" t="s">
        <v>45</v>
      </c>
      <c r="D8" t="s">
        <v>515</v>
      </c>
    </row>
    <row r="9" spans="1:4" x14ac:dyDescent="0.2">
      <c r="A9" s="28" t="s">
        <v>1423</v>
      </c>
      <c r="B9" t="s">
        <v>956</v>
      </c>
      <c r="C9" t="s">
        <v>45</v>
      </c>
    </row>
    <row r="10" spans="1:4" x14ac:dyDescent="0.2">
      <c r="A10" t="s">
        <v>4</v>
      </c>
      <c r="B10" t="s">
        <v>5</v>
      </c>
      <c r="C10" t="s">
        <v>6</v>
      </c>
      <c r="D10" t="s">
        <v>7</v>
      </c>
    </row>
    <row r="11" spans="1:4" x14ac:dyDescent="0.2">
      <c r="A11" s="3" t="s">
        <v>8</v>
      </c>
      <c r="B11" t="s">
        <v>5</v>
      </c>
      <c r="C11" t="s">
        <v>6</v>
      </c>
    </row>
    <row r="12" spans="1:4" x14ac:dyDescent="0.2">
      <c r="A12" s="28" t="s">
        <v>1659</v>
      </c>
      <c r="B12" t="s">
        <v>514</v>
      </c>
      <c r="C12" t="s">
        <v>6</v>
      </c>
    </row>
    <row r="13" spans="1:4" x14ac:dyDescent="0.2">
      <c r="A13" s="28" t="s">
        <v>1677</v>
      </c>
      <c r="B13" t="s">
        <v>514</v>
      </c>
      <c r="C13" t="s">
        <v>6</v>
      </c>
    </row>
    <row r="14" spans="1:4" x14ac:dyDescent="0.2">
      <c r="A14" s="28" t="s">
        <v>1760</v>
      </c>
      <c r="B14" t="s">
        <v>5</v>
      </c>
      <c r="C14" t="s">
        <v>6</v>
      </c>
    </row>
    <row r="15" spans="1:4" x14ac:dyDescent="0.2">
      <c r="A15" s="3" t="s">
        <v>9</v>
      </c>
      <c r="B15" t="s">
        <v>5</v>
      </c>
      <c r="C15" t="s">
        <v>6</v>
      </c>
    </row>
    <row r="16" spans="1:4" x14ac:dyDescent="0.2">
      <c r="A16" t="s">
        <v>10</v>
      </c>
      <c r="B16" t="s">
        <v>5</v>
      </c>
      <c r="C16" t="s">
        <v>6</v>
      </c>
      <c r="D16" t="s">
        <v>7</v>
      </c>
    </row>
    <row r="17" spans="1:4" x14ac:dyDescent="0.2">
      <c r="A17" t="s">
        <v>11</v>
      </c>
      <c r="B17" t="s">
        <v>5</v>
      </c>
      <c r="C17" t="s">
        <v>6</v>
      </c>
    </row>
    <row r="18" spans="1:4" x14ac:dyDescent="0.2">
      <c r="A18" s="28" t="s">
        <v>1422</v>
      </c>
      <c r="B18" t="s">
        <v>956</v>
      </c>
      <c r="C18" t="s">
        <v>45</v>
      </c>
    </row>
    <row r="19" spans="1:4" x14ac:dyDescent="0.2">
      <c r="A19" t="s">
        <v>1169</v>
      </c>
      <c r="B19" t="s">
        <v>1170</v>
      </c>
      <c r="C19" t="s">
        <v>45</v>
      </c>
    </row>
    <row r="20" spans="1:4" x14ac:dyDescent="0.2">
      <c r="A20" t="s">
        <v>166</v>
      </c>
      <c r="B20" t="s">
        <v>165</v>
      </c>
      <c r="C20" t="s">
        <v>45</v>
      </c>
    </row>
    <row r="21" spans="1:4" x14ac:dyDescent="0.2">
      <c r="A21" s="3" t="s">
        <v>1184</v>
      </c>
      <c r="B21" t="s">
        <v>956</v>
      </c>
      <c r="C21" t="s">
        <v>45</v>
      </c>
    </row>
    <row r="22" spans="1:4" x14ac:dyDescent="0.2">
      <c r="A22" t="s">
        <v>167</v>
      </c>
      <c r="B22" t="s">
        <v>165</v>
      </c>
      <c r="C22" t="s">
        <v>45</v>
      </c>
    </row>
    <row r="23" spans="1:4" x14ac:dyDescent="0.2">
      <c r="A23" t="s">
        <v>795</v>
      </c>
      <c r="B23" t="s">
        <v>796</v>
      </c>
      <c r="C23" t="s">
        <v>6</v>
      </c>
    </row>
    <row r="24" spans="1:4" x14ac:dyDescent="0.2">
      <c r="A24" s="28" t="s">
        <v>1684</v>
      </c>
      <c r="B24" t="s">
        <v>796</v>
      </c>
      <c r="C24" t="s">
        <v>6</v>
      </c>
    </row>
    <row r="25" spans="1:4" x14ac:dyDescent="0.2">
      <c r="A25" t="s">
        <v>12</v>
      </c>
      <c r="B25" t="s">
        <v>5</v>
      </c>
      <c r="C25" t="s">
        <v>6</v>
      </c>
    </row>
    <row r="26" spans="1:4" x14ac:dyDescent="0.2">
      <c r="A26" t="s">
        <v>890</v>
      </c>
      <c r="B26" t="s">
        <v>891</v>
      </c>
      <c r="C26" t="s">
        <v>45</v>
      </c>
      <c r="D26" t="s">
        <v>892</v>
      </c>
    </row>
    <row r="27" spans="1:4" x14ac:dyDescent="0.2">
      <c r="A27" t="s">
        <v>2542</v>
      </c>
    </row>
    <row r="28" spans="1:4" x14ac:dyDescent="0.2">
      <c r="A28" s="19" t="s">
        <v>900</v>
      </c>
      <c r="B28" t="s">
        <v>901</v>
      </c>
      <c r="C28" t="s">
        <v>45</v>
      </c>
    </row>
    <row r="29" spans="1:4" x14ac:dyDescent="0.2">
      <c r="A29" s="28" t="s">
        <v>1370</v>
      </c>
      <c r="B29" t="s">
        <v>956</v>
      </c>
      <c r="C29" t="s">
        <v>45</v>
      </c>
    </row>
    <row r="30" spans="1:4" x14ac:dyDescent="0.2">
      <c r="A30" t="s">
        <v>955</v>
      </c>
      <c r="B30" t="s">
        <v>956</v>
      </c>
      <c r="C30" t="s">
        <v>45</v>
      </c>
      <c r="D30" s="4"/>
    </row>
    <row r="31" spans="1:4" x14ac:dyDescent="0.2">
      <c r="A31" s="28" t="s">
        <v>1526</v>
      </c>
      <c r="B31" t="s">
        <v>956</v>
      </c>
      <c r="C31" t="s">
        <v>45</v>
      </c>
    </row>
    <row r="32" spans="1:4" x14ac:dyDescent="0.2">
      <c r="A32" s="28" t="s">
        <v>1376</v>
      </c>
      <c r="B32" t="s">
        <v>165</v>
      </c>
      <c r="C32" t="s">
        <v>45</v>
      </c>
    </row>
    <row r="33" spans="1:4" x14ac:dyDescent="0.2">
      <c r="A33" t="s">
        <v>638</v>
      </c>
      <c r="B33" t="s">
        <v>639</v>
      </c>
      <c r="C33" t="s">
        <v>45</v>
      </c>
      <c r="D33" t="s">
        <v>640</v>
      </c>
    </row>
    <row r="34" spans="1:4" x14ac:dyDescent="0.2">
      <c r="A34" s="10" t="s">
        <v>957</v>
      </c>
      <c r="B34" s="10" t="s">
        <v>956</v>
      </c>
      <c r="C34" t="s">
        <v>45</v>
      </c>
      <c r="D34" t="s">
        <v>958</v>
      </c>
    </row>
    <row r="35" spans="1:4" x14ac:dyDescent="0.2">
      <c r="A35" s="28" t="s">
        <v>1444</v>
      </c>
      <c r="B35" s="6" t="s">
        <v>956</v>
      </c>
      <c r="C35" s="6" t="s">
        <v>45</v>
      </c>
    </row>
    <row r="36" spans="1:4" x14ac:dyDescent="0.2">
      <c r="A36" s="3" t="s">
        <v>959</v>
      </c>
      <c r="B36" t="s">
        <v>956</v>
      </c>
      <c r="C36" t="s">
        <v>45</v>
      </c>
    </row>
    <row r="37" spans="1:4" x14ac:dyDescent="0.2">
      <c r="A37" s="3" t="s">
        <v>960</v>
      </c>
      <c r="B37" t="s">
        <v>956</v>
      </c>
      <c r="C37" t="s">
        <v>45</v>
      </c>
    </row>
    <row r="38" spans="1:4" x14ac:dyDescent="0.2">
      <c r="A38" t="s">
        <v>834</v>
      </c>
      <c r="B38" t="s">
        <v>835</v>
      </c>
      <c r="C38" t="s">
        <v>45</v>
      </c>
      <c r="D38" t="s">
        <v>20</v>
      </c>
    </row>
    <row r="39" spans="1:4" x14ac:dyDescent="0.2">
      <c r="A39" s="3" t="s">
        <v>961</v>
      </c>
      <c r="B39" t="s">
        <v>956</v>
      </c>
      <c r="C39" t="s">
        <v>45</v>
      </c>
    </row>
    <row r="40" spans="1:4" x14ac:dyDescent="0.2">
      <c r="A40" s="3" t="s">
        <v>641</v>
      </c>
      <c r="B40" t="s">
        <v>639</v>
      </c>
      <c r="C40" t="s">
        <v>6</v>
      </c>
    </row>
    <row r="41" spans="1:4" x14ac:dyDescent="0.2">
      <c r="A41" s="28" t="s">
        <v>1461</v>
      </c>
      <c r="B41" t="s">
        <v>639</v>
      </c>
      <c r="C41" t="s">
        <v>6</v>
      </c>
    </row>
    <row r="42" spans="1:4" x14ac:dyDescent="0.2">
      <c r="A42" s="28" t="s">
        <v>1461</v>
      </c>
      <c r="B42" t="s">
        <v>639</v>
      </c>
      <c r="C42" t="s">
        <v>6</v>
      </c>
    </row>
    <row r="43" spans="1:4" x14ac:dyDescent="0.2">
      <c r="A43" s="28" t="s">
        <v>1461</v>
      </c>
      <c r="B43" t="s">
        <v>639</v>
      </c>
      <c r="C43" t="s">
        <v>6</v>
      </c>
    </row>
    <row r="44" spans="1:4" x14ac:dyDescent="0.2">
      <c r="A44" s="28" t="s">
        <v>1461</v>
      </c>
      <c r="B44" t="s">
        <v>639</v>
      </c>
      <c r="C44" t="s">
        <v>6</v>
      </c>
    </row>
    <row r="45" spans="1:4" x14ac:dyDescent="0.2">
      <c r="A45" s="28" t="s">
        <v>1461</v>
      </c>
      <c r="B45" t="s">
        <v>639</v>
      </c>
      <c r="C45" t="s">
        <v>6</v>
      </c>
    </row>
    <row r="46" spans="1:4" x14ac:dyDescent="0.2">
      <c r="A46" t="s">
        <v>642</v>
      </c>
      <c r="B46" t="s">
        <v>639</v>
      </c>
      <c r="C46" t="s">
        <v>6</v>
      </c>
      <c r="D46" t="s">
        <v>643</v>
      </c>
    </row>
    <row r="47" spans="1:4" x14ac:dyDescent="0.2">
      <c r="A47" t="s">
        <v>644</v>
      </c>
      <c r="B47" t="s">
        <v>639</v>
      </c>
      <c r="C47" t="s">
        <v>6</v>
      </c>
      <c r="D47" t="s">
        <v>643</v>
      </c>
    </row>
    <row r="48" spans="1:4" x14ac:dyDescent="0.2">
      <c r="A48" s="53" t="s">
        <v>1707</v>
      </c>
      <c r="B48" t="s">
        <v>639</v>
      </c>
      <c r="C48" t="s">
        <v>6</v>
      </c>
    </row>
    <row r="49" spans="1:4" x14ac:dyDescent="0.2">
      <c r="A49" t="s">
        <v>645</v>
      </c>
      <c r="B49" t="s">
        <v>639</v>
      </c>
      <c r="C49" t="s">
        <v>6</v>
      </c>
      <c r="D49" t="s">
        <v>643</v>
      </c>
    </row>
    <row r="50" spans="1:4" x14ac:dyDescent="0.2">
      <c r="A50" s="53" t="s">
        <v>1826</v>
      </c>
      <c r="B50" t="s">
        <v>639</v>
      </c>
      <c r="C50" t="s">
        <v>6</v>
      </c>
    </row>
    <row r="51" spans="1:4" x14ac:dyDescent="0.2">
      <c r="A51" t="s">
        <v>646</v>
      </c>
      <c r="B51" t="s">
        <v>639</v>
      </c>
      <c r="C51" t="s">
        <v>6</v>
      </c>
      <c r="D51" t="s">
        <v>643</v>
      </c>
    </row>
    <row r="52" spans="1:4" x14ac:dyDescent="0.2">
      <c r="A52" t="s">
        <v>647</v>
      </c>
      <c r="B52" t="s">
        <v>639</v>
      </c>
      <c r="C52" t="s">
        <v>6</v>
      </c>
    </row>
    <row r="53" spans="1:4" x14ac:dyDescent="0.2">
      <c r="A53" t="s">
        <v>648</v>
      </c>
      <c r="B53" t="s">
        <v>639</v>
      </c>
      <c r="C53" t="s">
        <v>6</v>
      </c>
      <c r="D53" t="s">
        <v>643</v>
      </c>
    </row>
    <row r="54" spans="1:4" x14ac:dyDescent="0.2">
      <c r="A54" s="53" t="s">
        <v>1841</v>
      </c>
      <c r="B54" t="s">
        <v>639</v>
      </c>
      <c r="C54" t="s">
        <v>6</v>
      </c>
    </row>
    <row r="55" spans="1:4" x14ac:dyDescent="0.2">
      <c r="A55" t="s">
        <v>649</v>
      </c>
      <c r="B55" t="s">
        <v>639</v>
      </c>
      <c r="C55" t="s">
        <v>6</v>
      </c>
    </row>
    <row r="56" spans="1:4" x14ac:dyDescent="0.2">
      <c r="A56" t="s">
        <v>650</v>
      </c>
      <c r="B56" t="s">
        <v>639</v>
      </c>
      <c r="C56" t="s">
        <v>6</v>
      </c>
      <c r="D56" t="s">
        <v>643</v>
      </c>
    </row>
    <row r="57" spans="1:4" x14ac:dyDescent="0.2">
      <c r="A57" t="s">
        <v>651</v>
      </c>
      <c r="B57" t="s">
        <v>639</v>
      </c>
      <c r="C57" t="s">
        <v>6</v>
      </c>
      <c r="D57" t="s">
        <v>643</v>
      </c>
    </row>
    <row r="58" spans="1:4" x14ac:dyDescent="0.2">
      <c r="A58" t="s">
        <v>652</v>
      </c>
      <c r="B58" t="s">
        <v>639</v>
      </c>
      <c r="C58" t="s">
        <v>6</v>
      </c>
      <c r="D58" t="s">
        <v>643</v>
      </c>
    </row>
    <row r="59" spans="1:4" x14ac:dyDescent="0.2">
      <c r="A59" t="s">
        <v>653</v>
      </c>
      <c r="B59" t="s">
        <v>639</v>
      </c>
      <c r="C59" t="s">
        <v>6</v>
      </c>
      <c r="D59" t="s">
        <v>643</v>
      </c>
    </row>
    <row r="60" spans="1:4" x14ac:dyDescent="0.2">
      <c r="A60" t="s">
        <v>654</v>
      </c>
      <c r="B60" t="s">
        <v>639</v>
      </c>
      <c r="C60" t="s">
        <v>6</v>
      </c>
      <c r="D60" t="s">
        <v>643</v>
      </c>
    </row>
    <row r="61" spans="1:4" x14ac:dyDescent="0.2">
      <c r="A61" t="s">
        <v>655</v>
      </c>
      <c r="B61" t="s">
        <v>639</v>
      </c>
      <c r="C61" t="s">
        <v>6</v>
      </c>
      <c r="D61" t="s">
        <v>643</v>
      </c>
    </row>
    <row r="62" spans="1:4" x14ac:dyDescent="0.2">
      <c r="A62" t="s">
        <v>656</v>
      </c>
      <c r="B62" t="s">
        <v>639</v>
      </c>
      <c r="C62" t="s">
        <v>6</v>
      </c>
      <c r="D62" t="s">
        <v>643</v>
      </c>
    </row>
    <row r="63" spans="1:4" x14ac:dyDescent="0.2">
      <c r="A63" t="s">
        <v>657</v>
      </c>
      <c r="B63" t="s">
        <v>639</v>
      </c>
      <c r="C63" t="s">
        <v>6</v>
      </c>
      <c r="D63" t="s">
        <v>643</v>
      </c>
    </row>
    <row r="64" spans="1:4" x14ac:dyDescent="0.2">
      <c r="A64" t="s">
        <v>658</v>
      </c>
      <c r="B64" t="s">
        <v>639</v>
      </c>
      <c r="C64" t="s">
        <v>6</v>
      </c>
      <c r="D64" t="s">
        <v>643</v>
      </c>
    </row>
    <row r="65" spans="1:4" x14ac:dyDescent="0.2">
      <c r="A65" t="s">
        <v>659</v>
      </c>
      <c r="B65" t="s">
        <v>639</v>
      </c>
      <c r="C65" t="s">
        <v>6</v>
      </c>
      <c r="D65" t="s">
        <v>643</v>
      </c>
    </row>
    <row r="66" spans="1:4" x14ac:dyDescent="0.2">
      <c r="A66" t="s">
        <v>660</v>
      </c>
      <c r="B66" t="s">
        <v>639</v>
      </c>
      <c r="C66" t="s">
        <v>6</v>
      </c>
      <c r="D66" t="s">
        <v>643</v>
      </c>
    </row>
    <row r="67" spans="1:4" x14ac:dyDescent="0.2">
      <c r="A67" t="s">
        <v>661</v>
      </c>
      <c r="B67" t="s">
        <v>639</v>
      </c>
      <c r="C67" t="s">
        <v>6</v>
      </c>
      <c r="D67" t="s">
        <v>643</v>
      </c>
    </row>
    <row r="68" spans="1:4" x14ac:dyDescent="0.2">
      <c r="A68" t="s">
        <v>662</v>
      </c>
      <c r="B68" t="s">
        <v>639</v>
      </c>
      <c r="C68" t="s">
        <v>6</v>
      </c>
      <c r="D68" t="s">
        <v>643</v>
      </c>
    </row>
    <row r="69" spans="1:4" x14ac:dyDescent="0.2">
      <c r="A69" t="s">
        <v>663</v>
      </c>
      <c r="B69" t="s">
        <v>639</v>
      </c>
      <c r="C69" t="s">
        <v>6</v>
      </c>
      <c r="D69" t="s">
        <v>643</v>
      </c>
    </row>
    <row r="70" spans="1:4" x14ac:dyDescent="0.2">
      <c r="A70" t="s">
        <v>664</v>
      </c>
      <c r="B70" t="s">
        <v>639</v>
      </c>
      <c r="C70" t="s">
        <v>6</v>
      </c>
      <c r="D70" t="s">
        <v>643</v>
      </c>
    </row>
    <row r="71" spans="1:4" x14ac:dyDescent="0.2">
      <c r="A71" t="s">
        <v>665</v>
      </c>
      <c r="B71" t="s">
        <v>639</v>
      </c>
      <c r="C71" t="s">
        <v>6</v>
      </c>
      <c r="D71" t="s">
        <v>643</v>
      </c>
    </row>
    <row r="72" spans="1:4" x14ac:dyDescent="0.2">
      <c r="A72" t="s">
        <v>666</v>
      </c>
      <c r="B72" t="s">
        <v>639</v>
      </c>
      <c r="C72" t="s">
        <v>6</v>
      </c>
    </row>
    <row r="73" spans="1:4" x14ac:dyDescent="0.2">
      <c r="A73" t="s">
        <v>667</v>
      </c>
      <c r="B73" t="s">
        <v>639</v>
      </c>
      <c r="C73" t="s">
        <v>6</v>
      </c>
      <c r="D73" t="s">
        <v>643</v>
      </c>
    </row>
    <row r="74" spans="1:4" x14ac:dyDescent="0.2">
      <c r="A74" t="s">
        <v>668</v>
      </c>
      <c r="B74" t="s">
        <v>639</v>
      </c>
      <c r="C74" t="s">
        <v>6</v>
      </c>
      <c r="D74" t="s">
        <v>643</v>
      </c>
    </row>
    <row r="75" spans="1:4" x14ac:dyDescent="0.2">
      <c r="A75" t="s">
        <v>669</v>
      </c>
      <c r="B75" t="s">
        <v>639</v>
      </c>
      <c r="C75" t="s">
        <v>6</v>
      </c>
    </row>
    <row r="76" spans="1:4" x14ac:dyDescent="0.2">
      <c r="A76" s="28" t="s">
        <v>1369</v>
      </c>
      <c r="B76" t="s">
        <v>639</v>
      </c>
      <c r="C76" t="s">
        <v>6</v>
      </c>
    </row>
    <row r="77" spans="1:4" x14ac:dyDescent="0.2">
      <c r="A77" s="3" t="s">
        <v>670</v>
      </c>
      <c r="B77" t="s">
        <v>639</v>
      </c>
      <c r="C77" t="s">
        <v>6</v>
      </c>
    </row>
    <row r="78" spans="1:4" x14ac:dyDescent="0.2">
      <c r="A78" s="28" t="s">
        <v>1364</v>
      </c>
      <c r="B78" t="s">
        <v>639</v>
      </c>
      <c r="C78" t="s">
        <v>6</v>
      </c>
    </row>
    <row r="79" spans="1:4" x14ac:dyDescent="0.2">
      <c r="A79" t="s">
        <v>671</v>
      </c>
      <c r="B79" t="s">
        <v>639</v>
      </c>
      <c r="C79" t="s">
        <v>6</v>
      </c>
      <c r="D79" t="s">
        <v>643</v>
      </c>
    </row>
    <row r="80" spans="1:4" x14ac:dyDescent="0.2">
      <c r="A80" t="s">
        <v>672</v>
      </c>
      <c r="B80" t="s">
        <v>639</v>
      </c>
      <c r="C80" t="s">
        <v>6</v>
      </c>
    </row>
    <row r="81" spans="1:4" x14ac:dyDescent="0.2">
      <c r="A81" t="s">
        <v>673</v>
      </c>
      <c r="B81" t="s">
        <v>639</v>
      </c>
      <c r="C81" t="s">
        <v>6</v>
      </c>
      <c r="D81" t="s">
        <v>643</v>
      </c>
    </row>
    <row r="82" spans="1:4" x14ac:dyDescent="0.2">
      <c r="A82" t="s">
        <v>674</v>
      </c>
      <c r="B82" t="s">
        <v>639</v>
      </c>
      <c r="C82" t="s">
        <v>6</v>
      </c>
      <c r="D82" t="s">
        <v>643</v>
      </c>
    </row>
    <row r="83" spans="1:4" x14ac:dyDescent="0.2">
      <c r="A83" s="3" t="s">
        <v>675</v>
      </c>
      <c r="B83" t="s">
        <v>639</v>
      </c>
      <c r="C83" t="s">
        <v>6</v>
      </c>
    </row>
    <row r="84" spans="1:4" x14ac:dyDescent="0.2">
      <c r="A84" t="s">
        <v>676</v>
      </c>
      <c r="B84" t="s">
        <v>639</v>
      </c>
      <c r="C84" t="s">
        <v>6</v>
      </c>
      <c r="D84" t="s">
        <v>643</v>
      </c>
    </row>
    <row r="85" spans="1:4" x14ac:dyDescent="0.2">
      <c r="A85" s="28" t="s">
        <v>1493</v>
      </c>
      <c r="B85" t="s">
        <v>639</v>
      </c>
      <c r="C85" t="s">
        <v>6</v>
      </c>
    </row>
    <row r="86" spans="1:4" x14ac:dyDescent="0.2">
      <c r="A86" t="s">
        <v>677</v>
      </c>
      <c r="B86" t="s">
        <v>639</v>
      </c>
      <c r="C86" t="s">
        <v>6</v>
      </c>
      <c r="D86" t="s">
        <v>643</v>
      </c>
    </row>
    <row r="87" spans="1:4" x14ac:dyDescent="0.2">
      <c r="A87" t="s">
        <v>678</v>
      </c>
      <c r="B87" t="s">
        <v>639</v>
      </c>
      <c r="C87" t="s">
        <v>6</v>
      </c>
    </row>
    <row r="88" spans="1:4" x14ac:dyDescent="0.2">
      <c r="A88" t="s">
        <v>679</v>
      </c>
      <c r="B88" t="s">
        <v>639</v>
      </c>
      <c r="C88" t="s">
        <v>6</v>
      </c>
      <c r="D88" t="s">
        <v>643</v>
      </c>
    </row>
    <row r="89" spans="1:4" x14ac:dyDescent="0.2">
      <c r="A89" t="s">
        <v>680</v>
      </c>
      <c r="B89" t="s">
        <v>639</v>
      </c>
      <c r="C89" t="s">
        <v>6</v>
      </c>
    </row>
    <row r="90" spans="1:4" x14ac:dyDescent="0.2">
      <c r="A90" s="28" t="s">
        <v>1332</v>
      </c>
      <c r="B90" t="s">
        <v>639</v>
      </c>
      <c r="C90" t="s">
        <v>6</v>
      </c>
    </row>
    <row r="91" spans="1:4" x14ac:dyDescent="0.2">
      <c r="A91" s="3" t="s">
        <v>681</v>
      </c>
      <c r="B91" t="s">
        <v>639</v>
      </c>
      <c r="C91" t="s">
        <v>6</v>
      </c>
    </row>
    <row r="92" spans="1:4" x14ac:dyDescent="0.2">
      <c r="A92" s="28" t="s">
        <v>1447</v>
      </c>
      <c r="B92" t="s">
        <v>639</v>
      </c>
      <c r="C92" t="s">
        <v>6</v>
      </c>
    </row>
    <row r="93" spans="1:4" x14ac:dyDescent="0.2">
      <c r="A93" s="28" t="s">
        <v>1406</v>
      </c>
      <c r="B93" t="s">
        <v>639</v>
      </c>
      <c r="C93" t="s">
        <v>6</v>
      </c>
    </row>
    <row r="94" spans="1:4" x14ac:dyDescent="0.2">
      <c r="A94" s="28" t="s">
        <v>1306</v>
      </c>
      <c r="B94" t="s">
        <v>639</v>
      </c>
      <c r="C94" t="s">
        <v>6</v>
      </c>
    </row>
    <row r="95" spans="1:4" x14ac:dyDescent="0.2">
      <c r="A95" s="28" t="s">
        <v>1313</v>
      </c>
      <c r="B95" t="s">
        <v>639</v>
      </c>
      <c r="C95" t="s">
        <v>6</v>
      </c>
    </row>
    <row r="96" spans="1:4" x14ac:dyDescent="0.2">
      <c r="A96" s="28" t="s">
        <v>1387</v>
      </c>
      <c r="B96" t="s">
        <v>639</v>
      </c>
      <c r="C96" t="s">
        <v>6</v>
      </c>
    </row>
    <row r="97" spans="1:4" x14ac:dyDescent="0.2">
      <c r="A97" s="28" t="s">
        <v>1438</v>
      </c>
      <c r="B97" t="s">
        <v>639</v>
      </c>
      <c r="C97" t="s">
        <v>6</v>
      </c>
    </row>
    <row r="98" spans="1:4" x14ac:dyDescent="0.2">
      <c r="A98" s="3" t="s">
        <v>682</v>
      </c>
      <c r="B98" t="s">
        <v>639</v>
      </c>
      <c r="C98" t="s">
        <v>6</v>
      </c>
    </row>
    <row r="99" spans="1:4" x14ac:dyDescent="0.2">
      <c r="A99" s="28" t="s">
        <v>1462</v>
      </c>
      <c r="B99" t="s">
        <v>639</v>
      </c>
      <c r="C99" t="s">
        <v>6</v>
      </c>
    </row>
    <row r="100" spans="1:4" x14ac:dyDescent="0.2">
      <c r="A100" s="3" t="s">
        <v>683</v>
      </c>
      <c r="B100" t="s">
        <v>639</v>
      </c>
      <c r="C100" t="s">
        <v>6</v>
      </c>
    </row>
    <row r="101" spans="1:4" x14ac:dyDescent="0.2">
      <c r="A101" s="28" t="s">
        <v>1464</v>
      </c>
      <c r="B101" t="s">
        <v>639</v>
      </c>
      <c r="C101" t="s">
        <v>6</v>
      </c>
    </row>
    <row r="102" spans="1:4" x14ac:dyDescent="0.2">
      <c r="A102" t="s">
        <v>684</v>
      </c>
      <c r="B102" t="s">
        <v>639</v>
      </c>
      <c r="C102" t="s">
        <v>6</v>
      </c>
      <c r="D102" t="s">
        <v>643</v>
      </c>
    </row>
    <row r="103" spans="1:4" x14ac:dyDescent="0.2">
      <c r="A103" s="28" t="s">
        <v>1502</v>
      </c>
      <c r="B103" t="s">
        <v>639</v>
      </c>
      <c r="C103" t="s">
        <v>6</v>
      </c>
    </row>
    <row r="104" spans="1:4" x14ac:dyDescent="0.2">
      <c r="A104" s="28" t="s">
        <v>1341</v>
      </c>
      <c r="B104" t="s">
        <v>639</v>
      </c>
      <c r="C104" t="s">
        <v>6</v>
      </c>
    </row>
    <row r="105" spans="1:4" x14ac:dyDescent="0.2">
      <c r="A105" t="s">
        <v>685</v>
      </c>
      <c r="B105" t="s">
        <v>639</v>
      </c>
      <c r="C105" t="s">
        <v>6</v>
      </c>
      <c r="D105" t="s">
        <v>643</v>
      </c>
    </row>
    <row r="106" spans="1:4" x14ac:dyDescent="0.2">
      <c r="A106" t="s">
        <v>686</v>
      </c>
      <c r="B106" t="s">
        <v>639</v>
      </c>
      <c r="C106" t="s">
        <v>6</v>
      </c>
      <c r="D106" t="s">
        <v>643</v>
      </c>
    </row>
    <row r="107" spans="1:4" x14ac:dyDescent="0.2">
      <c r="A107" t="s">
        <v>687</v>
      </c>
      <c r="B107" t="s">
        <v>639</v>
      </c>
      <c r="C107" t="s">
        <v>6</v>
      </c>
    </row>
    <row r="108" spans="1:4" x14ac:dyDescent="0.2">
      <c r="A108" s="32" t="s">
        <v>1473</v>
      </c>
      <c r="B108" t="s">
        <v>639</v>
      </c>
      <c r="C108" t="s">
        <v>6</v>
      </c>
    </row>
    <row r="109" spans="1:4" x14ac:dyDescent="0.2">
      <c r="A109" s="32" t="s">
        <v>1473</v>
      </c>
      <c r="B109" t="s">
        <v>639</v>
      </c>
      <c r="C109" t="s">
        <v>6</v>
      </c>
    </row>
    <row r="110" spans="1:4" x14ac:dyDescent="0.2">
      <c r="A110" s="32" t="s">
        <v>1473</v>
      </c>
      <c r="B110" t="s">
        <v>639</v>
      </c>
      <c r="C110" t="s">
        <v>6</v>
      </c>
    </row>
    <row r="111" spans="1:4" x14ac:dyDescent="0.2">
      <c r="A111" t="s">
        <v>688</v>
      </c>
      <c r="B111" t="s">
        <v>639</v>
      </c>
      <c r="C111" t="s">
        <v>6</v>
      </c>
      <c r="D111" t="s">
        <v>643</v>
      </c>
    </row>
    <row r="112" spans="1:4" x14ac:dyDescent="0.2">
      <c r="A112" s="32" t="s">
        <v>1696</v>
      </c>
      <c r="B112" t="s">
        <v>639</v>
      </c>
      <c r="C112" t="s">
        <v>6</v>
      </c>
    </row>
    <row r="113" spans="1:4" x14ac:dyDescent="0.2">
      <c r="A113" t="s">
        <v>689</v>
      </c>
      <c r="B113" t="s">
        <v>639</v>
      </c>
      <c r="C113" t="s">
        <v>6</v>
      </c>
      <c r="D113" t="s">
        <v>643</v>
      </c>
    </row>
    <row r="114" spans="1:4" x14ac:dyDescent="0.2">
      <c r="A114" t="s">
        <v>690</v>
      </c>
      <c r="B114" t="s">
        <v>639</v>
      </c>
      <c r="C114" t="s">
        <v>6</v>
      </c>
      <c r="D114" t="s">
        <v>643</v>
      </c>
    </row>
    <row r="115" spans="1:4" x14ac:dyDescent="0.2">
      <c r="A115" t="s">
        <v>691</v>
      </c>
      <c r="B115" t="s">
        <v>639</v>
      </c>
      <c r="C115" t="s">
        <v>6</v>
      </c>
      <c r="D115" t="s">
        <v>643</v>
      </c>
    </row>
    <row r="116" spans="1:4" x14ac:dyDescent="0.2">
      <c r="A116" t="s">
        <v>692</v>
      </c>
      <c r="B116" t="s">
        <v>639</v>
      </c>
      <c r="C116" t="s">
        <v>6</v>
      </c>
    </row>
    <row r="117" spans="1:4" x14ac:dyDescent="0.2">
      <c r="A117" t="s">
        <v>693</v>
      </c>
      <c r="B117" t="s">
        <v>639</v>
      </c>
      <c r="C117" t="s">
        <v>6</v>
      </c>
      <c r="D117" t="s">
        <v>643</v>
      </c>
    </row>
    <row r="118" spans="1:4" x14ac:dyDescent="0.2">
      <c r="A118" t="s">
        <v>694</v>
      </c>
      <c r="B118" t="s">
        <v>639</v>
      </c>
      <c r="C118" t="s">
        <v>6</v>
      </c>
      <c r="D118" t="s">
        <v>643</v>
      </c>
    </row>
    <row r="119" spans="1:4" x14ac:dyDescent="0.2">
      <c r="A119" t="s">
        <v>695</v>
      </c>
      <c r="B119" t="s">
        <v>639</v>
      </c>
      <c r="C119" t="s">
        <v>6</v>
      </c>
      <c r="D119" t="s">
        <v>643</v>
      </c>
    </row>
    <row r="120" spans="1:4" x14ac:dyDescent="0.2">
      <c r="A120" t="s">
        <v>696</v>
      </c>
      <c r="B120" t="s">
        <v>639</v>
      </c>
      <c r="C120" t="s">
        <v>6</v>
      </c>
      <c r="D120" t="s">
        <v>643</v>
      </c>
    </row>
    <row r="121" spans="1:4" x14ac:dyDescent="0.2">
      <c r="A121" t="s">
        <v>697</v>
      </c>
      <c r="B121" t="s">
        <v>639</v>
      </c>
      <c r="C121" t="s">
        <v>6</v>
      </c>
      <c r="D121" t="s">
        <v>643</v>
      </c>
    </row>
    <row r="122" spans="1:4" x14ac:dyDescent="0.2">
      <c r="A122" t="s">
        <v>698</v>
      </c>
      <c r="B122" t="s">
        <v>639</v>
      </c>
      <c r="C122" t="s">
        <v>6</v>
      </c>
      <c r="D122" t="s">
        <v>643</v>
      </c>
    </row>
    <row r="123" spans="1:4" x14ac:dyDescent="0.2">
      <c r="A123" s="28" t="s">
        <v>1424</v>
      </c>
      <c r="B123" t="s">
        <v>165</v>
      </c>
      <c r="C123" t="s">
        <v>45</v>
      </c>
    </row>
    <row r="124" spans="1:4" x14ac:dyDescent="0.2">
      <c r="A124" s="3" t="s">
        <v>468</v>
      </c>
      <c r="B124" t="s">
        <v>469</v>
      </c>
      <c r="C124" t="s">
        <v>45</v>
      </c>
    </row>
    <row r="125" spans="1:4" x14ac:dyDescent="0.2">
      <c r="A125" s="3" t="s">
        <v>940</v>
      </c>
      <c r="B125" t="s">
        <v>77</v>
      </c>
      <c r="C125" t="s">
        <v>6</v>
      </c>
    </row>
    <row r="126" spans="1:4" x14ac:dyDescent="0.2">
      <c r="A126" t="s">
        <v>940</v>
      </c>
      <c r="B126" t="s">
        <v>77</v>
      </c>
      <c r="C126" t="s">
        <v>6</v>
      </c>
    </row>
    <row r="127" spans="1:4" x14ac:dyDescent="0.2">
      <c r="A127" s="6" t="s">
        <v>153</v>
      </c>
      <c r="B127" s="6" t="s">
        <v>154</v>
      </c>
      <c r="C127" t="s">
        <v>6</v>
      </c>
    </row>
    <row r="128" spans="1:4" x14ac:dyDescent="0.2">
      <c r="A128" s="3" t="s">
        <v>962</v>
      </c>
      <c r="B128" t="s">
        <v>956</v>
      </c>
      <c r="C128" t="s">
        <v>45</v>
      </c>
    </row>
    <row r="129" spans="1:4" x14ac:dyDescent="0.2">
      <c r="A129" s="3" t="s">
        <v>941</v>
      </c>
      <c r="B129" t="s">
        <v>77</v>
      </c>
      <c r="C129" t="s">
        <v>6</v>
      </c>
    </row>
    <row r="130" spans="1:4" x14ac:dyDescent="0.2">
      <c r="A130" s="6" t="s">
        <v>155</v>
      </c>
      <c r="B130" s="6" t="s">
        <v>154</v>
      </c>
      <c r="C130" t="s">
        <v>6</v>
      </c>
    </row>
    <row r="131" spans="1:4" x14ac:dyDescent="0.2">
      <c r="A131" s="5" t="s">
        <v>156</v>
      </c>
      <c r="B131" s="5" t="s">
        <v>154</v>
      </c>
      <c r="C131" t="s">
        <v>6</v>
      </c>
    </row>
    <row r="132" spans="1:4" x14ac:dyDescent="0.2">
      <c r="A132" s="5" t="s">
        <v>157</v>
      </c>
      <c r="B132" s="5" t="s">
        <v>154</v>
      </c>
      <c r="C132" t="s">
        <v>6</v>
      </c>
    </row>
    <row r="133" spans="1:4" x14ac:dyDescent="0.2">
      <c r="A133" s="6" t="s">
        <v>158</v>
      </c>
      <c r="B133" s="6" t="s">
        <v>154</v>
      </c>
      <c r="C133" t="s">
        <v>6</v>
      </c>
    </row>
    <row r="134" spans="1:4" x14ac:dyDescent="0.2">
      <c r="A134" s="28" t="s">
        <v>1401</v>
      </c>
      <c r="B134" t="s">
        <v>77</v>
      </c>
      <c r="C134" t="s">
        <v>6</v>
      </c>
    </row>
    <row r="135" spans="1:4" x14ac:dyDescent="0.2">
      <c r="A135" t="s">
        <v>963</v>
      </c>
      <c r="B135" t="s">
        <v>956</v>
      </c>
      <c r="C135" t="s">
        <v>45</v>
      </c>
    </row>
    <row r="136" spans="1:4" x14ac:dyDescent="0.2">
      <c r="A136" s="28" t="s">
        <v>1634</v>
      </c>
      <c r="B136" t="s">
        <v>956</v>
      </c>
      <c r="C136" t="s">
        <v>45</v>
      </c>
    </row>
    <row r="137" spans="1:4" x14ac:dyDescent="0.2">
      <c r="A137" t="s">
        <v>699</v>
      </c>
      <c r="B137" t="s">
        <v>639</v>
      </c>
      <c r="C137" t="s">
        <v>6</v>
      </c>
    </row>
    <row r="138" spans="1:4" x14ac:dyDescent="0.2">
      <c r="A138" t="s">
        <v>964</v>
      </c>
      <c r="B138" t="s">
        <v>956</v>
      </c>
      <c r="C138" t="s">
        <v>45</v>
      </c>
      <c r="D138" t="s">
        <v>958</v>
      </c>
    </row>
    <row r="139" spans="1:4" x14ac:dyDescent="0.2">
      <c r="A139" t="s">
        <v>965</v>
      </c>
      <c r="B139" t="s">
        <v>956</v>
      </c>
      <c r="C139" t="s">
        <v>45</v>
      </c>
      <c r="D139" t="s">
        <v>958</v>
      </c>
    </row>
    <row r="140" spans="1:4" x14ac:dyDescent="0.2">
      <c r="A140" t="s">
        <v>168</v>
      </c>
      <c r="B140" t="s">
        <v>165</v>
      </c>
      <c r="C140" t="s">
        <v>45</v>
      </c>
    </row>
    <row r="141" spans="1:4" x14ac:dyDescent="0.2">
      <c r="A141" t="s">
        <v>169</v>
      </c>
      <c r="B141" t="s">
        <v>165</v>
      </c>
      <c r="C141" t="s">
        <v>45</v>
      </c>
      <c r="D141" t="s">
        <v>20</v>
      </c>
    </row>
    <row r="142" spans="1:4" x14ac:dyDescent="0.2">
      <c r="A142" s="3" t="s">
        <v>797</v>
      </c>
      <c r="B142" t="s">
        <v>796</v>
      </c>
      <c r="C142" t="s">
        <v>6</v>
      </c>
    </row>
    <row r="143" spans="1:4" x14ac:dyDescent="0.2">
      <c r="A143" t="s">
        <v>857</v>
      </c>
      <c r="B143" t="s">
        <v>858</v>
      </c>
      <c r="C143" t="s">
        <v>45</v>
      </c>
    </row>
    <row r="144" spans="1:4" x14ac:dyDescent="0.2">
      <c r="A144" t="s">
        <v>966</v>
      </c>
      <c r="B144" t="s">
        <v>956</v>
      </c>
      <c r="C144" t="s">
        <v>45</v>
      </c>
    </row>
    <row r="145" spans="1:3" x14ac:dyDescent="0.2">
      <c r="A145" s="3" t="s">
        <v>967</v>
      </c>
      <c r="B145" t="s">
        <v>956</v>
      </c>
      <c r="C145" t="s">
        <v>45</v>
      </c>
    </row>
    <row r="146" spans="1:3" x14ac:dyDescent="0.2">
      <c r="A146" s="3" t="s">
        <v>968</v>
      </c>
      <c r="B146" t="s">
        <v>956</v>
      </c>
      <c r="C146" t="s">
        <v>45</v>
      </c>
    </row>
    <row r="147" spans="1:3" x14ac:dyDescent="0.2">
      <c r="A147" t="s">
        <v>969</v>
      </c>
      <c r="B147" t="s">
        <v>956</v>
      </c>
      <c r="C147" t="s">
        <v>45</v>
      </c>
    </row>
    <row r="148" spans="1:3" x14ac:dyDescent="0.2">
      <c r="A148" s="28" t="s">
        <v>1328</v>
      </c>
      <c r="B148" t="s">
        <v>901</v>
      </c>
      <c r="C148" t="s">
        <v>45</v>
      </c>
    </row>
    <row r="149" spans="1:3" x14ac:dyDescent="0.2">
      <c r="A149" s="28" t="s">
        <v>1328</v>
      </c>
      <c r="B149" t="s">
        <v>901</v>
      </c>
      <c r="C149" t="s">
        <v>45</v>
      </c>
    </row>
    <row r="150" spans="1:3" x14ac:dyDescent="0.2">
      <c r="A150" s="28" t="s">
        <v>1328</v>
      </c>
      <c r="B150" t="s">
        <v>901</v>
      </c>
      <c r="C150" t="s">
        <v>45</v>
      </c>
    </row>
    <row r="151" spans="1:3" x14ac:dyDescent="0.2">
      <c r="A151" s="28" t="s">
        <v>1347</v>
      </c>
      <c r="B151" t="s">
        <v>901</v>
      </c>
      <c r="C151" t="s">
        <v>45</v>
      </c>
    </row>
    <row r="152" spans="1:3" x14ac:dyDescent="0.2">
      <c r="A152" s="28" t="s">
        <v>1347</v>
      </c>
      <c r="B152" t="s">
        <v>901</v>
      </c>
      <c r="C152" t="s">
        <v>45</v>
      </c>
    </row>
    <row r="153" spans="1:3" x14ac:dyDescent="0.2">
      <c r="A153" s="28" t="s">
        <v>1347</v>
      </c>
      <c r="B153" t="s">
        <v>901</v>
      </c>
      <c r="C153" t="s">
        <v>45</v>
      </c>
    </row>
    <row r="154" spans="1:3" x14ac:dyDescent="0.2">
      <c r="A154" s="28" t="s">
        <v>1347</v>
      </c>
      <c r="B154" t="s">
        <v>901</v>
      </c>
      <c r="C154" t="s">
        <v>45</v>
      </c>
    </row>
    <row r="155" spans="1:3" x14ac:dyDescent="0.2">
      <c r="A155" s="28" t="s">
        <v>1347</v>
      </c>
      <c r="B155" t="s">
        <v>901</v>
      </c>
      <c r="C155" t="s">
        <v>45</v>
      </c>
    </row>
    <row r="156" spans="1:3" x14ac:dyDescent="0.2">
      <c r="A156" s="31" t="s">
        <v>1329</v>
      </c>
      <c r="B156" t="s">
        <v>901</v>
      </c>
      <c r="C156" t="s">
        <v>45</v>
      </c>
    </row>
    <row r="157" spans="1:3" x14ac:dyDescent="0.2">
      <c r="A157" s="31" t="s">
        <v>1329</v>
      </c>
      <c r="B157" t="s">
        <v>901</v>
      </c>
      <c r="C157" t="s">
        <v>45</v>
      </c>
    </row>
    <row r="158" spans="1:3" x14ac:dyDescent="0.2">
      <c r="A158" s="31" t="s">
        <v>1361</v>
      </c>
      <c r="B158" t="s">
        <v>901</v>
      </c>
      <c r="C158" t="s">
        <v>45</v>
      </c>
    </row>
    <row r="159" spans="1:3" x14ac:dyDescent="0.2">
      <c r="A159" s="28" t="s">
        <v>1388</v>
      </c>
    </row>
    <row r="160" spans="1:3" x14ac:dyDescent="0.2">
      <c r="A160" s="28" t="s">
        <v>1442</v>
      </c>
      <c r="B160" t="s">
        <v>165</v>
      </c>
      <c r="C160" t="s">
        <v>45</v>
      </c>
    </row>
    <row r="161" spans="1:3" x14ac:dyDescent="0.2">
      <c r="A161" s="28" t="s">
        <v>1415</v>
      </c>
      <c r="B161" t="s">
        <v>600</v>
      </c>
      <c r="C161" t="s">
        <v>6</v>
      </c>
    </row>
    <row r="162" spans="1:3" x14ac:dyDescent="0.2">
      <c r="A162" s="28" t="s">
        <v>1428</v>
      </c>
      <c r="B162" t="s">
        <v>165</v>
      </c>
      <c r="C162" t="s">
        <v>45</v>
      </c>
    </row>
    <row r="163" spans="1:3" x14ac:dyDescent="0.2">
      <c r="A163" s="28" t="s">
        <v>1489</v>
      </c>
      <c r="B163" t="s">
        <v>165</v>
      </c>
      <c r="C163" t="s">
        <v>45</v>
      </c>
    </row>
    <row r="164" spans="1:3" x14ac:dyDescent="0.2">
      <c r="A164" s="3" t="s">
        <v>970</v>
      </c>
      <c r="B164" t="s">
        <v>956</v>
      </c>
      <c r="C164" t="s">
        <v>45</v>
      </c>
    </row>
    <row r="165" spans="1:3" x14ac:dyDescent="0.2">
      <c r="A165" s="3" t="s">
        <v>971</v>
      </c>
      <c r="B165" t="s">
        <v>956</v>
      </c>
      <c r="C165" t="s">
        <v>45</v>
      </c>
    </row>
    <row r="166" spans="1:3" x14ac:dyDescent="0.2">
      <c r="A166" s="28" t="s">
        <v>1420</v>
      </c>
      <c r="B166" t="s">
        <v>165</v>
      </c>
      <c r="C166" t="s">
        <v>45</v>
      </c>
    </row>
    <row r="167" spans="1:3" x14ac:dyDescent="0.2">
      <c r="A167" t="s">
        <v>972</v>
      </c>
      <c r="B167" t="s">
        <v>956</v>
      </c>
      <c r="C167" t="s">
        <v>45</v>
      </c>
    </row>
    <row r="168" spans="1:3" x14ac:dyDescent="0.2">
      <c r="A168" s="28" t="s">
        <v>1409</v>
      </c>
      <c r="B168" t="s">
        <v>956</v>
      </c>
      <c r="C168" t="s">
        <v>6</v>
      </c>
    </row>
    <row r="169" spans="1:3" x14ac:dyDescent="0.2">
      <c r="A169" s="28" t="s">
        <v>1342</v>
      </c>
      <c r="B169" t="s">
        <v>98</v>
      </c>
      <c r="C169" t="s">
        <v>6</v>
      </c>
    </row>
    <row r="170" spans="1:3" x14ac:dyDescent="0.2">
      <c r="A170" t="s">
        <v>1171</v>
      </c>
      <c r="B170" t="s">
        <v>1170</v>
      </c>
      <c r="C170" t="s">
        <v>6</v>
      </c>
    </row>
    <row r="171" spans="1:3" x14ac:dyDescent="0.2">
      <c r="A171" t="s">
        <v>973</v>
      </c>
      <c r="B171" t="s">
        <v>956</v>
      </c>
      <c r="C171" t="s">
        <v>45</v>
      </c>
    </row>
    <row r="172" spans="1:3" x14ac:dyDescent="0.2">
      <c r="A172" s="3" t="s">
        <v>700</v>
      </c>
      <c r="B172" t="s">
        <v>639</v>
      </c>
      <c r="C172" t="s">
        <v>6</v>
      </c>
    </row>
    <row r="173" spans="1:3" x14ac:dyDescent="0.2">
      <c r="A173" s="3" t="s">
        <v>97</v>
      </c>
      <c r="B173" t="s">
        <v>98</v>
      </c>
      <c r="C173" t="s">
        <v>45</v>
      </c>
    </row>
    <row r="174" spans="1:3" x14ac:dyDescent="0.2">
      <c r="A174" t="s">
        <v>1186</v>
      </c>
      <c r="B174" t="s">
        <v>956</v>
      </c>
      <c r="C174" t="s">
        <v>45</v>
      </c>
    </row>
    <row r="175" spans="1:3" x14ac:dyDescent="0.2">
      <c r="A175" s="3" t="s">
        <v>974</v>
      </c>
      <c r="B175" t="s">
        <v>956</v>
      </c>
      <c r="C175" t="s">
        <v>45</v>
      </c>
    </row>
    <row r="176" spans="1:3" x14ac:dyDescent="0.2">
      <c r="A176" s="3" t="s">
        <v>86</v>
      </c>
      <c r="B176" t="s">
        <v>87</v>
      </c>
      <c r="C176" t="s">
        <v>6</v>
      </c>
    </row>
    <row r="177" spans="1:4" x14ac:dyDescent="0.2">
      <c r="A177" s="3" t="s">
        <v>975</v>
      </c>
      <c r="B177" t="s">
        <v>956</v>
      </c>
      <c r="C177" t="s">
        <v>45</v>
      </c>
    </row>
    <row r="178" spans="1:4" x14ac:dyDescent="0.2">
      <c r="A178" t="s">
        <v>170</v>
      </c>
      <c r="B178" t="s">
        <v>165</v>
      </c>
      <c r="C178" t="s">
        <v>45</v>
      </c>
    </row>
    <row r="179" spans="1:4" x14ac:dyDescent="0.2">
      <c r="A179" t="s">
        <v>976</v>
      </c>
      <c r="B179" t="s">
        <v>956</v>
      </c>
      <c r="C179" t="s">
        <v>45</v>
      </c>
    </row>
    <row r="180" spans="1:4" x14ac:dyDescent="0.2">
      <c r="A180" s="28" t="s">
        <v>1416</v>
      </c>
      <c r="B180" t="s">
        <v>165</v>
      </c>
      <c r="C180" t="s">
        <v>45</v>
      </c>
    </row>
    <row r="181" spans="1:4" x14ac:dyDescent="0.2">
      <c r="A181" t="s">
        <v>2499</v>
      </c>
      <c r="B181" t="s">
        <v>956</v>
      </c>
      <c r="C181" t="s">
        <v>45</v>
      </c>
    </row>
    <row r="182" spans="1:4" x14ac:dyDescent="0.2">
      <c r="A182" s="28" t="s">
        <v>1280</v>
      </c>
      <c r="B182" t="s">
        <v>639</v>
      </c>
      <c r="C182" t="s">
        <v>6</v>
      </c>
    </row>
    <row r="183" spans="1:4" x14ac:dyDescent="0.2">
      <c r="A183" s="28" t="s">
        <v>1505</v>
      </c>
      <c r="B183" t="s">
        <v>5</v>
      </c>
      <c r="C183" t="s">
        <v>6</v>
      </c>
    </row>
    <row r="184" spans="1:4" x14ac:dyDescent="0.2">
      <c r="A184" t="s">
        <v>2508</v>
      </c>
      <c r="B184" t="s">
        <v>956</v>
      </c>
      <c r="C184" t="s">
        <v>45</v>
      </c>
    </row>
    <row r="185" spans="1:4" x14ac:dyDescent="0.2">
      <c r="A185" t="s">
        <v>2525</v>
      </c>
      <c r="B185" t="s">
        <v>956</v>
      </c>
      <c r="C185" t="s">
        <v>45</v>
      </c>
    </row>
    <row r="186" spans="1:4" x14ac:dyDescent="0.2">
      <c r="A186" t="s">
        <v>977</v>
      </c>
      <c r="B186" t="s">
        <v>956</v>
      </c>
      <c r="C186" t="s">
        <v>45</v>
      </c>
    </row>
    <row r="187" spans="1:4" x14ac:dyDescent="0.2">
      <c r="A187" s="3" t="s">
        <v>978</v>
      </c>
      <c r="B187" t="s">
        <v>956</v>
      </c>
      <c r="C187" t="s">
        <v>45</v>
      </c>
    </row>
    <row r="188" spans="1:4" x14ac:dyDescent="0.2">
      <c r="A188" s="3" t="s">
        <v>979</v>
      </c>
      <c r="B188" t="s">
        <v>956</v>
      </c>
      <c r="C188" t="s">
        <v>45</v>
      </c>
    </row>
    <row r="189" spans="1:4" x14ac:dyDescent="0.2">
      <c r="A189" s="3" t="s">
        <v>13</v>
      </c>
      <c r="B189" t="s">
        <v>5</v>
      </c>
      <c r="C189" t="s">
        <v>6</v>
      </c>
      <c r="D189" t="s">
        <v>14</v>
      </c>
    </row>
    <row r="190" spans="1:4" x14ac:dyDescent="0.2">
      <c r="A190" s="28" t="s">
        <v>1356</v>
      </c>
      <c r="B190" t="s">
        <v>165</v>
      </c>
      <c r="C190" t="s">
        <v>45</v>
      </c>
    </row>
    <row r="191" spans="1:4" x14ac:dyDescent="0.2">
      <c r="A191" s="3" t="s">
        <v>980</v>
      </c>
      <c r="B191" t="s">
        <v>956</v>
      </c>
      <c r="C191" t="s">
        <v>45</v>
      </c>
    </row>
    <row r="192" spans="1:4" x14ac:dyDescent="0.2">
      <c r="A192" s="28" t="s">
        <v>1476</v>
      </c>
      <c r="B192" t="s">
        <v>514</v>
      </c>
      <c r="C192" t="s">
        <v>6</v>
      </c>
    </row>
    <row r="193" spans="1:3" x14ac:dyDescent="0.2">
      <c r="A193" s="28" t="s">
        <v>1429</v>
      </c>
      <c r="B193" t="s">
        <v>165</v>
      </c>
      <c r="C193" t="s">
        <v>45</v>
      </c>
    </row>
    <row r="194" spans="1:3" x14ac:dyDescent="0.2">
      <c r="A194" s="3" t="s">
        <v>981</v>
      </c>
      <c r="B194" t="s">
        <v>956</v>
      </c>
      <c r="C194" t="s">
        <v>45</v>
      </c>
    </row>
    <row r="195" spans="1:3" x14ac:dyDescent="0.2">
      <c r="A195" s="3" t="s">
        <v>982</v>
      </c>
      <c r="B195" t="s">
        <v>956</v>
      </c>
      <c r="C195" t="s">
        <v>45</v>
      </c>
    </row>
    <row r="196" spans="1:3" x14ac:dyDescent="0.2">
      <c r="A196" s="28" t="s">
        <v>1378</v>
      </c>
      <c r="B196" t="s">
        <v>98</v>
      </c>
      <c r="C196" t="s">
        <v>6</v>
      </c>
    </row>
    <row r="197" spans="1:3" x14ac:dyDescent="0.2">
      <c r="A197" s="28" t="s">
        <v>1378</v>
      </c>
      <c r="B197" t="s">
        <v>98</v>
      </c>
      <c r="C197" t="s">
        <v>6</v>
      </c>
    </row>
    <row r="198" spans="1:3" x14ac:dyDescent="0.2">
      <c r="A198" s="28" t="s">
        <v>1378</v>
      </c>
      <c r="B198" t="s">
        <v>98</v>
      </c>
      <c r="C198" t="s">
        <v>6</v>
      </c>
    </row>
    <row r="199" spans="1:3" x14ac:dyDescent="0.2">
      <c r="A199" t="s">
        <v>99</v>
      </c>
      <c r="B199" t="s">
        <v>98</v>
      </c>
      <c r="C199" t="s">
        <v>45</v>
      </c>
    </row>
    <row r="200" spans="1:3" x14ac:dyDescent="0.2">
      <c r="A200" t="s">
        <v>15</v>
      </c>
      <c r="B200" t="s">
        <v>5</v>
      </c>
      <c r="C200" t="s">
        <v>6</v>
      </c>
    </row>
    <row r="201" spans="1:3" x14ac:dyDescent="0.2">
      <c r="A201" t="s">
        <v>516</v>
      </c>
      <c r="B201" s="13" t="s">
        <v>514</v>
      </c>
      <c r="C201" t="s">
        <v>6</v>
      </c>
    </row>
    <row r="202" spans="1:3" x14ac:dyDescent="0.2">
      <c r="A202" s="28" t="s">
        <v>1510</v>
      </c>
      <c r="B202" t="s">
        <v>165</v>
      </c>
      <c r="C202" t="s">
        <v>45</v>
      </c>
    </row>
    <row r="203" spans="1:3" x14ac:dyDescent="0.2">
      <c r="A203" s="3" t="s">
        <v>171</v>
      </c>
      <c r="B203" t="s">
        <v>165</v>
      </c>
      <c r="C203" t="s">
        <v>45</v>
      </c>
    </row>
    <row r="204" spans="1:3" x14ac:dyDescent="0.2">
      <c r="A204" s="28" t="s">
        <v>1281</v>
      </c>
      <c r="B204" t="s">
        <v>98</v>
      </c>
      <c r="C204" t="s">
        <v>6</v>
      </c>
    </row>
    <row r="205" spans="1:3" x14ac:dyDescent="0.2">
      <c r="A205" t="s">
        <v>983</v>
      </c>
      <c r="B205" t="s">
        <v>956</v>
      </c>
      <c r="C205" t="s">
        <v>45</v>
      </c>
    </row>
    <row r="206" spans="1:3" x14ac:dyDescent="0.2">
      <c r="A206" s="28" t="s">
        <v>1410</v>
      </c>
      <c r="B206" t="s">
        <v>514</v>
      </c>
      <c r="C206" t="s">
        <v>6</v>
      </c>
    </row>
    <row r="207" spans="1:3" x14ac:dyDescent="0.2">
      <c r="A207" s="28" t="s">
        <v>1324</v>
      </c>
      <c r="B207" t="s">
        <v>165</v>
      </c>
      <c r="C207" t="s">
        <v>45</v>
      </c>
    </row>
    <row r="208" spans="1:3" x14ac:dyDescent="0.2">
      <c r="A208" s="28" t="s">
        <v>1324</v>
      </c>
      <c r="B208" t="s">
        <v>165</v>
      </c>
      <c r="C208" t="s">
        <v>45</v>
      </c>
    </row>
    <row r="209" spans="1:3" x14ac:dyDescent="0.2">
      <c r="A209" s="28" t="s">
        <v>1324</v>
      </c>
      <c r="B209" t="s">
        <v>165</v>
      </c>
      <c r="C209" t="s">
        <v>45</v>
      </c>
    </row>
    <row r="210" spans="1:3" x14ac:dyDescent="0.2">
      <c r="A210" s="28" t="s">
        <v>1336</v>
      </c>
      <c r="B210" t="s">
        <v>1170</v>
      </c>
      <c r="C210" t="s">
        <v>45</v>
      </c>
    </row>
    <row r="211" spans="1:3" x14ac:dyDescent="0.2">
      <c r="A211" t="s">
        <v>100</v>
      </c>
      <c r="B211" t="s">
        <v>98</v>
      </c>
      <c r="C211" t="s">
        <v>45</v>
      </c>
    </row>
    <row r="212" spans="1:3" x14ac:dyDescent="0.2">
      <c r="A212" t="s">
        <v>984</v>
      </c>
      <c r="B212" t="s">
        <v>956</v>
      </c>
      <c r="C212" t="s">
        <v>45</v>
      </c>
    </row>
    <row r="213" spans="1:3" x14ac:dyDescent="0.2">
      <c r="A213" t="s">
        <v>985</v>
      </c>
      <c r="B213" t="s">
        <v>956</v>
      </c>
      <c r="C213" t="s">
        <v>45</v>
      </c>
    </row>
    <row r="214" spans="1:3" x14ac:dyDescent="0.2">
      <c r="A214" s="28" t="s">
        <v>1477</v>
      </c>
      <c r="B214" s="6" t="s">
        <v>165</v>
      </c>
      <c r="C214" s="6" t="s">
        <v>45</v>
      </c>
    </row>
    <row r="215" spans="1:3" x14ac:dyDescent="0.2">
      <c r="A215" s="28" t="s">
        <v>1478</v>
      </c>
      <c r="B215" s="6" t="s">
        <v>165</v>
      </c>
      <c r="C215" s="6" t="s">
        <v>45</v>
      </c>
    </row>
    <row r="216" spans="1:3" x14ac:dyDescent="0.2">
      <c r="A216" s="28" t="s">
        <v>1474</v>
      </c>
      <c r="B216" t="s">
        <v>956</v>
      </c>
      <c r="C216" t="s">
        <v>6</v>
      </c>
    </row>
    <row r="217" spans="1:3" x14ac:dyDescent="0.2">
      <c r="A217" s="28" t="s">
        <v>1282</v>
      </c>
      <c r="B217" s="6" t="s">
        <v>165</v>
      </c>
      <c r="C217" s="6" t="s">
        <v>45</v>
      </c>
    </row>
    <row r="218" spans="1:3" x14ac:dyDescent="0.2">
      <c r="A218" s="28" t="s">
        <v>1403</v>
      </c>
      <c r="B218" t="s">
        <v>514</v>
      </c>
      <c r="C218" t="s">
        <v>6</v>
      </c>
    </row>
    <row r="219" spans="1:3" x14ac:dyDescent="0.2">
      <c r="A219" s="28" t="s">
        <v>1403</v>
      </c>
      <c r="B219" t="s">
        <v>514</v>
      </c>
      <c r="C219" t="s">
        <v>6</v>
      </c>
    </row>
    <row r="220" spans="1:3" x14ac:dyDescent="0.2">
      <c r="A220" s="28" t="s">
        <v>1403</v>
      </c>
      <c r="B220" t="s">
        <v>514</v>
      </c>
      <c r="C220" t="s">
        <v>6</v>
      </c>
    </row>
    <row r="221" spans="1:3" x14ac:dyDescent="0.2">
      <c r="A221" s="28" t="s">
        <v>1337</v>
      </c>
      <c r="B221" t="s">
        <v>956</v>
      </c>
      <c r="C221" t="s">
        <v>6</v>
      </c>
    </row>
    <row r="222" spans="1:3" x14ac:dyDescent="0.2">
      <c r="A222" s="28" t="s">
        <v>1337</v>
      </c>
      <c r="B222" t="s">
        <v>956</v>
      </c>
      <c r="C222" t="s">
        <v>6</v>
      </c>
    </row>
    <row r="223" spans="1:3" x14ac:dyDescent="0.2">
      <c r="A223" s="28" t="s">
        <v>1337</v>
      </c>
      <c r="B223" t="s">
        <v>956</v>
      </c>
      <c r="C223" t="s">
        <v>6</v>
      </c>
    </row>
    <row r="224" spans="1:3" x14ac:dyDescent="0.2">
      <c r="A224" s="28" t="s">
        <v>1337</v>
      </c>
      <c r="B224" t="s">
        <v>956</v>
      </c>
      <c r="C224" t="s">
        <v>6</v>
      </c>
    </row>
    <row r="225" spans="1:3" x14ac:dyDescent="0.2">
      <c r="A225" s="3" t="s">
        <v>986</v>
      </c>
      <c r="B225" t="s">
        <v>956</v>
      </c>
      <c r="C225" t="s">
        <v>45</v>
      </c>
    </row>
    <row r="226" spans="1:3" x14ac:dyDescent="0.2">
      <c r="A226" s="3" t="s">
        <v>987</v>
      </c>
      <c r="B226" t="s">
        <v>956</v>
      </c>
      <c r="C226" t="s">
        <v>45</v>
      </c>
    </row>
    <row r="227" spans="1:3" x14ac:dyDescent="0.2">
      <c r="A227" s="28" t="s">
        <v>1338</v>
      </c>
      <c r="B227" t="s">
        <v>956</v>
      </c>
      <c r="C227" t="s">
        <v>6</v>
      </c>
    </row>
    <row r="228" spans="1:3" x14ac:dyDescent="0.2">
      <c r="A228" s="28" t="s">
        <v>1338</v>
      </c>
      <c r="B228" t="s">
        <v>956</v>
      </c>
      <c r="C228" t="s">
        <v>6</v>
      </c>
    </row>
    <row r="229" spans="1:3" x14ac:dyDescent="0.2">
      <c r="A229" s="28" t="s">
        <v>1338</v>
      </c>
      <c r="B229" t="s">
        <v>956</v>
      </c>
      <c r="C229" t="s">
        <v>6</v>
      </c>
    </row>
    <row r="230" spans="1:3" x14ac:dyDescent="0.2">
      <c r="A230" s="28" t="s">
        <v>1338</v>
      </c>
      <c r="B230" t="s">
        <v>956</v>
      </c>
      <c r="C230" t="s">
        <v>6</v>
      </c>
    </row>
    <row r="231" spans="1:3" x14ac:dyDescent="0.2">
      <c r="A231" s="28" t="s">
        <v>1338</v>
      </c>
      <c r="B231" t="s">
        <v>956</v>
      </c>
      <c r="C231" t="s">
        <v>6</v>
      </c>
    </row>
    <row r="232" spans="1:3" x14ac:dyDescent="0.2">
      <c r="A232" s="28" t="s">
        <v>1338</v>
      </c>
      <c r="B232" t="s">
        <v>956</v>
      </c>
      <c r="C232" t="s">
        <v>6</v>
      </c>
    </row>
    <row r="233" spans="1:3" x14ac:dyDescent="0.2">
      <c r="A233" s="28" t="s">
        <v>1338</v>
      </c>
      <c r="B233" t="s">
        <v>956</v>
      </c>
      <c r="C233" t="s">
        <v>6</v>
      </c>
    </row>
    <row r="234" spans="1:3" x14ac:dyDescent="0.2">
      <c r="A234" s="28" t="s">
        <v>1338</v>
      </c>
      <c r="B234" t="s">
        <v>956</v>
      </c>
      <c r="C234" t="s">
        <v>6</v>
      </c>
    </row>
    <row r="235" spans="1:3" x14ac:dyDescent="0.2">
      <c r="A235" s="28" t="s">
        <v>1338</v>
      </c>
      <c r="B235" t="s">
        <v>956</v>
      </c>
      <c r="C235" t="s">
        <v>6</v>
      </c>
    </row>
    <row r="236" spans="1:3" x14ac:dyDescent="0.2">
      <c r="A236" s="28" t="s">
        <v>1338</v>
      </c>
      <c r="B236" t="s">
        <v>956</v>
      </c>
      <c r="C236" t="s">
        <v>6</v>
      </c>
    </row>
    <row r="237" spans="1:3" x14ac:dyDescent="0.2">
      <c r="A237" s="28" t="s">
        <v>1338</v>
      </c>
      <c r="B237" t="s">
        <v>956</v>
      </c>
      <c r="C237" t="s">
        <v>6</v>
      </c>
    </row>
    <row r="238" spans="1:3" x14ac:dyDescent="0.2">
      <c r="A238" s="28" t="s">
        <v>1338</v>
      </c>
      <c r="B238" t="s">
        <v>956</v>
      </c>
      <c r="C238" t="s">
        <v>6</v>
      </c>
    </row>
    <row r="239" spans="1:3" x14ac:dyDescent="0.2">
      <c r="A239" s="28" t="s">
        <v>1338</v>
      </c>
      <c r="B239" t="s">
        <v>956</v>
      </c>
      <c r="C239" t="s">
        <v>6</v>
      </c>
    </row>
    <row r="240" spans="1:3" x14ac:dyDescent="0.2">
      <c r="A240" s="28" t="s">
        <v>1338</v>
      </c>
      <c r="B240" t="s">
        <v>956</v>
      </c>
      <c r="C240" t="s">
        <v>6</v>
      </c>
    </row>
    <row r="241" spans="1:3" x14ac:dyDescent="0.2">
      <c r="A241" s="28" t="s">
        <v>1338</v>
      </c>
      <c r="B241" t="s">
        <v>956</v>
      </c>
      <c r="C241" t="s">
        <v>6</v>
      </c>
    </row>
    <row r="242" spans="1:3" x14ac:dyDescent="0.2">
      <c r="A242" s="28" t="s">
        <v>1338</v>
      </c>
      <c r="B242" t="s">
        <v>956</v>
      </c>
      <c r="C242" t="s">
        <v>6</v>
      </c>
    </row>
    <row r="243" spans="1:3" x14ac:dyDescent="0.2">
      <c r="A243" s="28" t="s">
        <v>1338</v>
      </c>
      <c r="B243" t="s">
        <v>956</v>
      </c>
      <c r="C243" t="s">
        <v>6</v>
      </c>
    </row>
    <row r="244" spans="1:3" x14ac:dyDescent="0.2">
      <c r="A244" s="28" t="s">
        <v>1338</v>
      </c>
      <c r="B244" t="s">
        <v>956</v>
      </c>
      <c r="C244" t="s">
        <v>6</v>
      </c>
    </row>
    <row r="245" spans="1:3" x14ac:dyDescent="0.2">
      <c r="A245" s="28" t="s">
        <v>1338</v>
      </c>
      <c r="B245" t="s">
        <v>956</v>
      </c>
      <c r="C245" t="s">
        <v>6</v>
      </c>
    </row>
    <row r="246" spans="1:3" x14ac:dyDescent="0.2">
      <c r="A246" s="28" t="s">
        <v>1338</v>
      </c>
      <c r="B246" t="s">
        <v>956</v>
      </c>
      <c r="C246" t="s">
        <v>6</v>
      </c>
    </row>
    <row r="247" spans="1:3" x14ac:dyDescent="0.2">
      <c r="A247" s="28" t="s">
        <v>1383</v>
      </c>
      <c r="B247" s="6" t="s">
        <v>165</v>
      </c>
      <c r="C247" s="6" t="s">
        <v>45</v>
      </c>
    </row>
    <row r="248" spans="1:3" x14ac:dyDescent="0.2">
      <c r="A248" s="28" t="s">
        <v>1348</v>
      </c>
      <c r="B248" s="6" t="s">
        <v>165</v>
      </c>
      <c r="C248" s="6" t="s">
        <v>45</v>
      </c>
    </row>
    <row r="249" spans="1:3" x14ac:dyDescent="0.2">
      <c r="A249" t="s">
        <v>988</v>
      </c>
      <c r="B249" t="s">
        <v>956</v>
      </c>
      <c r="C249" t="s">
        <v>45</v>
      </c>
    </row>
    <row r="250" spans="1:3" x14ac:dyDescent="0.2">
      <c r="A250" s="28" t="s">
        <v>1331</v>
      </c>
      <c r="B250" s="6" t="s">
        <v>165</v>
      </c>
      <c r="C250" s="6" t="s">
        <v>45</v>
      </c>
    </row>
    <row r="251" spans="1:3" x14ac:dyDescent="0.2">
      <c r="A251" s="3" t="s">
        <v>172</v>
      </c>
      <c r="B251" t="s">
        <v>165</v>
      </c>
      <c r="C251" t="s">
        <v>45</v>
      </c>
    </row>
    <row r="252" spans="1:3" x14ac:dyDescent="0.2">
      <c r="A252" s="28" t="s">
        <v>1308</v>
      </c>
      <c r="B252" s="6" t="s">
        <v>165</v>
      </c>
      <c r="C252" s="6" t="s">
        <v>45</v>
      </c>
    </row>
    <row r="253" spans="1:3" x14ac:dyDescent="0.2">
      <c r="A253" s="3" t="s">
        <v>989</v>
      </c>
      <c r="B253" t="s">
        <v>956</v>
      </c>
      <c r="C253" t="s">
        <v>45</v>
      </c>
    </row>
    <row r="254" spans="1:3" x14ac:dyDescent="0.2">
      <c r="A254" s="31" t="s">
        <v>1506</v>
      </c>
      <c r="B254" s="6" t="s">
        <v>165</v>
      </c>
      <c r="C254" s="6" t="s">
        <v>45</v>
      </c>
    </row>
    <row r="255" spans="1:3" x14ac:dyDescent="0.2">
      <c r="A255" s="31" t="s">
        <v>1479</v>
      </c>
      <c r="B255" s="6" t="s">
        <v>165</v>
      </c>
      <c r="C255" s="6" t="s">
        <v>45</v>
      </c>
    </row>
    <row r="256" spans="1:3" x14ac:dyDescent="0.2">
      <c r="A256" s="31" t="s">
        <v>1479</v>
      </c>
      <c r="B256" s="6" t="s">
        <v>165</v>
      </c>
      <c r="C256" s="6" t="s">
        <v>45</v>
      </c>
    </row>
    <row r="257" spans="1:4" x14ac:dyDescent="0.2">
      <c r="A257" s="31" t="s">
        <v>1390</v>
      </c>
      <c r="B257" s="6" t="s">
        <v>165</v>
      </c>
      <c r="C257" s="6" t="s">
        <v>45</v>
      </c>
    </row>
    <row r="258" spans="1:4" x14ac:dyDescent="0.2">
      <c r="A258" s="31" t="s">
        <v>1390</v>
      </c>
      <c r="B258" s="6" t="s">
        <v>165</v>
      </c>
      <c r="C258" s="6" t="s">
        <v>45</v>
      </c>
    </row>
    <row r="259" spans="1:4" x14ac:dyDescent="0.2">
      <c r="A259" s="31" t="s">
        <v>1390</v>
      </c>
      <c r="B259" s="16" t="s">
        <v>165</v>
      </c>
      <c r="C259" s="16" t="s">
        <v>45</v>
      </c>
    </row>
    <row r="260" spans="1:4" x14ac:dyDescent="0.2">
      <c r="A260" s="3" t="s">
        <v>990</v>
      </c>
      <c r="B260" t="s">
        <v>956</v>
      </c>
      <c r="C260" t="s">
        <v>45</v>
      </c>
    </row>
    <row r="261" spans="1:4" x14ac:dyDescent="0.2">
      <c r="A261" t="s">
        <v>991</v>
      </c>
      <c r="B261" t="s">
        <v>956</v>
      </c>
      <c r="C261" t="s">
        <v>45</v>
      </c>
    </row>
    <row r="262" spans="1:4" x14ac:dyDescent="0.2">
      <c r="A262" s="28" t="s">
        <v>1417</v>
      </c>
      <c r="B262" t="s">
        <v>956</v>
      </c>
      <c r="C262" t="s">
        <v>45</v>
      </c>
    </row>
    <row r="263" spans="1:4" x14ac:dyDescent="0.2">
      <c r="A263" t="s">
        <v>2511</v>
      </c>
      <c r="B263" t="s">
        <v>956</v>
      </c>
      <c r="C263" t="s">
        <v>45</v>
      </c>
    </row>
    <row r="264" spans="1:4" x14ac:dyDescent="0.2">
      <c r="A264" t="s">
        <v>517</v>
      </c>
      <c r="B264" t="s">
        <v>514</v>
      </c>
      <c r="C264" t="s">
        <v>6</v>
      </c>
      <c r="D264" t="s">
        <v>20</v>
      </c>
    </row>
    <row r="265" spans="1:4" x14ac:dyDescent="0.2">
      <c r="A265" t="s">
        <v>592</v>
      </c>
      <c r="B265" t="s">
        <v>593</v>
      </c>
      <c r="C265" t="s">
        <v>6</v>
      </c>
    </row>
    <row r="266" spans="1:4" x14ac:dyDescent="0.2">
      <c r="A266" t="s">
        <v>992</v>
      </c>
      <c r="B266" t="s">
        <v>956</v>
      </c>
      <c r="C266" t="s">
        <v>45</v>
      </c>
    </row>
    <row r="267" spans="1:4" x14ac:dyDescent="0.2">
      <c r="A267" s="3" t="s">
        <v>594</v>
      </c>
      <c r="B267" s="16" t="s">
        <v>593</v>
      </c>
      <c r="C267" t="s">
        <v>6</v>
      </c>
    </row>
    <row r="268" spans="1:4" x14ac:dyDescent="0.2">
      <c r="A268" t="s">
        <v>595</v>
      </c>
      <c r="B268" t="s">
        <v>593</v>
      </c>
      <c r="C268" t="s">
        <v>6</v>
      </c>
      <c r="D268" t="s">
        <v>20</v>
      </c>
    </row>
    <row r="269" spans="1:4" x14ac:dyDescent="0.2">
      <c r="A269" s="28" t="s">
        <v>1355</v>
      </c>
      <c r="B269" t="s">
        <v>593</v>
      </c>
      <c r="C269" t="s">
        <v>6</v>
      </c>
    </row>
    <row r="270" spans="1:4" x14ac:dyDescent="0.2">
      <c r="A270" s="3" t="s">
        <v>596</v>
      </c>
      <c r="B270" s="16" t="s">
        <v>593</v>
      </c>
      <c r="C270" t="s">
        <v>6</v>
      </c>
    </row>
    <row r="271" spans="1:4" x14ac:dyDescent="0.2">
      <c r="A271" s="3" t="s">
        <v>597</v>
      </c>
      <c r="B271" s="16" t="s">
        <v>593</v>
      </c>
      <c r="C271" t="s">
        <v>6</v>
      </c>
    </row>
    <row r="272" spans="1:4" x14ac:dyDescent="0.2">
      <c r="A272" t="s">
        <v>902</v>
      </c>
      <c r="B272" t="s">
        <v>901</v>
      </c>
      <c r="C272" t="s">
        <v>45</v>
      </c>
      <c r="D272" t="s">
        <v>20</v>
      </c>
    </row>
    <row r="273" spans="1:4" x14ac:dyDescent="0.2">
      <c r="A273" s="31" t="s">
        <v>1327</v>
      </c>
      <c r="B273" t="s">
        <v>593</v>
      </c>
      <c r="C273" t="s">
        <v>6</v>
      </c>
    </row>
    <row r="274" spans="1:4" x14ac:dyDescent="0.2">
      <c r="A274" s="3" t="s">
        <v>993</v>
      </c>
      <c r="B274" t="s">
        <v>956</v>
      </c>
      <c r="C274" t="s">
        <v>45</v>
      </c>
    </row>
    <row r="275" spans="1:4" x14ac:dyDescent="0.2">
      <c r="A275" t="s">
        <v>16</v>
      </c>
      <c r="B275" t="s">
        <v>5</v>
      </c>
      <c r="C275" t="s">
        <v>6</v>
      </c>
    </row>
    <row r="276" spans="1:4" x14ac:dyDescent="0.2">
      <c r="A276" s="28" t="s">
        <v>1731</v>
      </c>
      <c r="B276" t="s">
        <v>5</v>
      </c>
      <c r="C276" t="s">
        <v>6</v>
      </c>
    </row>
    <row r="277" spans="1:4" x14ac:dyDescent="0.2">
      <c r="A277" s="28" t="s">
        <v>1389</v>
      </c>
      <c r="B277" t="s">
        <v>5</v>
      </c>
      <c r="C277" t="s">
        <v>6</v>
      </c>
    </row>
    <row r="278" spans="1:4" x14ac:dyDescent="0.2">
      <c r="A278" s="3" t="s">
        <v>17</v>
      </c>
      <c r="B278" t="s">
        <v>5</v>
      </c>
      <c r="C278" t="s">
        <v>6</v>
      </c>
    </row>
    <row r="279" spans="1:4" x14ac:dyDescent="0.2">
      <c r="A279" s="28" t="s">
        <v>1459</v>
      </c>
      <c r="B279" t="s">
        <v>5</v>
      </c>
      <c r="C279" t="s">
        <v>6</v>
      </c>
    </row>
    <row r="280" spans="1:4" x14ac:dyDescent="0.2">
      <c r="A280" s="28" t="s">
        <v>1658</v>
      </c>
      <c r="B280" t="s">
        <v>512</v>
      </c>
      <c r="C280" t="s">
        <v>45</v>
      </c>
    </row>
    <row r="281" spans="1:4" x14ac:dyDescent="0.2">
      <c r="A281" s="3" t="s">
        <v>994</v>
      </c>
      <c r="B281" t="s">
        <v>956</v>
      </c>
      <c r="C281" t="s">
        <v>45</v>
      </c>
    </row>
    <row r="282" spans="1:4" x14ac:dyDescent="0.2">
      <c r="A282" t="s">
        <v>995</v>
      </c>
      <c r="B282" t="s">
        <v>956</v>
      </c>
      <c r="C282" t="s">
        <v>45</v>
      </c>
    </row>
    <row r="283" spans="1:4" x14ac:dyDescent="0.2">
      <c r="A283" t="s">
        <v>996</v>
      </c>
      <c r="B283" t="s">
        <v>956</v>
      </c>
      <c r="C283" t="s">
        <v>45</v>
      </c>
    </row>
    <row r="284" spans="1:4" x14ac:dyDescent="0.2">
      <c r="A284" t="s">
        <v>101</v>
      </c>
      <c r="B284" t="s">
        <v>98</v>
      </c>
      <c r="C284" t="s">
        <v>45</v>
      </c>
      <c r="D284" t="s">
        <v>102</v>
      </c>
    </row>
    <row r="285" spans="1:4" x14ac:dyDescent="0.2">
      <c r="A285" t="s">
        <v>1143</v>
      </c>
      <c r="B285" t="s">
        <v>1144</v>
      </c>
      <c r="C285" t="s">
        <v>6</v>
      </c>
    </row>
    <row r="286" spans="1:4" x14ac:dyDescent="0.2">
      <c r="A286" s="3" t="s">
        <v>997</v>
      </c>
      <c r="B286" t="s">
        <v>956</v>
      </c>
      <c r="C286" t="s">
        <v>45</v>
      </c>
    </row>
    <row r="287" spans="1:4" x14ac:dyDescent="0.2">
      <c r="A287" s="28" t="s">
        <v>1267</v>
      </c>
      <c r="B287" t="s">
        <v>956</v>
      </c>
      <c r="C287" t="s">
        <v>45</v>
      </c>
    </row>
    <row r="288" spans="1:4" x14ac:dyDescent="0.2">
      <c r="A288" s="28" t="s">
        <v>1815</v>
      </c>
      <c r="B288" t="s">
        <v>956</v>
      </c>
      <c r="C288" t="s">
        <v>45</v>
      </c>
    </row>
    <row r="289" spans="1:4" x14ac:dyDescent="0.2">
      <c r="A289" s="28" t="s">
        <v>1292</v>
      </c>
      <c r="B289" t="s">
        <v>956</v>
      </c>
      <c r="C289" t="s">
        <v>45</v>
      </c>
    </row>
    <row r="290" spans="1:4" x14ac:dyDescent="0.2">
      <c r="A290" t="s">
        <v>998</v>
      </c>
      <c r="B290" t="s">
        <v>956</v>
      </c>
      <c r="C290" t="s">
        <v>45</v>
      </c>
    </row>
    <row r="291" spans="1:4" x14ac:dyDescent="0.2">
      <c r="A291" t="s">
        <v>999</v>
      </c>
      <c r="B291" t="s">
        <v>956</v>
      </c>
      <c r="C291" t="s">
        <v>45</v>
      </c>
    </row>
    <row r="292" spans="1:4" x14ac:dyDescent="0.2">
      <c r="A292" s="28" t="s">
        <v>1414</v>
      </c>
      <c r="B292" t="s">
        <v>165</v>
      </c>
      <c r="C292" t="s">
        <v>45</v>
      </c>
    </row>
    <row r="293" spans="1:4" x14ac:dyDescent="0.2">
      <c r="A293" t="s">
        <v>1000</v>
      </c>
      <c r="B293" t="s">
        <v>956</v>
      </c>
      <c r="C293" t="s">
        <v>45</v>
      </c>
    </row>
    <row r="294" spans="1:4" x14ac:dyDescent="0.2">
      <c r="A294" t="s">
        <v>173</v>
      </c>
      <c r="B294" t="s">
        <v>165</v>
      </c>
      <c r="C294" t="s">
        <v>45</v>
      </c>
    </row>
    <row r="295" spans="1:4" x14ac:dyDescent="0.2">
      <c r="A295" s="6" t="s">
        <v>159</v>
      </c>
      <c r="B295" t="s">
        <v>154</v>
      </c>
      <c r="C295" t="s">
        <v>6</v>
      </c>
      <c r="D295" t="s">
        <v>160</v>
      </c>
    </row>
    <row r="296" spans="1:4" x14ac:dyDescent="0.2">
      <c r="A296" t="s">
        <v>103</v>
      </c>
      <c r="B296" t="s">
        <v>98</v>
      </c>
      <c r="C296" t="s">
        <v>45</v>
      </c>
    </row>
    <row r="297" spans="1:4" x14ac:dyDescent="0.2">
      <c r="A297" t="s">
        <v>1001</v>
      </c>
      <c r="B297" t="s">
        <v>956</v>
      </c>
      <c r="C297" t="s">
        <v>45</v>
      </c>
      <c r="D297" t="s">
        <v>958</v>
      </c>
    </row>
    <row r="298" spans="1:4" x14ac:dyDescent="0.2">
      <c r="A298" s="3" t="s">
        <v>174</v>
      </c>
      <c r="B298" t="s">
        <v>165</v>
      </c>
      <c r="C298" t="s">
        <v>45</v>
      </c>
    </row>
    <row r="299" spans="1:4" x14ac:dyDescent="0.2">
      <c r="A299" s="3" t="s">
        <v>1002</v>
      </c>
      <c r="B299" t="s">
        <v>956</v>
      </c>
      <c r="C299" t="s">
        <v>45</v>
      </c>
    </row>
    <row r="300" spans="1:4" x14ac:dyDescent="0.2">
      <c r="A300" t="s">
        <v>175</v>
      </c>
      <c r="B300" t="s">
        <v>165</v>
      </c>
      <c r="C300" t="s">
        <v>45</v>
      </c>
    </row>
    <row r="301" spans="1:4" x14ac:dyDescent="0.2">
      <c r="A301" s="3" t="s">
        <v>470</v>
      </c>
      <c r="B301" t="s">
        <v>469</v>
      </c>
      <c r="C301" t="s">
        <v>45</v>
      </c>
    </row>
    <row r="302" spans="1:4" x14ac:dyDescent="0.2">
      <c r="A302" t="s">
        <v>176</v>
      </c>
      <c r="B302" t="s">
        <v>165</v>
      </c>
      <c r="C302" t="s">
        <v>45</v>
      </c>
      <c r="D302" t="s">
        <v>20</v>
      </c>
    </row>
    <row r="303" spans="1:4" x14ac:dyDescent="0.2">
      <c r="A303" t="s">
        <v>1003</v>
      </c>
      <c r="B303" t="s">
        <v>956</v>
      </c>
      <c r="C303" t="s">
        <v>45</v>
      </c>
    </row>
    <row r="304" spans="1:4" x14ac:dyDescent="0.2">
      <c r="A304" s="3" t="s">
        <v>1004</v>
      </c>
      <c r="B304" t="s">
        <v>956</v>
      </c>
      <c r="C304" t="s">
        <v>45</v>
      </c>
    </row>
    <row r="305" spans="1:4" x14ac:dyDescent="0.2">
      <c r="A305" t="s">
        <v>847</v>
      </c>
      <c r="B305" t="s">
        <v>848</v>
      </c>
      <c r="C305" t="s">
        <v>6</v>
      </c>
      <c r="D305" t="s">
        <v>829</v>
      </c>
    </row>
    <row r="306" spans="1:4" x14ac:dyDescent="0.2">
      <c r="A306" t="s">
        <v>849</v>
      </c>
      <c r="B306" t="s">
        <v>848</v>
      </c>
      <c r="C306" t="s">
        <v>6</v>
      </c>
      <c r="D306" t="s">
        <v>829</v>
      </c>
    </row>
    <row r="307" spans="1:4" x14ac:dyDescent="0.2">
      <c r="A307" t="s">
        <v>177</v>
      </c>
      <c r="B307" t="s">
        <v>165</v>
      </c>
      <c r="C307" t="s">
        <v>45</v>
      </c>
    </row>
    <row r="308" spans="1:4" x14ac:dyDescent="0.2">
      <c r="A308" s="28" t="s">
        <v>1311</v>
      </c>
      <c r="B308" t="s">
        <v>165</v>
      </c>
      <c r="C308" t="s">
        <v>45</v>
      </c>
    </row>
    <row r="309" spans="1:4" x14ac:dyDescent="0.2">
      <c r="A309" t="s">
        <v>599</v>
      </c>
      <c r="B309" t="s">
        <v>600</v>
      </c>
      <c r="C309" t="s">
        <v>6</v>
      </c>
    </row>
    <row r="310" spans="1:4" x14ac:dyDescent="0.2">
      <c r="A310" s="28" t="s">
        <v>1307</v>
      </c>
      <c r="B310" t="s">
        <v>796</v>
      </c>
      <c r="C310" t="s">
        <v>45</v>
      </c>
    </row>
    <row r="311" spans="1:4" x14ac:dyDescent="0.2">
      <c r="A311" s="3" t="s">
        <v>1187</v>
      </c>
      <c r="B311" t="s">
        <v>5</v>
      </c>
      <c r="C311" t="s">
        <v>6</v>
      </c>
    </row>
    <row r="312" spans="1:4" x14ac:dyDescent="0.2">
      <c r="A312" t="s">
        <v>1005</v>
      </c>
      <c r="B312" t="s">
        <v>956</v>
      </c>
      <c r="C312" t="s">
        <v>45</v>
      </c>
    </row>
    <row r="313" spans="1:4" x14ac:dyDescent="0.2">
      <c r="A313" s="28" t="s">
        <v>1453</v>
      </c>
      <c r="B313" t="s">
        <v>600</v>
      </c>
      <c r="C313" t="s">
        <v>6</v>
      </c>
    </row>
    <row r="314" spans="1:4" x14ac:dyDescent="0.2">
      <c r="A314" t="s">
        <v>178</v>
      </c>
      <c r="B314" t="s">
        <v>165</v>
      </c>
      <c r="C314" t="s">
        <v>45</v>
      </c>
    </row>
    <row r="315" spans="1:4" x14ac:dyDescent="0.2">
      <c r="A315" s="3" t="s">
        <v>518</v>
      </c>
      <c r="B315" t="s">
        <v>514</v>
      </c>
      <c r="C315" t="s">
        <v>6</v>
      </c>
    </row>
    <row r="316" spans="1:4" x14ac:dyDescent="0.2">
      <c r="A316" s="28" t="s">
        <v>1595</v>
      </c>
      <c r="B316" t="s">
        <v>828</v>
      </c>
      <c r="C316" t="s">
        <v>6</v>
      </c>
    </row>
    <row r="317" spans="1:4" x14ac:dyDescent="0.2">
      <c r="A317" s="3" t="s">
        <v>1006</v>
      </c>
      <c r="B317" t="s">
        <v>956</v>
      </c>
      <c r="C317" t="s">
        <v>45</v>
      </c>
    </row>
    <row r="318" spans="1:4" x14ac:dyDescent="0.2">
      <c r="A318" s="3" t="s">
        <v>1007</v>
      </c>
      <c r="B318" t="s">
        <v>956</v>
      </c>
      <c r="C318" t="s">
        <v>45</v>
      </c>
    </row>
    <row r="319" spans="1:4" x14ac:dyDescent="0.2">
      <c r="A319" t="s">
        <v>88</v>
      </c>
      <c r="B319" t="s">
        <v>87</v>
      </c>
      <c r="C319" t="s">
        <v>6</v>
      </c>
    </row>
    <row r="320" spans="1:4" x14ac:dyDescent="0.2">
      <c r="A320" s="28" t="s">
        <v>1455</v>
      </c>
      <c r="B320" t="s">
        <v>600</v>
      </c>
      <c r="C320" t="s">
        <v>6</v>
      </c>
    </row>
    <row r="321" spans="1:4" x14ac:dyDescent="0.2">
      <c r="A321" t="s">
        <v>903</v>
      </c>
      <c r="B321" t="s">
        <v>901</v>
      </c>
      <c r="C321" t="s">
        <v>45</v>
      </c>
    </row>
    <row r="322" spans="1:4" x14ac:dyDescent="0.2">
      <c r="A322" s="28" t="s">
        <v>1396</v>
      </c>
      <c r="B322" t="s">
        <v>956</v>
      </c>
      <c r="C322" t="s">
        <v>6</v>
      </c>
    </row>
    <row r="323" spans="1:4" x14ac:dyDescent="0.2">
      <c r="A323" s="3" t="s">
        <v>18</v>
      </c>
      <c r="B323" t="s">
        <v>5</v>
      </c>
      <c r="C323" t="s">
        <v>6</v>
      </c>
    </row>
    <row r="324" spans="1:4" x14ac:dyDescent="0.2">
      <c r="A324" t="s">
        <v>19</v>
      </c>
      <c r="B324" t="s">
        <v>5</v>
      </c>
      <c r="C324" t="s">
        <v>6</v>
      </c>
      <c r="D324" t="s">
        <v>20</v>
      </c>
    </row>
    <row r="325" spans="1:4" x14ac:dyDescent="0.2">
      <c r="A325" t="s">
        <v>21</v>
      </c>
      <c r="B325" t="s">
        <v>5</v>
      </c>
      <c r="C325" t="s">
        <v>6</v>
      </c>
      <c r="D325" t="s">
        <v>20</v>
      </c>
    </row>
    <row r="326" spans="1:4" x14ac:dyDescent="0.2">
      <c r="A326" s="3" t="s">
        <v>471</v>
      </c>
      <c r="B326" t="s">
        <v>469</v>
      </c>
      <c r="C326" t="s">
        <v>45</v>
      </c>
    </row>
    <row r="327" spans="1:4" x14ac:dyDescent="0.2">
      <c r="A327" t="s">
        <v>2512</v>
      </c>
      <c r="B327" t="s">
        <v>956</v>
      </c>
      <c r="C327" t="s">
        <v>45</v>
      </c>
    </row>
    <row r="328" spans="1:4" x14ac:dyDescent="0.2">
      <c r="A328" s="6" t="s">
        <v>1008</v>
      </c>
      <c r="B328" t="s">
        <v>956</v>
      </c>
      <c r="C328" t="s">
        <v>45</v>
      </c>
      <c r="D328" t="s">
        <v>1009</v>
      </c>
    </row>
    <row r="329" spans="1:4" x14ac:dyDescent="0.2">
      <c r="A329" t="s">
        <v>2529</v>
      </c>
    </row>
    <row r="330" spans="1:4" x14ac:dyDescent="0.2">
      <c r="A330" t="s">
        <v>179</v>
      </c>
      <c r="B330" t="s">
        <v>165</v>
      </c>
      <c r="C330" t="s">
        <v>45</v>
      </c>
    </row>
    <row r="331" spans="1:4" x14ac:dyDescent="0.2">
      <c r="A331" t="s">
        <v>180</v>
      </c>
      <c r="B331" t="s">
        <v>165</v>
      </c>
      <c r="C331" t="s">
        <v>45</v>
      </c>
      <c r="D331" t="s">
        <v>20</v>
      </c>
    </row>
    <row r="332" spans="1:4" x14ac:dyDescent="0.2">
      <c r="A332" t="s">
        <v>181</v>
      </c>
      <c r="B332" t="s">
        <v>165</v>
      </c>
      <c r="C332" t="s">
        <v>45</v>
      </c>
      <c r="D332" t="s">
        <v>20</v>
      </c>
    </row>
    <row r="333" spans="1:4" x14ac:dyDescent="0.2">
      <c r="A333" t="s">
        <v>182</v>
      </c>
      <c r="B333" t="s">
        <v>165</v>
      </c>
      <c r="C333" t="s">
        <v>45</v>
      </c>
    </row>
    <row r="334" spans="1:4" x14ac:dyDescent="0.2">
      <c r="A334" s="3" t="s">
        <v>1010</v>
      </c>
      <c r="B334" t="s">
        <v>956</v>
      </c>
      <c r="C334" t="s">
        <v>45</v>
      </c>
    </row>
    <row r="335" spans="1:4" x14ac:dyDescent="0.2">
      <c r="A335" t="s">
        <v>89</v>
      </c>
      <c r="B335" t="s">
        <v>87</v>
      </c>
      <c r="C335" t="s">
        <v>6</v>
      </c>
      <c r="D335" t="s">
        <v>90</v>
      </c>
    </row>
    <row r="336" spans="1:4" x14ac:dyDescent="0.2">
      <c r="A336" t="s">
        <v>601</v>
      </c>
      <c r="B336" t="s">
        <v>600</v>
      </c>
      <c r="C336" t="s">
        <v>6</v>
      </c>
      <c r="D336" t="s">
        <v>20</v>
      </c>
    </row>
    <row r="337" spans="1:4" x14ac:dyDescent="0.2">
      <c r="A337" s="3" t="s">
        <v>183</v>
      </c>
      <c r="B337" t="s">
        <v>165</v>
      </c>
      <c r="C337" t="s">
        <v>45</v>
      </c>
    </row>
    <row r="338" spans="1:4" x14ac:dyDescent="0.2">
      <c r="A338" t="s">
        <v>22</v>
      </c>
      <c r="B338" t="s">
        <v>5</v>
      </c>
      <c r="C338" t="s">
        <v>6</v>
      </c>
    </row>
    <row r="339" spans="1:4" x14ac:dyDescent="0.2">
      <c r="A339" t="s">
        <v>1011</v>
      </c>
      <c r="B339" t="s">
        <v>956</v>
      </c>
      <c r="C339" t="s">
        <v>45</v>
      </c>
    </row>
    <row r="340" spans="1:4" x14ac:dyDescent="0.2">
      <c r="A340" s="3" t="s">
        <v>1012</v>
      </c>
      <c r="B340" t="s">
        <v>956</v>
      </c>
      <c r="C340" t="s">
        <v>45</v>
      </c>
    </row>
    <row r="341" spans="1:4" x14ac:dyDescent="0.2">
      <c r="A341" s="28" t="s">
        <v>1385</v>
      </c>
      <c r="B341" t="s">
        <v>68</v>
      </c>
      <c r="C341" t="s">
        <v>45</v>
      </c>
    </row>
    <row r="342" spans="1:4" x14ac:dyDescent="0.2">
      <c r="A342" s="3" t="s">
        <v>184</v>
      </c>
      <c r="B342" t="s">
        <v>165</v>
      </c>
      <c r="C342" t="s">
        <v>45</v>
      </c>
    </row>
    <row r="343" spans="1:4" x14ac:dyDescent="0.2">
      <c r="A343" t="s">
        <v>185</v>
      </c>
      <c r="B343" t="s">
        <v>165</v>
      </c>
      <c r="C343" t="s">
        <v>45</v>
      </c>
    </row>
    <row r="344" spans="1:4" x14ac:dyDescent="0.2">
      <c r="A344" s="3" t="s">
        <v>186</v>
      </c>
      <c r="B344" t="s">
        <v>165</v>
      </c>
      <c r="C344" t="s">
        <v>45</v>
      </c>
    </row>
    <row r="345" spans="1:4" x14ac:dyDescent="0.2">
      <c r="A345" s="28" t="s">
        <v>1357</v>
      </c>
      <c r="B345" t="s">
        <v>165</v>
      </c>
      <c r="C345" t="s">
        <v>45</v>
      </c>
    </row>
    <row r="346" spans="1:4" x14ac:dyDescent="0.2">
      <c r="A346" t="s">
        <v>23</v>
      </c>
      <c r="B346" t="s">
        <v>5</v>
      </c>
      <c r="C346" t="s">
        <v>6</v>
      </c>
    </row>
    <row r="347" spans="1:4" x14ac:dyDescent="0.2">
      <c r="A347" t="s">
        <v>1013</v>
      </c>
      <c r="B347" s="16" t="s">
        <v>956</v>
      </c>
      <c r="C347" s="16" t="s">
        <v>45</v>
      </c>
    </row>
    <row r="348" spans="1:4" x14ac:dyDescent="0.2">
      <c r="A348" t="s">
        <v>519</v>
      </c>
      <c r="B348" t="s">
        <v>514</v>
      </c>
      <c r="C348" t="s">
        <v>6</v>
      </c>
      <c r="D348" t="s">
        <v>20</v>
      </c>
    </row>
    <row r="349" spans="1:4" x14ac:dyDescent="0.2">
      <c r="A349" t="s">
        <v>187</v>
      </c>
      <c r="B349" t="s">
        <v>165</v>
      </c>
      <c r="C349" t="s">
        <v>45</v>
      </c>
      <c r="D349" t="s">
        <v>20</v>
      </c>
    </row>
    <row r="350" spans="1:4" x14ac:dyDescent="0.2">
      <c r="A350" t="s">
        <v>1188</v>
      </c>
      <c r="B350" t="s">
        <v>165</v>
      </c>
      <c r="C350" t="s">
        <v>45</v>
      </c>
    </row>
    <row r="351" spans="1:4" x14ac:dyDescent="0.2">
      <c r="A351" t="s">
        <v>2540</v>
      </c>
    </row>
    <row r="352" spans="1:4" x14ac:dyDescent="0.2">
      <c r="A352" s="28" t="s">
        <v>1362</v>
      </c>
      <c r="B352" t="s">
        <v>956</v>
      </c>
      <c r="C352" t="s">
        <v>45</v>
      </c>
    </row>
    <row r="353" spans="1:4" x14ac:dyDescent="0.2">
      <c r="A353" s="28" t="s">
        <v>1475</v>
      </c>
      <c r="B353" t="s">
        <v>956</v>
      </c>
      <c r="C353" t="s">
        <v>45</v>
      </c>
    </row>
    <row r="354" spans="1:4" x14ac:dyDescent="0.2">
      <c r="A354" t="s">
        <v>24</v>
      </c>
      <c r="B354" t="s">
        <v>956</v>
      </c>
      <c r="C354" t="s">
        <v>45</v>
      </c>
    </row>
    <row r="355" spans="1:4" x14ac:dyDescent="0.2">
      <c r="A355" s="3" t="s">
        <v>25</v>
      </c>
      <c r="B355" t="s">
        <v>956</v>
      </c>
      <c r="C355" t="s">
        <v>45</v>
      </c>
    </row>
    <row r="356" spans="1:4" x14ac:dyDescent="0.2">
      <c r="A356" t="s">
        <v>26</v>
      </c>
      <c r="B356" t="s">
        <v>956</v>
      </c>
      <c r="C356" t="s">
        <v>45</v>
      </c>
    </row>
    <row r="357" spans="1:4" x14ac:dyDescent="0.2">
      <c r="A357" s="3" t="s">
        <v>27</v>
      </c>
      <c r="B357" t="s">
        <v>956</v>
      </c>
      <c r="C357" t="s">
        <v>45</v>
      </c>
    </row>
    <row r="358" spans="1:4" x14ac:dyDescent="0.2">
      <c r="A358" t="s">
        <v>28</v>
      </c>
      <c r="B358" t="s">
        <v>956</v>
      </c>
      <c r="C358" t="s">
        <v>45</v>
      </c>
      <c r="D358" t="s">
        <v>7</v>
      </c>
    </row>
    <row r="359" spans="1:4" x14ac:dyDescent="0.2">
      <c r="A359" s="28" t="s">
        <v>1495</v>
      </c>
      <c r="B359" t="s">
        <v>956</v>
      </c>
      <c r="C359" t="s">
        <v>45</v>
      </c>
    </row>
    <row r="360" spans="1:4" x14ac:dyDescent="0.2">
      <c r="A360" s="28" t="s">
        <v>1495</v>
      </c>
      <c r="B360" t="s">
        <v>956</v>
      </c>
      <c r="C360" t="s">
        <v>45</v>
      </c>
    </row>
    <row r="361" spans="1:4" x14ac:dyDescent="0.2">
      <c r="A361" t="s">
        <v>29</v>
      </c>
      <c r="B361" t="s">
        <v>956</v>
      </c>
      <c r="C361" t="s">
        <v>45</v>
      </c>
    </row>
    <row r="362" spans="1:4" x14ac:dyDescent="0.2">
      <c r="A362" t="s">
        <v>30</v>
      </c>
      <c r="B362" t="s">
        <v>956</v>
      </c>
      <c r="C362" t="s">
        <v>45</v>
      </c>
    </row>
    <row r="363" spans="1:4" x14ac:dyDescent="0.2">
      <c r="A363" s="3" t="s">
        <v>31</v>
      </c>
      <c r="B363" t="s">
        <v>956</v>
      </c>
      <c r="C363" t="s">
        <v>45</v>
      </c>
    </row>
    <row r="364" spans="1:4" x14ac:dyDescent="0.2">
      <c r="A364" t="s">
        <v>32</v>
      </c>
      <c r="B364" t="s">
        <v>956</v>
      </c>
      <c r="C364" t="s">
        <v>45</v>
      </c>
    </row>
    <row r="365" spans="1:4" x14ac:dyDescent="0.2">
      <c r="A365" s="28" t="s">
        <v>1791</v>
      </c>
      <c r="B365" t="s">
        <v>956</v>
      </c>
      <c r="C365" t="s">
        <v>45</v>
      </c>
    </row>
    <row r="366" spans="1:4" x14ac:dyDescent="0.2">
      <c r="A366" t="s">
        <v>33</v>
      </c>
      <c r="B366" t="s">
        <v>956</v>
      </c>
      <c r="C366" t="s">
        <v>45</v>
      </c>
      <c r="D366" t="s">
        <v>7</v>
      </c>
    </row>
    <row r="367" spans="1:4" x14ac:dyDescent="0.2">
      <c r="A367" t="s">
        <v>836</v>
      </c>
      <c r="B367" t="s">
        <v>956</v>
      </c>
      <c r="C367" t="s">
        <v>45</v>
      </c>
    </row>
    <row r="368" spans="1:4" x14ac:dyDescent="0.2">
      <c r="A368" s="3" t="s">
        <v>188</v>
      </c>
      <c r="B368" t="s">
        <v>956</v>
      </c>
      <c r="C368" t="s">
        <v>45</v>
      </c>
    </row>
    <row r="369" spans="1:4" x14ac:dyDescent="0.2">
      <c r="A369" t="s">
        <v>189</v>
      </c>
      <c r="B369" t="s">
        <v>956</v>
      </c>
      <c r="C369" t="s">
        <v>45</v>
      </c>
      <c r="D369" t="s">
        <v>20</v>
      </c>
    </row>
    <row r="370" spans="1:4" x14ac:dyDescent="0.2">
      <c r="A370" s="28" t="s">
        <v>1379</v>
      </c>
      <c r="B370" t="s">
        <v>956</v>
      </c>
      <c r="C370" t="s">
        <v>45</v>
      </c>
    </row>
    <row r="371" spans="1:4" x14ac:dyDescent="0.2">
      <c r="A371" s="3" t="s">
        <v>190</v>
      </c>
      <c r="B371" t="s">
        <v>956</v>
      </c>
      <c r="C371" t="s">
        <v>45</v>
      </c>
    </row>
    <row r="372" spans="1:4" x14ac:dyDescent="0.2">
      <c r="A372" t="s">
        <v>191</v>
      </c>
      <c r="B372" t="s">
        <v>956</v>
      </c>
      <c r="C372" t="s">
        <v>45</v>
      </c>
      <c r="D372" t="s">
        <v>20</v>
      </c>
    </row>
    <row r="373" spans="1:4" x14ac:dyDescent="0.2">
      <c r="A373" s="3" t="s">
        <v>192</v>
      </c>
      <c r="B373" t="s">
        <v>956</v>
      </c>
      <c r="C373" t="s">
        <v>45</v>
      </c>
    </row>
    <row r="374" spans="1:4" x14ac:dyDescent="0.2">
      <c r="A374" s="3" t="s">
        <v>193</v>
      </c>
      <c r="B374" t="s">
        <v>956</v>
      </c>
      <c r="C374" t="s">
        <v>45</v>
      </c>
    </row>
    <row r="375" spans="1:4" x14ac:dyDescent="0.2">
      <c r="A375" t="s">
        <v>194</v>
      </c>
      <c r="B375" t="s">
        <v>956</v>
      </c>
      <c r="C375" t="s">
        <v>45</v>
      </c>
      <c r="D375" t="s">
        <v>20</v>
      </c>
    </row>
    <row r="376" spans="1:4" x14ac:dyDescent="0.2">
      <c r="A376" t="s">
        <v>195</v>
      </c>
      <c r="B376" t="s">
        <v>956</v>
      </c>
      <c r="C376" t="s">
        <v>45</v>
      </c>
      <c r="D376" t="s">
        <v>20</v>
      </c>
    </row>
    <row r="377" spans="1:4" x14ac:dyDescent="0.2">
      <c r="A377" s="28" t="s">
        <v>1832</v>
      </c>
      <c r="B377" t="s">
        <v>956</v>
      </c>
      <c r="C377" t="s">
        <v>45</v>
      </c>
    </row>
    <row r="378" spans="1:4" x14ac:dyDescent="0.2">
      <c r="A378" t="s">
        <v>196</v>
      </c>
      <c r="B378" t="s">
        <v>956</v>
      </c>
      <c r="C378" t="s">
        <v>45</v>
      </c>
      <c r="D378" t="s">
        <v>20</v>
      </c>
    </row>
    <row r="379" spans="1:4" x14ac:dyDescent="0.2">
      <c r="A379" t="s">
        <v>197</v>
      </c>
      <c r="B379" t="s">
        <v>956</v>
      </c>
      <c r="C379" t="s">
        <v>45</v>
      </c>
      <c r="D379" t="s">
        <v>20</v>
      </c>
    </row>
    <row r="380" spans="1:4" x14ac:dyDescent="0.2">
      <c r="A380" t="s">
        <v>198</v>
      </c>
      <c r="B380" t="s">
        <v>956</v>
      </c>
      <c r="C380" t="s">
        <v>45</v>
      </c>
      <c r="D380" t="s">
        <v>20</v>
      </c>
    </row>
    <row r="381" spans="1:4" x14ac:dyDescent="0.2">
      <c r="A381" t="s">
        <v>199</v>
      </c>
      <c r="B381" t="s">
        <v>956</v>
      </c>
      <c r="C381" t="s">
        <v>45</v>
      </c>
      <c r="D381" t="s">
        <v>20</v>
      </c>
    </row>
    <row r="382" spans="1:4" x14ac:dyDescent="0.2">
      <c r="A382" s="3" t="s">
        <v>200</v>
      </c>
      <c r="B382" t="s">
        <v>956</v>
      </c>
      <c r="C382" t="s">
        <v>45</v>
      </c>
    </row>
    <row r="383" spans="1:4" x14ac:dyDescent="0.2">
      <c r="A383" t="s">
        <v>1014</v>
      </c>
      <c r="B383" t="s">
        <v>956</v>
      </c>
      <c r="C383" t="s">
        <v>45</v>
      </c>
      <c r="D383" t="s">
        <v>1015</v>
      </c>
    </row>
    <row r="384" spans="1:4" x14ac:dyDescent="0.2">
      <c r="A384" t="s">
        <v>201</v>
      </c>
      <c r="B384" t="s">
        <v>956</v>
      </c>
      <c r="C384" t="s">
        <v>45</v>
      </c>
      <c r="D384" t="s">
        <v>202</v>
      </c>
    </row>
    <row r="385" spans="1:4" x14ac:dyDescent="0.2">
      <c r="A385" t="s">
        <v>1016</v>
      </c>
      <c r="B385" t="s">
        <v>956</v>
      </c>
      <c r="C385" t="s">
        <v>45</v>
      </c>
    </row>
    <row r="386" spans="1:4" x14ac:dyDescent="0.2">
      <c r="A386" s="28" t="s">
        <v>1646</v>
      </c>
      <c r="B386" t="s">
        <v>956</v>
      </c>
      <c r="C386" t="s">
        <v>45</v>
      </c>
    </row>
    <row r="387" spans="1:4" x14ac:dyDescent="0.2">
      <c r="A387" t="s">
        <v>1017</v>
      </c>
      <c r="B387" t="s">
        <v>956</v>
      </c>
      <c r="C387" t="s">
        <v>45</v>
      </c>
    </row>
    <row r="388" spans="1:4" x14ac:dyDescent="0.2">
      <c r="A388" s="3" t="s">
        <v>1018</v>
      </c>
      <c r="B388" t="s">
        <v>956</v>
      </c>
      <c r="C388" t="s">
        <v>45</v>
      </c>
    </row>
    <row r="389" spans="1:4" x14ac:dyDescent="0.2">
      <c r="A389" t="s">
        <v>1147</v>
      </c>
      <c r="B389" t="s">
        <v>956</v>
      </c>
      <c r="C389" t="s">
        <v>45</v>
      </c>
      <c r="D389" t="s">
        <v>1149</v>
      </c>
    </row>
    <row r="390" spans="1:4" x14ac:dyDescent="0.2">
      <c r="A390" s="6" t="s">
        <v>1019</v>
      </c>
      <c r="B390" t="s">
        <v>956</v>
      </c>
      <c r="C390" t="s">
        <v>45</v>
      </c>
    </row>
    <row r="391" spans="1:4" x14ac:dyDescent="0.2">
      <c r="A391" s="3" t="s">
        <v>1020</v>
      </c>
      <c r="B391" t="s">
        <v>956</v>
      </c>
      <c r="C391" t="s">
        <v>45</v>
      </c>
    </row>
    <row r="392" spans="1:4" x14ac:dyDescent="0.2">
      <c r="A392" s="28" t="s">
        <v>1494</v>
      </c>
      <c r="B392" t="s">
        <v>956</v>
      </c>
      <c r="C392" t="s">
        <v>45</v>
      </c>
    </row>
    <row r="393" spans="1:4" x14ac:dyDescent="0.2">
      <c r="A393" t="s">
        <v>701</v>
      </c>
      <c r="B393" t="s">
        <v>956</v>
      </c>
      <c r="C393" t="s">
        <v>45</v>
      </c>
      <c r="D393" t="s">
        <v>643</v>
      </c>
    </row>
    <row r="394" spans="1:4" x14ac:dyDescent="0.2">
      <c r="A394" t="s">
        <v>1021</v>
      </c>
      <c r="B394" t="s">
        <v>956</v>
      </c>
      <c r="C394" t="s">
        <v>45</v>
      </c>
      <c r="D394" t="s">
        <v>958</v>
      </c>
    </row>
    <row r="395" spans="1:4" x14ac:dyDescent="0.2">
      <c r="A395" s="28" t="s">
        <v>1452</v>
      </c>
      <c r="B395" t="s">
        <v>956</v>
      </c>
      <c r="C395" t="s">
        <v>45</v>
      </c>
    </row>
    <row r="396" spans="1:4" x14ac:dyDescent="0.2">
      <c r="A396" t="s">
        <v>859</v>
      </c>
      <c r="B396" t="s">
        <v>956</v>
      </c>
      <c r="C396" t="s">
        <v>45</v>
      </c>
    </row>
    <row r="397" spans="1:4" x14ac:dyDescent="0.2">
      <c r="A397" t="s">
        <v>1022</v>
      </c>
      <c r="B397" t="s">
        <v>956</v>
      </c>
      <c r="C397" t="s">
        <v>45</v>
      </c>
    </row>
    <row r="398" spans="1:4" x14ac:dyDescent="0.2">
      <c r="A398" t="s">
        <v>860</v>
      </c>
      <c r="B398" t="s">
        <v>956</v>
      </c>
      <c r="C398" t="s">
        <v>45</v>
      </c>
    </row>
    <row r="399" spans="1:4" x14ac:dyDescent="0.2">
      <c r="A399" t="s">
        <v>1023</v>
      </c>
      <c r="B399" t="s">
        <v>956</v>
      </c>
      <c r="C399" t="s">
        <v>45</v>
      </c>
    </row>
    <row r="400" spans="1:4" x14ac:dyDescent="0.2">
      <c r="A400" s="3" t="s">
        <v>1192</v>
      </c>
      <c r="B400" t="s">
        <v>956</v>
      </c>
      <c r="C400" t="s">
        <v>45</v>
      </c>
    </row>
    <row r="401" spans="1:4" x14ac:dyDescent="0.2">
      <c r="A401" s="28" t="s">
        <v>1371</v>
      </c>
      <c r="B401" t="s">
        <v>956</v>
      </c>
      <c r="C401" t="s">
        <v>45</v>
      </c>
    </row>
    <row r="402" spans="1:4" x14ac:dyDescent="0.2">
      <c r="A402" s="3" t="s">
        <v>1150</v>
      </c>
      <c r="B402" t="s">
        <v>956</v>
      </c>
      <c r="C402" t="s">
        <v>45</v>
      </c>
    </row>
    <row r="403" spans="1:4" x14ac:dyDescent="0.2">
      <c r="A403" t="s">
        <v>1151</v>
      </c>
      <c r="B403" t="s">
        <v>956</v>
      </c>
      <c r="C403" t="s">
        <v>45</v>
      </c>
    </row>
    <row r="404" spans="1:4" x14ac:dyDescent="0.2">
      <c r="A404" t="s">
        <v>1152</v>
      </c>
      <c r="B404" t="s">
        <v>956</v>
      </c>
      <c r="C404" t="s">
        <v>45</v>
      </c>
      <c r="D404" t="s">
        <v>1149</v>
      </c>
    </row>
    <row r="405" spans="1:4" x14ac:dyDescent="0.2">
      <c r="A405" t="s">
        <v>203</v>
      </c>
      <c r="B405" t="s">
        <v>956</v>
      </c>
      <c r="C405" t="s">
        <v>45</v>
      </c>
      <c r="D405" t="s">
        <v>20</v>
      </c>
    </row>
    <row r="406" spans="1:4" x14ac:dyDescent="0.2">
      <c r="A406" s="3" t="s">
        <v>1193</v>
      </c>
      <c r="B406" t="s">
        <v>956</v>
      </c>
      <c r="C406" t="s">
        <v>45</v>
      </c>
    </row>
    <row r="407" spans="1:4" x14ac:dyDescent="0.2">
      <c r="A407" s="3" t="s">
        <v>520</v>
      </c>
      <c r="B407" t="s">
        <v>956</v>
      </c>
      <c r="C407" t="s">
        <v>45</v>
      </c>
    </row>
    <row r="408" spans="1:4" x14ac:dyDescent="0.2">
      <c r="A408" t="s">
        <v>702</v>
      </c>
      <c r="B408" t="s">
        <v>956</v>
      </c>
      <c r="C408" t="s">
        <v>45</v>
      </c>
    </row>
    <row r="409" spans="1:4" x14ac:dyDescent="0.2">
      <c r="A409" t="s">
        <v>521</v>
      </c>
      <c r="B409" t="s">
        <v>956</v>
      </c>
      <c r="C409" t="s">
        <v>45</v>
      </c>
      <c r="D409" t="s">
        <v>20</v>
      </c>
    </row>
    <row r="410" spans="1:4" x14ac:dyDescent="0.2">
      <c r="A410" t="s">
        <v>522</v>
      </c>
      <c r="B410" t="s">
        <v>956</v>
      </c>
      <c r="C410" t="s">
        <v>45</v>
      </c>
      <c r="D410" t="s">
        <v>20</v>
      </c>
    </row>
    <row r="411" spans="1:4" x14ac:dyDescent="0.2">
      <c r="A411" t="s">
        <v>523</v>
      </c>
      <c r="B411" t="s">
        <v>956</v>
      </c>
      <c r="C411" t="s">
        <v>45</v>
      </c>
      <c r="D411" t="s">
        <v>20</v>
      </c>
    </row>
    <row r="412" spans="1:4" x14ac:dyDescent="0.2">
      <c r="A412" t="s">
        <v>524</v>
      </c>
      <c r="B412" t="s">
        <v>956</v>
      </c>
      <c r="C412" t="s">
        <v>45</v>
      </c>
      <c r="D412" t="s">
        <v>20</v>
      </c>
    </row>
    <row r="413" spans="1:4" x14ac:dyDescent="0.2">
      <c r="A413" t="s">
        <v>525</v>
      </c>
      <c r="B413" t="s">
        <v>956</v>
      </c>
      <c r="C413" t="s">
        <v>45</v>
      </c>
      <c r="D413" t="s">
        <v>20</v>
      </c>
    </row>
    <row r="414" spans="1:4" x14ac:dyDescent="0.2">
      <c r="A414" s="7" t="s">
        <v>34</v>
      </c>
      <c r="B414" t="s">
        <v>956</v>
      </c>
      <c r="C414" t="s">
        <v>45</v>
      </c>
    </row>
    <row r="415" spans="1:4" x14ac:dyDescent="0.2">
      <c r="A415" s="33" t="s">
        <v>1712</v>
      </c>
      <c r="B415" t="s">
        <v>956</v>
      </c>
      <c r="C415" t="s">
        <v>45</v>
      </c>
    </row>
    <row r="416" spans="1:4" x14ac:dyDescent="0.2">
      <c r="A416" s="33" t="s">
        <v>1591</v>
      </c>
      <c r="B416" t="s">
        <v>956</v>
      </c>
      <c r="C416" t="s">
        <v>45</v>
      </c>
    </row>
    <row r="417" spans="1:4" x14ac:dyDescent="0.2">
      <c r="A417" s="33" t="s">
        <v>1591</v>
      </c>
      <c r="B417" t="s">
        <v>956</v>
      </c>
      <c r="C417" t="s">
        <v>45</v>
      </c>
    </row>
    <row r="418" spans="1:4" x14ac:dyDescent="0.2">
      <c r="A418" s="33" t="s">
        <v>1591</v>
      </c>
      <c r="B418" t="s">
        <v>956</v>
      </c>
      <c r="C418" t="s">
        <v>45</v>
      </c>
    </row>
    <row r="419" spans="1:4" x14ac:dyDescent="0.2">
      <c r="A419" s="7" t="s">
        <v>526</v>
      </c>
      <c r="B419" t="s">
        <v>956</v>
      </c>
      <c r="C419" t="s">
        <v>45</v>
      </c>
      <c r="D419" t="s">
        <v>20</v>
      </c>
    </row>
    <row r="420" spans="1:4" x14ac:dyDescent="0.2">
      <c r="A420" s="33" t="s">
        <v>1753</v>
      </c>
      <c r="B420" t="s">
        <v>956</v>
      </c>
      <c r="C420" t="s">
        <v>45</v>
      </c>
    </row>
    <row r="421" spans="1:4" x14ac:dyDescent="0.2">
      <c r="A421" s="33" t="s">
        <v>1732</v>
      </c>
      <c r="B421" t="s">
        <v>956</v>
      </c>
      <c r="C421" t="s">
        <v>45</v>
      </c>
    </row>
    <row r="422" spans="1:4" x14ac:dyDescent="0.2">
      <c r="A422" s="7" t="s">
        <v>527</v>
      </c>
      <c r="B422" t="s">
        <v>956</v>
      </c>
      <c r="C422" t="s">
        <v>45</v>
      </c>
      <c r="D422" t="s">
        <v>20</v>
      </c>
    </row>
    <row r="423" spans="1:4" x14ac:dyDescent="0.2">
      <c r="A423" s="7" t="s">
        <v>528</v>
      </c>
      <c r="B423" t="s">
        <v>956</v>
      </c>
      <c r="C423" t="s">
        <v>45</v>
      </c>
      <c r="D423" t="s">
        <v>20</v>
      </c>
    </row>
    <row r="424" spans="1:4" x14ac:dyDescent="0.2">
      <c r="A424" s="33" t="s">
        <v>1713</v>
      </c>
      <c r="B424" t="s">
        <v>956</v>
      </c>
      <c r="C424" t="s">
        <v>45</v>
      </c>
    </row>
    <row r="425" spans="1:4" x14ac:dyDescent="0.2">
      <c r="A425" s="7" t="s">
        <v>703</v>
      </c>
      <c r="B425" t="s">
        <v>956</v>
      </c>
      <c r="C425" t="s">
        <v>45</v>
      </c>
      <c r="D425" t="s">
        <v>20</v>
      </c>
    </row>
    <row r="426" spans="1:4" x14ac:dyDescent="0.2">
      <c r="A426" s="7" t="s">
        <v>704</v>
      </c>
      <c r="B426" t="s">
        <v>956</v>
      </c>
      <c r="C426" t="s">
        <v>45</v>
      </c>
      <c r="D426" t="s">
        <v>20</v>
      </c>
    </row>
    <row r="427" spans="1:4" x14ac:dyDescent="0.2">
      <c r="A427" s="7" t="s">
        <v>204</v>
      </c>
      <c r="B427" t="s">
        <v>956</v>
      </c>
      <c r="C427" t="s">
        <v>45</v>
      </c>
      <c r="D427" t="s">
        <v>20</v>
      </c>
    </row>
    <row r="428" spans="1:4" x14ac:dyDescent="0.2">
      <c r="A428" s="7" t="s">
        <v>205</v>
      </c>
      <c r="B428" t="s">
        <v>956</v>
      </c>
      <c r="C428" t="s">
        <v>45</v>
      </c>
      <c r="D428" t="s">
        <v>20</v>
      </c>
    </row>
    <row r="429" spans="1:4" x14ac:dyDescent="0.2">
      <c r="A429" s="7" t="s">
        <v>206</v>
      </c>
      <c r="B429" t="s">
        <v>956</v>
      </c>
      <c r="C429" t="s">
        <v>45</v>
      </c>
    </row>
    <row r="430" spans="1:4" x14ac:dyDescent="0.2">
      <c r="A430" s="7" t="s">
        <v>104</v>
      </c>
      <c r="B430" t="s">
        <v>956</v>
      </c>
      <c r="C430" t="s">
        <v>45</v>
      </c>
      <c r="D430" t="s">
        <v>105</v>
      </c>
    </row>
    <row r="431" spans="1:4" x14ac:dyDescent="0.2">
      <c r="A431" s="8" t="s">
        <v>1024</v>
      </c>
      <c r="B431" t="s">
        <v>956</v>
      </c>
      <c r="C431" t="s">
        <v>45</v>
      </c>
    </row>
    <row r="432" spans="1:4" x14ac:dyDescent="0.2">
      <c r="A432" s="33" t="s">
        <v>1742</v>
      </c>
      <c r="B432" t="s">
        <v>956</v>
      </c>
      <c r="C432" t="s">
        <v>45</v>
      </c>
    </row>
    <row r="433" spans="1:4" x14ac:dyDescent="0.2">
      <c r="A433" s="7" t="s">
        <v>497</v>
      </c>
      <c r="B433" t="s">
        <v>956</v>
      </c>
      <c r="C433" t="s">
        <v>45</v>
      </c>
      <c r="D433" t="s">
        <v>20</v>
      </c>
    </row>
    <row r="434" spans="1:4" x14ac:dyDescent="0.2">
      <c r="A434" s="33" t="s">
        <v>1353</v>
      </c>
      <c r="B434" t="s">
        <v>956</v>
      </c>
      <c r="C434" t="s">
        <v>45</v>
      </c>
    </row>
    <row r="435" spans="1:4" x14ac:dyDescent="0.2">
      <c r="A435" s="7" t="s">
        <v>1025</v>
      </c>
      <c r="B435" t="s">
        <v>956</v>
      </c>
      <c r="C435" t="s">
        <v>45</v>
      </c>
      <c r="D435" t="s">
        <v>958</v>
      </c>
    </row>
    <row r="436" spans="1:4" x14ac:dyDescent="0.2">
      <c r="A436" s="8" t="s">
        <v>1026</v>
      </c>
      <c r="B436" t="s">
        <v>956</v>
      </c>
      <c r="C436" t="s">
        <v>45</v>
      </c>
    </row>
    <row r="437" spans="1:4" x14ac:dyDescent="0.2">
      <c r="A437" s="33" t="s">
        <v>1366</v>
      </c>
      <c r="B437" t="s">
        <v>956</v>
      </c>
      <c r="C437" t="s">
        <v>45</v>
      </c>
    </row>
    <row r="438" spans="1:4" x14ac:dyDescent="0.2">
      <c r="A438" s="33" t="s">
        <v>1480</v>
      </c>
      <c r="B438" t="s">
        <v>956</v>
      </c>
      <c r="C438" t="s">
        <v>45</v>
      </c>
    </row>
    <row r="439" spans="1:4" x14ac:dyDescent="0.2">
      <c r="A439" s="33" t="s">
        <v>1450</v>
      </c>
      <c r="B439" t="s">
        <v>956</v>
      </c>
      <c r="C439" t="s">
        <v>45</v>
      </c>
    </row>
    <row r="440" spans="1:4" x14ac:dyDescent="0.2">
      <c r="A440" s="33" t="s">
        <v>1468</v>
      </c>
      <c r="B440" t="s">
        <v>956</v>
      </c>
      <c r="C440" t="s">
        <v>45</v>
      </c>
    </row>
    <row r="441" spans="1:4" x14ac:dyDescent="0.2">
      <c r="A441" s="33" t="s">
        <v>1407</v>
      </c>
      <c r="B441" t="s">
        <v>956</v>
      </c>
      <c r="C441" t="s">
        <v>45</v>
      </c>
    </row>
    <row r="442" spans="1:4" x14ac:dyDescent="0.2">
      <c r="A442" s="33" t="s">
        <v>1339</v>
      </c>
      <c r="B442" t="s">
        <v>956</v>
      </c>
      <c r="C442" t="s">
        <v>45</v>
      </c>
    </row>
    <row r="443" spans="1:4" x14ac:dyDescent="0.2">
      <c r="A443" s="33" t="s">
        <v>1377</v>
      </c>
      <c r="B443" t="s">
        <v>956</v>
      </c>
      <c r="C443" t="s">
        <v>45</v>
      </c>
    </row>
    <row r="444" spans="1:4" x14ac:dyDescent="0.2">
      <c r="A444" s="33" t="s">
        <v>1377</v>
      </c>
      <c r="B444" t="s">
        <v>956</v>
      </c>
      <c r="C444" t="s">
        <v>45</v>
      </c>
    </row>
    <row r="445" spans="1:4" x14ac:dyDescent="0.2">
      <c r="A445" s="33" t="s">
        <v>1377</v>
      </c>
      <c r="B445" t="s">
        <v>956</v>
      </c>
      <c r="C445" t="s">
        <v>45</v>
      </c>
    </row>
    <row r="446" spans="1:4" x14ac:dyDescent="0.2">
      <c r="A446" s="33" t="s">
        <v>1377</v>
      </c>
      <c r="B446" t="s">
        <v>956</v>
      </c>
      <c r="C446" t="s">
        <v>45</v>
      </c>
    </row>
    <row r="447" spans="1:4" x14ac:dyDescent="0.2">
      <c r="A447" s="33" t="s">
        <v>1377</v>
      </c>
      <c r="B447" t="s">
        <v>956</v>
      </c>
      <c r="C447" t="s">
        <v>45</v>
      </c>
    </row>
    <row r="448" spans="1:4" x14ac:dyDescent="0.2">
      <c r="A448" s="33" t="s">
        <v>1377</v>
      </c>
      <c r="B448" t="s">
        <v>956</v>
      </c>
      <c r="C448" t="s">
        <v>45</v>
      </c>
    </row>
    <row r="449" spans="1:3" x14ac:dyDescent="0.2">
      <c r="A449" s="33" t="s">
        <v>1377</v>
      </c>
      <c r="B449" t="s">
        <v>956</v>
      </c>
      <c r="C449" t="s">
        <v>45</v>
      </c>
    </row>
    <row r="450" spans="1:3" x14ac:dyDescent="0.2">
      <c r="A450" s="33" t="s">
        <v>1377</v>
      </c>
      <c r="B450" t="s">
        <v>956</v>
      </c>
      <c r="C450" t="s">
        <v>45</v>
      </c>
    </row>
    <row r="451" spans="1:3" x14ac:dyDescent="0.2">
      <c r="A451" s="33" t="s">
        <v>1377</v>
      </c>
      <c r="B451" t="s">
        <v>956</v>
      </c>
      <c r="C451" t="s">
        <v>45</v>
      </c>
    </row>
    <row r="452" spans="1:3" x14ac:dyDescent="0.2">
      <c r="A452" s="33" t="s">
        <v>1377</v>
      </c>
      <c r="B452" t="s">
        <v>956</v>
      </c>
      <c r="C452" t="s">
        <v>45</v>
      </c>
    </row>
    <row r="453" spans="1:3" x14ac:dyDescent="0.2">
      <c r="A453" s="33" t="s">
        <v>1377</v>
      </c>
      <c r="B453" t="s">
        <v>956</v>
      </c>
      <c r="C453" t="s">
        <v>45</v>
      </c>
    </row>
    <row r="454" spans="1:3" x14ac:dyDescent="0.2">
      <c r="A454" s="33" t="s">
        <v>1377</v>
      </c>
      <c r="B454" t="s">
        <v>956</v>
      </c>
      <c r="C454" t="s">
        <v>45</v>
      </c>
    </row>
    <row r="455" spans="1:3" x14ac:dyDescent="0.2">
      <c r="A455" s="33" t="s">
        <v>1377</v>
      </c>
      <c r="B455" t="s">
        <v>956</v>
      </c>
      <c r="C455" t="s">
        <v>45</v>
      </c>
    </row>
    <row r="456" spans="1:3" x14ac:dyDescent="0.2">
      <c r="A456" s="33" t="s">
        <v>1377</v>
      </c>
      <c r="B456" t="s">
        <v>956</v>
      </c>
      <c r="C456" t="s">
        <v>45</v>
      </c>
    </row>
    <row r="457" spans="1:3" x14ac:dyDescent="0.2">
      <c r="A457" s="33" t="s">
        <v>1377</v>
      </c>
      <c r="B457" t="s">
        <v>956</v>
      </c>
      <c r="C457" t="s">
        <v>45</v>
      </c>
    </row>
    <row r="458" spans="1:3" x14ac:dyDescent="0.2">
      <c r="A458" s="33" t="s">
        <v>1377</v>
      </c>
      <c r="B458" t="s">
        <v>956</v>
      </c>
      <c r="C458" t="s">
        <v>45</v>
      </c>
    </row>
    <row r="459" spans="1:3" x14ac:dyDescent="0.2">
      <c r="A459" s="33" t="s">
        <v>1377</v>
      </c>
      <c r="B459" t="s">
        <v>956</v>
      </c>
      <c r="C459" t="s">
        <v>45</v>
      </c>
    </row>
    <row r="460" spans="1:3" x14ac:dyDescent="0.2">
      <c r="A460" s="33" t="s">
        <v>1367</v>
      </c>
      <c r="B460" t="s">
        <v>956</v>
      </c>
      <c r="C460" t="s">
        <v>45</v>
      </c>
    </row>
    <row r="461" spans="1:3" x14ac:dyDescent="0.2">
      <c r="A461" s="33" t="s">
        <v>1367</v>
      </c>
      <c r="B461" t="s">
        <v>956</v>
      </c>
      <c r="C461" t="s">
        <v>45</v>
      </c>
    </row>
    <row r="462" spans="1:3" x14ac:dyDescent="0.2">
      <c r="A462" s="33" t="s">
        <v>1367</v>
      </c>
      <c r="B462" t="s">
        <v>956</v>
      </c>
      <c r="C462" t="s">
        <v>45</v>
      </c>
    </row>
    <row r="463" spans="1:3" x14ac:dyDescent="0.2">
      <c r="A463" s="33" t="s">
        <v>1367</v>
      </c>
      <c r="B463" t="s">
        <v>956</v>
      </c>
      <c r="C463" t="s">
        <v>45</v>
      </c>
    </row>
    <row r="464" spans="1:3" x14ac:dyDescent="0.2">
      <c r="A464" s="33" t="s">
        <v>1367</v>
      </c>
      <c r="B464" t="s">
        <v>956</v>
      </c>
      <c r="C464" t="s">
        <v>45</v>
      </c>
    </row>
    <row r="465" spans="1:4" x14ac:dyDescent="0.2">
      <c r="A465" s="33" t="s">
        <v>1367</v>
      </c>
      <c r="B465" t="s">
        <v>956</v>
      </c>
      <c r="C465" t="s">
        <v>45</v>
      </c>
    </row>
    <row r="466" spans="1:4" x14ac:dyDescent="0.2">
      <c r="A466" s="8" t="s">
        <v>861</v>
      </c>
      <c r="B466" t="s">
        <v>956</v>
      </c>
      <c r="C466" t="s">
        <v>45</v>
      </c>
    </row>
    <row r="467" spans="1:4" x14ac:dyDescent="0.2">
      <c r="A467" s="7" t="s">
        <v>1194</v>
      </c>
      <c r="B467" t="s">
        <v>956</v>
      </c>
      <c r="C467" t="s">
        <v>45</v>
      </c>
    </row>
    <row r="468" spans="1:4" x14ac:dyDescent="0.2">
      <c r="A468" s="7" t="s">
        <v>850</v>
      </c>
      <c r="B468" t="s">
        <v>956</v>
      </c>
      <c r="C468" t="s">
        <v>45</v>
      </c>
      <c r="D468" t="s">
        <v>829</v>
      </c>
    </row>
    <row r="469" spans="1:4" x14ac:dyDescent="0.2">
      <c r="A469" s="8" t="s">
        <v>1195</v>
      </c>
      <c r="B469" t="s">
        <v>956</v>
      </c>
      <c r="C469" t="s">
        <v>45</v>
      </c>
    </row>
    <row r="470" spans="1:4" x14ac:dyDescent="0.2">
      <c r="A470" s="8" t="s">
        <v>207</v>
      </c>
      <c r="B470" t="s">
        <v>956</v>
      </c>
      <c r="C470" t="s">
        <v>45</v>
      </c>
    </row>
    <row r="471" spans="1:4" x14ac:dyDescent="0.2">
      <c r="A471" s="7" t="s">
        <v>1027</v>
      </c>
      <c r="B471" t="s">
        <v>956</v>
      </c>
      <c r="C471" t="s">
        <v>45</v>
      </c>
      <c r="D471" t="s">
        <v>958</v>
      </c>
    </row>
    <row r="472" spans="1:4" x14ac:dyDescent="0.2">
      <c r="A472" s="33" t="s">
        <v>1289</v>
      </c>
      <c r="B472" t="s">
        <v>956</v>
      </c>
      <c r="C472" t="s">
        <v>45</v>
      </c>
    </row>
    <row r="473" spans="1:4" x14ac:dyDescent="0.2">
      <c r="A473" s="33" t="s">
        <v>1514</v>
      </c>
      <c r="B473" t="s">
        <v>956</v>
      </c>
      <c r="C473" t="s">
        <v>45</v>
      </c>
    </row>
    <row r="474" spans="1:4" x14ac:dyDescent="0.2">
      <c r="A474" s="7" t="s">
        <v>208</v>
      </c>
      <c r="B474" t="s">
        <v>956</v>
      </c>
      <c r="C474" t="s">
        <v>45</v>
      </c>
      <c r="D474" t="s">
        <v>20</v>
      </c>
    </row>
    <row r="475" spans="1:4" x14ac:dyDescent="0.2">
      <c r="A475" s="7" t="s">
        <v>209</v>
      </c>
      <c r="B475" t="s">
        <v>956</v>
      </c>
      <c r="C475" t="s">
        <v>45</v>
      </c>
      <c r="D475" t="s">
        <v>20</v>
      </c>
    </row>
    <row r="476" spans="1:4" x14ac:dyDescent="0.2">
      <c r="A476" s="7" t="s">
        <v>210</v>
      </c>
      <c r="B476" t="s">
        <v>956</v>
      </c>
      <c r="C476" t="s">
        <v>45</v>
      </c>
    </row>
    <row r="477" spans="1:4" x14ac:dyDescent="0.2">
      <c r="A477" s="7" t="s">
        <v>211</v>
      </c>
      <c r="B477" t="s">
        <v>956</v>
      </c>
      <c r="C477" t="s">
        <v>45</v>
      </c>
      <c r="D477" t="s">
        <v>20</v>
      </c>
    </row>
    <row r="478" spans="1:4" x14ac:dyDescent="0.2">
      <c r="A478" s="7" t="s">
        <v>212</v>
      </c>
      <c r="B478" t="s">
        <v>956</v>
      </c>
      <c r="C478" t="s">
        <v>45</v>
      </c>
      <c r="D478" t="s">
        <v>20</v>
      </c>
    </row>
    <row r="479" spans="1:4" x14ac:dyDescent="0.2">
      <c r="A479" s="7" t="s">
        <v>213</v>
      </c>
      <c r="B479" t="s">
        <v>956</v>
      </c>
      <c r="C479" t="s">
        <v>45</v>
      </c>
    </row>
    <row r="480" spans="1:4" x14ac:dyDescent="0.2">
      <c r="A480" s="7" t="s">
        <v>214</v>
      </c>
      <c r="B480" t="s">
        <v>956</v>
      </c>
      <c r="C480" t="s">
        <v>45</v>
      </c>
    </row>
    <row r="481" spans="1:4" x14ac:dyDescent="0.2">
      <c r="A481" s="7" t="s">
        <v>215</v>
      </c>
      <c r="B481" t="s">
        <v>956</v>
      </c>
      <c r="C481" t="s">
        <v>45</v>
      </c>
      <c r="D481" t="s">
        <v>20</v>
      </c>
    </row>
    <row r="482" spans="1:4" x14ac:dyDescent="0.2">
      <c r="A482" s="7" t="s">
        <v>106</v>
      </c>
      <c r="B482" t="s">
        <v>956</v>
      </c>
      <c r="C482" t="s">
        <v>45</v>
      </c>
      <c r="D482" t="s">
        <v>107</v>
      </c>
    </row>
    <row r="483" spans="1:4" x14ac:dyDescent="0.2">
      <c r="A483" s="33" t="s">
        <v>1272</v>
      </c>
      <c r="B483" t="s">
        <v>956</v>
      </c>
      <c r="C483" t="s">
        <v>45</v>
      </c>
    </row>
    <row r="484" spans="1:4" x14ac:dyDescent="0.2">
      <c r="A484" s="7" t="s">
        <v>1196</v>
      </c>
      <c r="B484" t="s">
        <v>956</v>
      </c>
      <c r="C484" t="s">
        <v>45</v>
      </c>
    </row>
    <row r="485" spans="1:4" x14ac:dyDescent="0.2">
      <c r="A485" s="7" t="s">
        <v>529</v>
      </c>
      <c r="B485" t="s">
        <v>956</v>
      </c>
      <c r="C485" t="s">
        <v>45</v>
      </c>
      <c r="D485" t="s">
        <v>20</v>
      </c>
    </row>
    <row r="486" spans="1:4" x14ac:dyDescent="0.2">
      <c r="A486" s="7" t="s">
        <v>216</v>
      </c>
      <c r="B486" t="s">
        <v>956</v>
      </c>
      <c r="C486" t="s">
        <v>45</v>
      </c>
    </row>
    <row r="487" spans="1:4" x14ac:dyDescent="0.2">
      <c r="A487" s="7" t="s">
        <v>108</v>
      </c>
      <c r="B487" t="s">
        <v>956</v>
      </c>
      <c r="C487" t="s">
        <v>45</v>
      </c>
    </row>
    <row r="488" spans="1:4" x14ac:dyDescent="0.2">
      <c r="A488" s="33" t="s">
        <v>1294</v>
      </c>
      <c r="B488" t="s">
        <v>956</v>
      </c>
      <c r="C488" t="s">
        <v>45</v>
      </c>
    </row>
    <row r="489" spans="1:4" x14ac:dyDescent="0.2">
      <c r="A489" s="12" t="s">
        <v>602</v>
      </c>
      <c r="B489" t="s">
        <v>956</v>
      </c>
      <c r="C489" t="s">
        <v>45</v>
      </c>
    </row>
    <row r="490" spans="1:4" x14ac:dyDescent="0.2">
      <c r="A490" s="12" t="s">
        <v>602</v>
      </c>
      <c r="B490" t="s">
        <v>956</v>
      </c>
      <c r="C490" t="s">
        <v>45</v>
      </c>
    </row>
    <row r="491" spans="1:4" x14ac:dyDescent="0.2">
      <c r="A491" s="12" t="s">
        <v>602</v>
      </c>
      <c r="B491" t="s">
        <v>956</v>
      </c>
      <c r="C491" t="s">
        <v>45</v>
      </c>
    </row>
    <row r="492" spans="1:4" x14ac:dyDescent="0.2">
      <c r="A492" s="11" t="s">
        <v>602</v>
      </c>
      <c r="B492" t="s">
        <v>956</v>
      </c>
      <c r="C492" t="s">
        <v>45</v>
      </c>
    </row>
    <row r="493" spans="1:4" x14ac:dyDescent="0.2">
      <c r="A493" s="33" t="s">
        <v>1418</v>
      </c>
      <c r="B493" t="s">
        <v>956</v>
      </c>
      <c r="C493" t="s">
        <v>45</v>
      </c>
    </row>
    <row r="494" spans="1:4" x14ac:dyDescent="0.2">
      <c r="A494" s="7" t="s">
        <v>809</v>
      </c>
      <c r="B494" t="s">
        <v>956</v>
      </c>
      <c r="C494" t="s">
        <v>45</v>
      </c>
      <c r="D494" t="s">
        <v>20</v>
      </c>
    </row>
    <row r="495" spans="1:4" x14ac:dyDescent="0.2">
      <c r="A495" s="7" t="s">
        <v>811</v>
      </c>
      <c r="B495" t="s">
        <v>956</v>
      </c>
      <c r="C495" t="s">
        <v>45</v>
      </c>
      <c r="D495" t="s">
        <v>20</v>
      </c>
    </row>
    <row r="496" spans="1:4" x14ac:dyDescent="0.2">
      <c r="A496" s="33" t="s">
        <v>1266</v>
      </c>
      <c r="B496" t="s">
        <v>956</v>
      </c>
      <c r="C496" t="s">
        <v>45</v>
      </c>
    </row>
    <row r="497" spans="1:4" x14ac:dyDescent="0.2">
      <c r="A497" s="7" t="s">
        <v>217</v>
      </c>
      <c r="B497" t="s">
        <v>956</v>
      </c>
      <c r="C497" t="s">
        <v>45</v>
      </c>
      <c r="D497" t="s">
        <v>20</v>
      </c>
    </row>
    <row r="498" spans="1:4" x14ac:dyDescent="0.2">
      <c r="A498" s="8" t="s">
        <v>218</v>
      </c>
      <c r="B498" t="s">
        <v>956</v>
      </c>
      <c r="C498" t="s">
        <v>45</v>
      </c>
    </row>
    <row r="499" spans="1:4" x14ac:dyDescent="0.2">
      <c r="A499" s="8" t="s">
        <v>109</v>
      </c>
      <c r="B499" t="s">
        <v>956</v>
      </c>
      <c r="C499" t="s">
        <v>45</v>
      </c>
    </row>
    <row r="500" spans="1:4" x14ac:dyDescent="0.2">
      <c r="A500" s="7" t="s">
        <v>110</v>
      </c>
      <c r="B500" t="s">
        <v>956</v>
      </c>
      <c r="C500" t="s">
        <v>45</v>
      </c>
      <c r="D500" t="s">
        <v>20</v>
      </c>
    </row>
    <row r="501" spans="1:4" x14ac:dyDescent="0.2">
      <c r="A501" s="7" t="s">
        <v>111</v>
      </c>
      <c r="B501" t="s">
        <v>956</v>
      </c>
      <c r="C501" t="s">
        <v>45</v>
      </c>
      <c r="D501" t="s">
        <v>20</v>
      </c>
    </row>
    <row r="502" spans="1:4" x14ac:dyDescent="0.2">
      <c r="A502" s="7" t="s">
        <v>219</v>
      </c>
      <c r="B502" t="s">
        <v>956</v>
      </c>
      <c r="C502" t="s">
        <v>45</v>
      </c>
    </row>
    <row r="503" spans="1:4" x14ac:dyDescent="0.2">
      <c r="A503" s="8" t="s">
        <v>1028</v>
      </c>
      <c r="B503" t="s">
        <v>956</v>
      </c>
      <c r="C503" t="s">
        <v>45</v>
      </c>
    </row>
    <row r="504" spans="1:4" x14ac:dyDescent="0.2">
      <c r="A504" s="7" t="s">
        <v>904</v>
      </c>
      <c r="B504" t="s">
        <v>956</v>
      </c>
      <c r="C504" t="s">
        <v>45</v>
      </c>
    </row>
    <row r="505" spans="1:4" x14ac:dyDescent="0.2">
      <c r="A505" s="7" t="s">
        <v>1172</v>
      </c>
      <c r="B505" t="s">
        <v>956</v>
      </c>
      <c r="C505" t="s">
        <v>45</v>
      </c>
    </row>
    <row r="506" spans="1:4" x14ac:dyDescent="0.2">
      <c r="A506" s="7" t="s">
        <v>220</v>
      </c>
      <c r="B506" t="s">
        <v>956</v>
      </c>
      <c r="C506" t="s">
        <v>45</v>
      </c>
    </row>
    <row r="507" spans="1:4" x14ac:dyDescent="0.2">
      <c r="A507" s="8" t="s">
        <v>221</v>
      </c>
      <c r="B507" t="s">
        <v>956</v>
      </c>
      <c r="C507" t="s">
        <v>45</v>
      </c>
    </row>
    <row r="508" spans="1:4" x14ac:dyDescent="0.2">
      <c r="A508" s="7" t="s">
        <v>530</v>
      </c>
      <c r="B508" t="s">
        <v>956</v>
      </c>
      <c r="C508" t="s">
        <v>45</v>
      </c>
    </row>
    <row r="509" spans="1:4" x14ac:dyDescent="0.2">
      <c r="A509" s="7" t="s">
        <v>531</v>
      </c>
      <c r="B509" t="s">
        <v>956</v>
      </c>
      <c r="C509" t="s">
        <v>45</v>
      </c>
      <c r="D509" t="s">
        <v>532</v>
      </c>
    </row>
    <row r="510" spans="1:4" x14ac:dyDescent="0.2">
      <c r="A510" s="7" t="s">
        <v>1197</v>
      </c>
      <c r="B510" t="s">
        <v>956</v>
      </c>
      <c r="C510" t="s">
        <v>45</v>
      </c>
    </row>
    <row r="511" spans="1:4" x14ac:dyDescent="0.2">
      <c r="A511" s="7" t="s">
        <v>1029</v>
      </c>
      <c r="B511" t="s">
        <v>956</v>
      </c>
      <c r="C511" t="s">
        <v>45</v>
      </c>
    </row>
    <row r="512" spans="1:4" x14ac:dyDescent="0.2">
      <c r="A512" s="7" t="s">
        <v>1030</v>
      </c>
      <c r="B512" t="s">
        <v>956</v>
      </c>
      <c r="C512" t="s">
        <v>45</v>
      </c>
    </row>
    <row r="513" spans="1:4" x14ac:dyDescent="0.2">
      <c r="A513" s="7" t="s">
        <v>1031</v>
      </c>
      <c r="B513" t="s">
        <v>956</v>
      </c>
      <c r="C513" t="s">
        <v>45</v>
      </c>
    </row>
    <row r="514" spans="1:4" x14ac:dyDescent="0.2">
      <c r="A514" s="33" t="s">
        <v>1557</v>
      </c>
      <c r="B514" t="s">
        <v>956</v>
      </c>
      <c r="C514" t="s">
        <v>45</v>
      </c>
    </row>
    <row r="515" spans="1:4" x14ac:dyDescent="0.2">
      <c r="A515" s="7" t="s">
        <v>222</v>
      </c>
      <c r="B515" t="s">
        <v>956</v>
      </c>
      <c r="C515" t="s">
        <v>45</v>
      </c>
    </row>
    <row r="516" spans="1:4" x14ac:dyDescent="0.2">
      <c r="A516" s="8" t="s">
        <v>705</v>
      </c>
      <c r="B516" t="s">
        <v>956</v>
      </c>
      <c r="C516" t="s">
        <v>45</v>
      </c>
    </row>
    <row r="517" spans="1:4" x14ac:dyDescent="0.2">
      <c r="A517" s="33" t="s">
        <v>1617</v>
      </c>
      <c r="B517" t="s">
        <v>956</v>
      </c>
      <c r="C517" t="s">
        <v>45</v>
      </c>
    </row>
    <row r="518" spans="1:4" x14ac:dyDescent="0.2">
      <c r="A518" s="8" t="s">
        <v>706</v>
      </c>
      <c r="B518" t="s">
        <v>956</v>
      </c>
      <c r="C518" t="s">
        <v>45</v>
      </c>
    </row>
    <row r="519" spans="1:4" x14ac:dyDescent="0.2">
      <c r="A519" s="33" t="s">
        <v>1261</v>
      </c>
      <c r="B519" t="s">
        <v>956</v>
      </c>
      <c r="C519" t="s">
        <v>45</v>
      </c>
    </row>
    <row r="520" spans="1:4" x14ac:dyDescent="0.2">
      <c r="A520" s="8" t="s">
        <v>1032</v>
      </c>
      <c r="B520" t="s">
        <v>956</v>
      </c>
      <c r="C520" t="s">
        <v>45</v>
      </c>
    </row>
    <row r="521" spans="1:4" x14ac:dyDescent="0.2">
      <c r="A521" s="33" t="s">
        <v>1365</v>
      </c>
      <c r="B521" t="s">
        <v>956</v>
      </c>
      <c r="C521" t="s">
        <v>45</v>
      </c>
    </row>
    <row r="522" spans="1:4" x14ac:dyDescent="0.2">
      <c r="A522" s="33" t="s">
        <v>1358</v>
      </c>
      <c r="B522" t="s">
        <v>956</v>
      </c>
      <c r="C522" t="s">
        <v>45</v>
      </c>
    </row>
    <row r="523" spans="1:4" x14ac:dyDescent="0.2">
      <c r="A523" s="33" t="s">
        <v>1358</v>
      </c>
      <c r="B523" t="s">
        <v>956</v>
      </c>
      <c r="C523" t="s">
        <v>45</v>
      </c>
    </row>
    <row r="524" spans="1:4" x14ac:dyDescent="0.2">
      <c r="A524" s="33" t="s">
        <v>1358</v>
      </c>
      <c r="B524" t="s">
        <v>956</v>
      </c>
      <c r="C524" t="s">
        <v>45</v>
      </c>
    </row>
    <row r="525" spans="1:4" x14ac:dyDescent="0.2">
      <c r="A525" s="8" t="s">
        <v>91</v>
      </c>
      <c r="B525" t="s">
        <v>956</v>
      </c>
      <c r="C525" t="s">
        <v>45</v>
      </c>
    </row>
    <row r="526" spans="1:4" x14ac:dyDescent="0.2">
      <c r="A526" s="7" t="s">
        <v>112</v>
      </c>
      <c r="B526" t="s">
        <v>956</v>
      </c>
      <c r="C526" t="s">
        <v>45</v>
      </c>
    </row>
    <row r="527" spans="1:4" x14ac:dyDescent="0.2">
      <c r="A527" s="33" t="s">
        <v>1690</v>
      </c>
      <c r="B527" t="s">
        <v>956</v>
      </c>
      <c r="C527" t="s">
        <v>45</v>
      </c>
    </row>
    <row r="528" spans="1:4" x14ac:dyDescent="0.2">
      <c r="A528" s="7" t="s">
        <v>223</v>
      </c>
      <c r="B528" t="s">
        <v>956</v>
      </c>
      <c r="C528" t="s">
        <v>45</v>
      </c>
      <c r="D528" t="s">
        <v>20</v>
      </c>
    </row>
    <row r="529" spans="1:4" x14ac:dyDescent="0.2">
      <c r="A529" s="7" t="s">
        <v>224</v>
      </c>
      <c r="B529" t="s">
        <v>956</v>
      </c>
      <c r="C529" t="s">
        <v>45</v>
      </c>
      <c r="D529" t="s">
        <v>20</v>
      </c>
    </row>
    <row r="530" spans="1:4" x14ac:dyDescent="0.2">
      <c r="A530" s="8" t="s">
        <v>225</v>
      </c>
      <c r="B530" t="s">
        <v>956</v>
      </c>
      <c r="C530" t="s">
        <v>45</v>
      </c>
    </row>
    <row r="531" spans="1:4" x14ac:dyDescent="0.2">
      <c r="A531" s="8" t="s">
        <v>226</v>
      </c>
      <c r="B531" t="s">
        <v>956</v>
      </c>
      <c r="C531" t="s">
        <v>45</v>
      </c>
    </row>
    <row r="532" spans="1:4" x14ac:dyDescent="0.2">
      <c r="A532" s="7" t="s">
        <v>1033</v>
      </c>
      <c r="B532" t="s">
        <v>956</v>
      </c>
      <c r="C532" t="s">
        <v>45</v>
      </c>
    </row>
    <row r="533" spans="1:4" x14ac:dyDescent="0.2">
      <c r="A533" s="7" t="s">
        <v>1034</v>
      </c>
      <c r="B533" t="s">
        <v>956</v>
      </c>
      <c r="C533" t="s">
        <v>45</v>
      </c>
    </row>
    <row r="534" spans="1:4" x14ac:dyDescent="0.2">
      <c r="A534" s="7" t="s">
        <v>227</v>
      </c>
      <c r="B534" t="s">
        <v>956</v>
      </c>
      <c r="C534" t="s">
        <v>45</v>
      </c>
    </row>
    <row r="535" spans="1:4" x14ac:dyDescent="0.2">
      <c r="A535" s="37" t="s">
        <v>942</v>
      </c>
      <c r="B535" t="s">
        <v>956</v>
      </c>
      <c r="C535" t="s">
        <v>45</v>
      </c>
    </row>
    <row r="536" spans="1:4" x14ac:dyDescent="0.2">
      <c r="A536" s="7" t="s">
        <v>113</v>
      </c>
      <c r="B536" t="s">
        <v>956</v>
      </c>
      <c r="C536" t="s">
        <v>45</v>
      </c>
      <c r="D536" t="s">
        <v>114</v>
      </c>
    </row>
    <row r="537" spans="1:4" x14ac:dyDescent="0.2">
      <c r="A537" s="33" t="s">
        <v>1391</v>
      </c>
      <c r="B537" t="s">
        <v>956</v>
      </c>
      <c r="C537" t="s">
        <v>45</v>
      </c>
    </row>
    <row r="538" spans="1:4" x14ac:dyDescent="0.2">
      <c r="A538" s="7" t="s">
        <v>1035</v>
      </c>
      <c r="B538" t="s">
        <v>956</v>
      </c>
      <c r="C538" t="s">
        <v>45</v>
      </c>
    </row>
    <row r="539" spans="1:4" x14ac:dyDescent="0.2">
      <c r="A539" s="12" t="s">
        <v>707</v>
      </c>
      <c r="B539" t="s">
        <v>956</v>
      </c>
      <c r="C539" t="s">
        <v>45</v>
      </c>
    </row>
    <row r="540" spans="1:4" x14ac:dyDescent="0.2">
      <c r="A540" s="7" t="s">
        <v>827</v>
      </c>
      <c r="B540" t="s">
        <v>956</v>
      </c>
      <c r="C540" t="s">
        <v>45</v>
      </c>
      <c r="D540" t="s">
        <v>829</v>
      </c>
    </row>
    <row r="541" spans="1:4" x14ac:dyDescent="0.2">
      <c r="A541" s="7" t="s">
        <v>115</v>
      </c>
      <c r="B541" t="s">
        <v>956</v>
      </c>
      <c r="C541" t="s">
        <v>45</v>
      </c>
    </row>
    <row r="542" spans="1:4" x14ac:dyDescent="0.2">
      <c r="A542" s="7" t="s">
        <v>1036</v>
      </c>
      <c r="B542" t="s">
        <v>956</v>
      </c>
      <c r="C542" t="s">
        <v>45</v>
      </c>
    </row>
    <row r="543" spans="1:4" x14ac:dyDescent="0.2">
      <c r="A543" s="7" t="s">
        <v>1198</v>
      </c>
      <c r="B543" t="s">
        <v>956</v>
      </c>
      <c r="C543" t="s">
        <v>45</v>
      </c>
    </row>
    <row r="544" spans="1:4" x14ac:dyDescent="0.2">
      <c r="A544" s="8" t="s">
        <v>708</v>
      </c>
      <c r="B544" t="s">
        <v>956</v>
      </c>
      <c r="C544" t="s">
        <v>45</v>
      </c>
    </row>
    <row r="545" spans="1:4" x14ac:dyDescent="0.2">
      <c r="A545" s="7" t="s">
        <v>116</v>
      </c>
      <c r="B545" t="s">
        <v>956</v>
      </c>
      <c r="C545" t="s">
        <v>45</v>
      </c>
      <c r="D545" t="s">
        <v>114</v>
      </c>
    </row>
    <row r="546" spans="1:4" x14ac:dyDescent="0.2">
      <c r="A546" s="48" t="s">
        <v>1699</v>
      </c>
      <c r="B546" t="s">
        <v>956</v>
      </c>
      <c r="C546" t="s">
        <v>45</v>
      </c>
    </row>
    <row r="547" spans="1:4" x14ac:dyDescent="0.2">
      <c r="A547" s="7" t="s">
        <v>117</v>
      </c>
      <c r="B547" t="s">
        <v>956</v>
      </c>
      <c r="C547" t="s">
        <v>45</v>
      </c>
      <c r="D547" t="s">
        <v>114</v>
      </c>
    </row>
    <row r="548" spans="1:4" x14ac:dyDescent="0.2">
      <c r="A548" s="48" t="s">
        <v>1738</v>
      </c>
      <c r="B548" t="s">
        <v>956</v>
      </c>
      <c r="C548" t="s">
        <v>45</v>
      </c>
    </row>
    <row r="549" spans="1:4" x14ac:dyDescent="0.2">
      <c r="A549" s="8" t="s">
        <v>1199</v>
      </c>
      <c r="B549" t="s">
        <v>956</v>
      </c>
      <c r="C549" t="s">
        <v>45</v>
      </c>
    </row>
    <row r="550" spans="1:4" x14ac:dyDescent="0.2">
      <c r="A550" s="7" t="s">
        <v>228</v>
      </c>
      <c r="B550" t="s">
        <v>956</v>
      </c>
      <c r="C550" t="s">
        <v>45</v>
      </c>
      <c r="D550" t="s">
        <v>20</v>
      </c>
    </row>
    <row r="551" spans="1:4" x14ac:dyDescent="0.2">
      <c r="A551" s="7" t="s">
        <v>603</v>
      </c>
      <c r="B551" t="s">
        <v>956</v>
      </c>
      <c r="C551" t="s">
        <v>45</v>
      </c>
    </row>
    <row r="552" spans="1:4" x14ac:dyDescent="0.2">
      <c r="A552" s="7" t="s">
        <v>604</v>
      </c>
      <c r="B552" t="s">
        <v>956</v>
      </c>
      <c r="C552" t="s">
        <v>45</v>
      </c>
      <c r="D552" t="s">
        <v>20</v>
      </c>
    </row>
    <row r="553" spans="1:4" x14ac:dyDescent="0.2">
      <c r="A553" s="9" t="s">
        <v>499</v>
      </c>
      <c r="B553" t="s">
        <v>956</v>
      </c>
      <c r="C553" t="s">
        <v>45</v>
      </c>
      <c r="D553" t="s">
        <v>20</v>
      </c>
    </row>
    <row r="554" spans="1:4" x14ac:dyDescent="0.2">
      <c r="A554" s="7" t="s">
        <v>1037</v>
      </c>
      <c r="B554" t="s">
        <v>956</v>
      </c>
      <c r="C554" t="s">
        <v>45</v>
      </c>
    </row>
    <row r="555" spans="1:4" x14ac:dyDescent="0.2">
      <c r="A555" s="7" t="s">
        <v>1038</v>
      </c>
      <c r="B555" t="s">
        <v>956</v>
      </c>
      <c r="C555" t="s">
        <v>45</v>
      </c>
    </row>
    <row r="556" spans="1:4" x14ac:dyDescent="0.2">
      <c r="A556" s="48" t="s">
        <v>1352</v>
      </c>
      <c r="B556" t="s">
        <v>956</v>
      </c>
      <c r="C556" t="s">
        <v>45</v>
      </c>
    </row>
    <row r="557" spans="1:4" x14ac:dyDescent="0.2">
      <c r="A557" s="48" t="s">
        <v>1352</v>
      </c>
      <c r="B557" t="s">
        <v>956</v>
      </c>
      <c r="C557" t="s">
        <v>45</v>
      </c>
    </row>
    <row r="558" spans="1:4" x14ac:dyDescent="0.2">
      <c r="A558" s="48" t="s">
        <v>1352</v>
      </c>
      <c r="B558" t="s">
        <v>956</v>
      </c>
      <c r="C558" t="s">
        <v>45</v>
      </c>
    </row>
    <row r="559" spans="1:4" x14ac:dyDescent="0.2">
      <c r="A559" s="15" t="s">
        <v>1039</v>
      </c>
      <c r="B559" t="s">
        <v>956</v>
      </c>
      <c r="C559" t="s">
        <v>45</v>
      </c>
    </row>
    <row r="560" spans="1:4" x14ac:dyDescent="0.2">
      <c r="A560" s="31" t="s">
        <v>1330</v>
      </c>
      <c r="B560" t="s">
        <v>956</v>
      </c>
      <c r="C560" t="s">
        <v>45</v>
      </c>
    </row>
    <row r="561" spans="1:4" x14ac:dyDescent="0.2">
      <c r="A561" s="31" t="s">
        <v>1814</v>
      </c>
      <c r="B561" t="s">
        <v>956</v>
      </c>
      <c r="C561" t="s">
        <v>45</v>
      </c>
    </row>
    <row r="562" spans="1:4" x14ac:dyDescent="0.2">
      <c r="A562" t="s">
        <v>1040</v>
      </c>
      <c r="B562" t="s">
        <v>956</v>
      </c>
      <c r="C562" t="s">
        <v>45</v>
      </c>
    </row>
    <row r="563" spans="1:4" x14ac:dyDescent="0.2">
      <c r="A563" s="31" t="s">
        <v>1485</v>
      </c>
      <c r="B563" t="s">
        <v>956</v>
      </c>
      <c r="C563" t="s">
        <v>45</v>
      </c>
    </row>
    <row r="564" spans="1:4" x14ac:dyDescent="0.2">
      <c r="A564" s="3" t="s">
        <v>1200</v>
      </c>
      <c r="B564" t="s">
        <v>956</v>
      </c>
      <c r="C564" t="s">
        <v>45</v>
      </c>
    </row>
    <row r="565" spans="1:4" x14ac:dyDescent="0.2">
      <c r="A565" s="3" t="s">
        <v>1041</v>
      </c>
      <c r="B565" t="s">
        <v>956</v>
      </c>
      <c r="C565" t="s">
        <v>45</v>
      </c>
    </row>
    <row r="566" spans="1:4" x14ac:dyDescent="0.2">
      <c r="A566" t="s">
        <v>1042</v>
      </c>
      <c r="B566" t="s">
        <v>956</v>
      </c>
      <c r="C566" t="s">
        <v>45</v>
      </c>
      <c r="D566" t="s">
        <v>958</v>
      </c>
    </row>
    <row r="567" spans="1:4" x14ac:dyDescent="0.2">
      <c r="A567" t="s">
        <v>1201</v>
      </c>
      <c r="B567" t="s">
        <v>956</v>
      </c>
      <c r="C567" t="s">
        <v>45</v>
      </c>
    </row>
    <row r="568" spans="1:4" x14ac:dyDescent="0.2">
      <c r="A568" t="s">
        <v>1201</v>
      </c>
      <c r="B568" t="s">
        <v>956</v>
      </c>
      <c r="C568" t="s">
        <v>45</v>
      </c>
    </row>
    <row r="569" spans="1:4" x14ac:dyDescent="0.2">
      <c r="A569" t="s">
        <v>1201</v>
      </c>
      <c r="B569" t="s">
        <v>956</v>
      </c>
      <c r="C569" t="s">
        <v>45</v>
      </c>
    </row>
    <row r="570" spans="1:4" x14ac:dyDescent="0.2">
      <c r="A570" t="s">
        <v>943</v>
      </c>
      <c r="B570" t="s">
        <v>956</v>
      </c>
      <c r="C570" t="s">
        <v>45</v>
      </c>
    </row>
    <row r="571" spans="1:4" x14ac:dyDescent="0.2">
      <c r="A571" s="28" t="s">
        <v>1230</v>
      </c>
      <c r="B571" t="s">
        <v>956</v>
      </c>
      <c r="C571" t="s">
        <v>45</v>
      </c>
    </row>
    <row r="572" spans="1:4" x14ac:dyDescent="0.2">
      <c r="A572" s="28" t="s">
        <v>1255</v>
      </c>
      <c r="B572" t="s">
        <v>956</v>
      </c>
      <c r="C572" t="s">
        <v>45</v>
      </c>
    </row>
    <row r="573" spans="1:4" x14ac:dyDescent="0.2">
      <c r="A573" t="s">
        <v>82</v>
      </c>
      <c r="B573" t="s">
        <v>956</v>
      </c>
      <c r="C573" t="s">
        <v>45</v>
      </c>
    </row>
    <row r="574" spans="1:4" x14ac:dyDescent="0.2">
      <c r="A574" s="3" t="s">
        <v>84</v>
      </c>
      <c r="B574" t="s">
        <v>956</v>
      </c>
      <c r="C574" t="s">
        <v>45</v>
      </c>
    </row>
    <row r="575" spans="1:4" x14ac:dyDescent="0.2">
      <c r="A575" s="28" t="s">
        <v>1254</v>
      </c>
      <c r="B575" t="s">
        <v>956</v>
      </c>
      <c r="C575" t="s">
        <v>45</v>
      </c>
    </row>
    <row r="576" spans="1:4" x14ac:dyDescent="0.2">
      <c r="A576" s="28" t="s">
        <v>1234</v>
      </c>
      <c r="B576" t="s">
        <v>956</v>
      </c>
      <c r="C576" t="s">
        <v>45</v>
      </c>
    </row>
    <row r="577" spans="1:3" x14ac:dyDescent="0.2">
      <c r="A577" s="28" t="s">
        <v>1247</v>
      </c>
      <c r="B577" t="s">
        <v>956</v>
      </c>
      <c r="C577" t="s">
        <v>45</v>
      </c>
    </row>
    <row r="578" spans="1:3" x14ac:dyDescent="0.2">
      <c r="A578" s="28" t="s">
        <v>1247</v>
      </c>
      <c r="B578" t="s">
        <v>956</v>
      </c>
      <c r="C578" t="s">
        <v>45</v>
      </c>
    </row>
    <row r="579" spans="1:3" x14ac:dyDescent="0.2">
      <c r="A579" s="28" t="s">
        <v>1256</v>
      </c>
      <c r="B579" t="s">
        <v>956</v>
      </c>
      <c r="C579" t="s">
        <v>45</v>
      </c>
    </row>
    <row r="580" spans="1:3" x14ac:dyDescent="0.2">
      <c r="A580" s="28" t="s">
        <v>1242</v>
      </c>
      <c r="B580" t="s">
        <v>956</v>
      </c>
      <c r="C580" t="s">
        <v>45</v>
      </c>
    </row>
    <row r="581" spans="1:3" x14ac:dyDescent="0.2">
      <c r="A581" s="28" t="s">
        <v>1249</v>
      </c>
      <c r="B581" t="s">
        <v>956</v>
      </c>
      <c r="C581" t="s">
        <v>45</v>
      </c>
    </row>
    <row r="582" spans="1:3" x14ac:dyDescent="0.2">
      <c r="A582" s="28" t="s">
        <v>1228</v>
      </c>
      <c r="B582" t="s">
        <v>956</v>
      </c>
      <c r="C582" t="s">
        <v>45</v>
      </c>
    </row>
    <row r="583" spans="1:3" x14ac:dyDescent="0.2">
      <c r="A583" s="28" t="s">
        <v>1239</v>
      </c>
      <c r="B583" t="s">
        <v>956</v>
      </c>
      <c r="C583" t="s">
        <v>45</v>
      </c>
    </row>
    <row r="584" spans="1:3" x14ac:dyDescent="0.2">
      <c r="A584" s="28" t="s">
        <v>1240</v>
      </c>
      <c r="B584" t="s">
        <v>956</v>
      </c>
      <c r="C584" t="s">
        <v>45</v>
      </c>
    </row>
    <row r="585" spans="1:3" x14ac:dyDescent="0.2">
      <c r="A585" s="28" t="s">
        <v>1240</v>
      </c>
      <c r="B585" t="s">
        <v>956</v>
      </c>
      <c r="C585" t="s">
        <v>45</v>
      </c>
    </row>
    <row r="586" spans="1:3" x14ac:dyDescent="0.2">
      <c r="A586" s="28" t="s">
        <v>1229</v>
      </c>
      <c r="B586" t="s">
        <v>956</v>
      </c>
      <c r="C586" t="s">
        <v>45</v>
      </c>
    </row>
    <row r="587" spans="1:3" x14ac:dyDescent="0.2">
      <c r="A587" s="28" t="s">
        <v>1246</v>
      </c>
      <c r="B587" t="s">
        <v>956</v>
      </c>
      <c r="C587" t="s">
        <v>45</v>
      </c>
    </row>
    <row r="588" spans="1:3" x14ac:dyDescent="0.2">
      <c r="A588" s="3" t="s">
        <v>67</v>
      </c>
      <c r="B588" t="s">
        <v>956</v>
      </c>
      <c r="C588" t="s">
        <v>45</v>
      </c>
    </row>
    <row r="589" spans="1:3" x14ac:dyDescent="0.2">
      <c r="A589" s="54" t="s">
        <v>1250</v>
      </c>
      <c r="B589" t="s">
        <v>956</v>
      </c>
      <c r="C589" t="s">
        <v>45</v>
      </c>
    </row>
    <row r="590" spans="1:3" x14ac:dyDescent="0.2">
      <c r="A590" s="54" t="s">
        <v>1250</v>
      </c>
      <c r="B590" t="s">
        <v>956</v>
      </c>
      <c r="C590" t="s">
        <v>45</v>
      </c>
    </row>
    <row r="591" spans="1:3" x14ac:dyDescent="0.2">
      <c r="A591" s="54" t="s">
        <v>1250</v>
      </c>
      <c r="B591" t="s">
        <v>956</v>
      </c>
      <c r="C591" t="s">
        <v>45</v>
      </c>
    </row>
    <row r="592" spans="1:3" x14ac:dyDescent="0.2">
      <c r="A592" s="54" t="s">
        <v>1250</v>
      </c>
      <c r="B592" t="s">
        <v>956</v>
      </c>
      <c r="C592" t="s">
        <v>45</v>
      </c>
    </row>
    <row r="593" spans="1:3" x14ac:dyDescent="0.2">
      <c r="A593" s="54" t="s">
        <v>1250</v>
      </c>
      <c r="B593" t="s">
        <v>956</v>
      </c>
      <c r="C593" t="s">
        <v>45</v>
      </c>
    </row>
    <row r="594" spans="1:3" x14ac:dyDescent="0.2">
      <c r="A594" s="54" t="s">
        <v>1250</v>
      </c>
      <c r="B594" t="s">
        <v>956</v>
      </c>
      <c r="C594" t="s">
        <v>45</v>
      </c>
    </row>
    <row r="595" spans="1:3" x14ac:dyDescent="0.2">
      <c r="A595" s="54" t="s">
        <v>1250</v>
      </c>
      <c r="B595" t="s">
        <v>956</v>
      </c>
      <c r="C595" t="s">
        <v>45</v>
      </c>
    </row>
    <row r="596" spans="1:3" x14ac:dyDescent="0.2">
      <c r="A596" s="54" t="s">
        <v>1235</v>
      </c>
      <c r="B596" t="s">
        <v>956</v>
      </c>
      <c r="C596" t="s">
        <v>45</v>
      </c>
    </row>
    <row r="597" spans="1:3" x14ac:dyDescent="0.2">
      <c r="A597" s="54" t="s">
        <v>1244</v>
      </c>
      <c r="B597" t="s">
        <v>956</v>
      </c>
      <c r="C597" t="s">
        <v>45</v>
      </c>
    </row>
    <row r="598" spans="1:3" x14ac:dyDescent="0.2">
      <c r="A598" s="54" t="s">
        <v>1245</v>
      </c>
      <c r="B598" t="s">
        <v>956</v>
      </c>
      <c r="C598" t="s">
        <v>45</v>
      </c>
    </row>
    <row r="599" spans="1:3" x14ac:dyDescent="0.2">
      <c r="A599" s="54" t="s">
        <v>1466</v>
      </c>
      <c r="B599" t="s">
        <v>956</v>
      </c>
      <c r="C599" t="s">
        <v>45</v>
      </c>
    </row>
    <row r="600" spans="1:3" x14ac:dyDescent="0.2">
      <c r="A600" s="54" t="s">
        <v>1238</v>
      </c>
      <c r="B600" t="s">
        <v>956</v>
      </c>
      <c r="C600" t="s">
        <v>45</v>
      </c>
    </row>
    <row r="601" spans="1:3" x14ac:dyDescent="0.2">
      <c r="A601" s="33" t="s">
        <v>1236</v>
      </c>
      <c r="B601" t="s">
        <v>956</v>
      </c>
      <c r="C601" t="s">
        <v>45</v>
      </c>
    </row>
    <row r="602" spans="1:3" x14ac:dyDescent="0.2">
      <c r="A602" s="33" t="s">
        <v>1241</v>
      </c>
      <c r="B602" t="s">
        <v>956</v>
      </c>
      <c r="C602" t="s">
        <v>45</v>
      </c>
    </row>
    <row r="603" spans="1:3" x14ac:dyDescent="0.2">
      <c r="A603" s="33" t="s">
        <v>1243</v>
      </c>
      <c r="B603" t="s">
        <v>956</v>
      </c>
      <c r="C603" t="s">
        <v>45</v>
      </c>
    </row>
    <row r="604" spans="1:3" x14ac:dyDescent="0.2">
      <c r="A604" s="33" t="s">
        <v>1232</v>
      </c>
      <c r="B604" t="s">
        <v>956</v>
      </c>
      <c r="C604" t="s">
        <v>45</v>
      </c>
    </row>
    <row r="605" spans="1:3" x14ac:dyDescent="0.2">
      <c r="A605" s="33" t="s">
        <v>1232</v>
      </c>
      <c r="B605" t="s">
        <v>956</v>
      </c>
      <c r="C605" t="s">
        <v>45</v>
      </c>
    </row>
    <row r="606" spans="1:3" x14ac:dyDescent="0.2">
      <c r="A606" s="33" t="s">
        <v>1233</v>
      </c>
      <c r="B606" t="s">
        <v>956</v>
      </c>
      <c r="C606" t="s">
        <v>45</v>
      </c>
    </row>
    <row r="607" spans="1:3" x14ac:dyDescent="0.2">
      <c r="A607" s="33" t="s">
        <v>1237</v>
      </c>
      <c r="B607" t="s">
        <v>956</v>
      </c>
      <c r="C607" t="s">
        <v>45</v>
      </c>
    </row>
    <row r="608" spans="1:3" x14ac:dyDescent="0.2">
      <c r="A608" s="7" t="s">
        <v>229</v>
      </c>
      <c r="B608" t="s">
        <v>956</v>
      </c>
      <c r="C608" t="s">
        <v>45</v>
      </c>
    </row>
    <row r="609" spans="1:3" x14ac:dyDescent="0.2">
      <c r="A609" s="33" t="s">
        <v>1248</v>
      </c>
      <c r="B609" t="s">
        <v>956</v>
      </c>
      <c r="C609" t="s">
        <v>45</v>
      </c>
    </row>
    <row r="610" spans="1:3" x14ac:dyDescent="0.2">
      <c r="A610" s="33" t="s">
        <v>1231</v>
      </c>
      <c r="B610" t="s">
        <v>956</v>
      </c>
      <c r="C610" t="s">
        <v>45</v>
      </c>
    </row>
    <row r="611" spans="1:3" x14ac:dyDescent="0.2">
      <c r="A611" s="33" t="s">
        <v>1253</v>
      </c>
      <c r="B611" t="s">
        <v>956</v>
      </c>
      <c r="C611" t="s">
        <v>45</v>
      </c>
    </row>
    <row r="612" spans="1:3" x14ac:dyDescent="0.2">
      <c r="A612" s="33" t="s">
        <v>1252</v>
      </c>
      <c r="B612" t="s">
        <v>956</v>
      </c>
      <c r="C612" t="s">
        <v>45</v>
      </c>
    </row>
    <row r="613" spans="1:3" x14ac:dyDescent="0.2">
      <c r="A613" s="33" t="s">
        <v>1425</v>
      </c>
      <c r="B613" t="s">
        <v>956</v>
      </c>
      <c r="C613" t="s">
        <v>45</v>
      </c>
    </row>
    <row r="614" spans="1:3" x14ac:dyDescent="0.2">
      <c r="A614" s="33" t="s">
        <v>1448</v>
      </c>
      <c r="B614" t="s">
        <v>5</v>
      </c>
      <c r="C614" t="s">
        <v>6</v>
      </c>
    </row>
    <row r="615" spans="1:3" x14ac:dyDescent="0.2">
      <c r="A615" s="33" t="s">
        <v>1264</v>
      </c>
      <c r="B615" t="s">
        <v>165</v>
      </c>
      <c r="C615" t="s">
        <v>45</v>
      </c>
    </row>
    <row r="616" spans="1:3" x14ac:dyDescent="0.2">
      <c r="A616" s="33" t="s">
        <v>1264</v>
      </c>
      <c r="B616" t="s">
        <v>165</v>
      </c>
      <c r="C616" t="s">
        <v>45</v>
      </c>
    </row>
    <row r="617" spans="1:3" x14ac:dyDescent="0.2">
      <c r="A617" s="33" t="s">
        <v>1273</v>
      </c>
      <c r="B617" t="s">
        <v>956</v>
      </c>
      <c r="C617" t="s">
        <v>45</v>
      </c>
    </row>
    <row r="618" spans="1:3" x14ac:dyDescent="0.2">
      <c r="A618" s="7" t="s">
        <v>533</v>
      </c>
      <c r="B618" t="s">
        <v>514</v>
      </c>
      <c r="C618" t="s">
        <v>6</v>
      </c>
    </row>
    <row r="619" spans="1:3" x14ac:dyDescent="0.2">
      <c r="A619" s="7" t="s">
        <v>709</v>
      </c>
      <c r="B619" t="s">
        <v>639</v>
      </c>
      <c r="C619" t="s">
        <v>6</v>
      </c>
    </row>
    <row r="620" spans="1:3" x14ac:dyDescent="0.2">
      <c r="A620" s="33" t="s">
        <v>1374</v>
      </c>
      <c r="B620" t="s">
        <v>639</v>
      </c>
      <c r="C620" t="s">
        <v>6</v>
      </c>
    </row>
    <row r="621" spans="1:3" x14ac:dyDescent="0.2">
      <c r="A621" s="11" t="s">
        <v>778</v>
      </c>
      <c r="B621" t="s">
        <v>779</v>
      </c>
      <c r="C621" t="s">
        <v>6</v>
      </c>
    </row>
    <row r="622" spans="1:3" x14ac:dyDescent="0.2">
      <c r="A622" s="7" t="s">
        <v>944</v>
      </c>
      <c r="B622" t="s">
        <v>77</v>
      </c>
      <c r="C622" t="s">
        <v>6</v>
      </c>
    </row>
    <row r="623" spans="1:3" x14ac:dyDescent="0.2">
      <c r="A623" s="7" t="s">
        <v>2513</v>
      </c>
    </row>
    <row r="624" spans="1:3" x14ac:dyDescent="0.2">
      <c r="A624" s="7" t="s">
        <v>937</v>
      </c>
      <c r="B624" t="s">
        <v>5</v>
      </c>
      <c r="C624" t="s">
        <v>45</v>
      </c>
    </row>
    <row r="625" spans="1:4" x14ac:dyDescent="0.2">
      <c r="A625" s="33" t="s">
        <v>1618</v>
      </c>
      <c r="B625" t="s">
        <v>5</v>
      </c>
      <c r="C625" t="s">
        <v>45</v>
      </c>
    </row>
    <row r="626" spans="1:4" x14ac:dyDescent="0.2">
      <c r="A626" s="33" t="s">
        <v>1618</v>
      </c>
      <c r="B626" t="s">
        <v>5</v>
      </c>
      <c r="C626" t="s">
        <v>45</v>
      </c>
    </row>
    <row r="627" spans="1:4" x14ac:dyDescent="0.2">
      <c r="A627" s="8" t="s">
        <v>230</v>
      </c>
      <c r="B627" t="s">
        <v>165</v>
      </c>
      <c r="C627" t="s">
        <v>45</v>
      </c>
    </row>
    <row r="628" spans="1:4" x14ac:dyDescent="0.2">
      <c r="A628" s="33" t="s">
        <v>1325</v>
      </c>
      <c r="B628" t="s">
        <v>165</v>
      </c>
      <c r="C628" t="s">
        <v>45</v>
      </c>
    </row>
    <row r="629" spans="1:4" x14ac:dyDescent="0.2">
      <c r="A629" s="8" t="s">
        <v>511</v>
      </c>
      <c r="B629" t="s">
        <v>512</v>
      </c>
      <c r="C629" t="s">
        <v>45</v>
      </c>
    </row>
    <row r="630" spans="1:4" x14ac:dyDescent="0.2">
      <c r="A630" s="8" t="s">
        <v>35</v>
      </c>
      <c r="B630" t="s">
        <v>5</v>
      </c>
      <c r="C630" t="s">
        <v>6</v>
      </c>
    </row>
    <row r="631" spans="1:4" x14ac:dyDescent="0.2">
      <c r="A631" s="33" t="s">
        <v>1411</v>
      </c>
      <c r="B631" t="s">
        <v>512</v>
      </c>
      <c r="C631" t="s">
        <v>45</v>
      </c>
    </row>
    <row r="632" spans="1:4" x14ac:dyDescent="0.2">
      <c r="A632" s="33" t="s">
        <v>1689</v>
      </c>
      <c r="B632" t="s">
        <v>514</v>
      </c>
      <c r="C632" t="s">
        <v>6</v>
      </c>
    </row>
    <row r="633" spans="1:4" x14ac:dyDescent="0.2">
      <c r="A633" s="33" t="s">
        <v>1689</v>
      </c>
      <c r="B633" t="s">
        <v>514</v>
      </c>
      <c r="C633" t="s">
        <v>6</v>
      </c>
    </row>
    <row r="634" spans="1:4" x14ac:dyDescent="0.2">
      <c r="A634" s="8" t="s">
        <v>534</v>
      </c>
      <c r="B634" t="s">
        <v>514</v>
      </c>
      <c r="C634" t="s">
        <v>6</v>
      </c>
    </row>
    <row r="635" spans="1:4" x14ac:dyDescent="0.2">
      <c r="A635" s="7" t="s">
        <v>231</v>
      </c>
      <c r="B635" t="s">
        <v>165</v>
      </c>
      <c r="C635" t="s">
        <v>45</v>
      </c>
    </row>
    <row r="636" spans="1:4" x14ac:dyDescent="0.2">
      <c r="A636" s="33" t="s">
        <v>1363</v>
      </c>
      <c r="B636" t="s">
        <v>514</v>
      </c>
      <c r="C636" t="s">
        <v>6</v>
      </c>
    </row>
    <row r="637" spans="1:4" x14ac:dyDescent="0.2">
      <c r="A637" s="33" t="s">
        <v>1709</v>
      </c>
      <c r="B637" t="s">
        <v>165</v>
      </c>
      <c r="C637" t="s">
        <v>45</v>
      </c>
    </row>
    <row r="638" spans="1:4" x14ac:dyDescent="0.2">
      <c r="A638" s="7" t="s">
        <v>232</v>
      </c>
      <c r="B638" t="s">
        <v>165</v>
      </c>
      <c r="C638" t="s">
        <v>45</v>
      </c>
    </row>
    <row r="639" spans="1:4" x14ac:dyDescent="0.2">
      <c r="A639" s="7" t="s">
        <v>118</v>
      </c>
      <c r="B639" t="s">
        <v>98</v>
      </c>
      <c r="C639" t="s">
        <v>45</v>
      </c>
    </row>
    <row r="640" spans="1:4" x14ac:dyDescent="0.2">
      <c r="A640" s="7" t="s">
        <v>893</v>
      </c>
      <c r="B640" t="s">
        <v>891</v>
      </c>
      <c r="C640" t="s">
        <v>45</v>
      </c>
      <c r="D640" t="s">
        <v>892</v>
      </c>
    </row>
    <row r="641" spans="1:4" x14ac:dyDescent="0.2">
      <c r="A641" s="33" t="s">
        <v>1611</v>
      </c>
      <c r="B641" t="s">
        <v>600</v>
      </c>
      <c r="C641" t="s">
        <v>6</v>
      </c>
    </row>
    <row r="642" spans="1:4" x14ac:dyDescent="0.2">
      <c r="A642" s="9" t="s">
        <v>830</v>
      </c>
      <c r="B642" s="10" t="s">
        <v>828</v>
      </c>
      <c r="C642" t="s">
        <v>6</v>
      </c>
      <c r="D642" t="s">
        <v>829</v>
      </c>
    </row>
    <row r="643" spans="1:4" x14ac:dyDescent="0.2">
      <c r="A643" s="8" t="s">
        <v>1043</v>
      </c>
      <c r="B643" t="s">
        <v>956</v>
      </c>
      <c r="C643" t="s">
        <v>45</v>
      </c>
    </row>
    <row r="644" spans="1:4" x14ac:dyDescent="0.2">
      <c r="A644" s="33" t="s">
        <v>1774</v>
      </c>
      <c r="B644" t="s">
        <v>956</v>
      </c>
      <c r="C644" t="s">
        <v>45</v>
      </c>
    </row>
    <row r="645" spans="1:4" x14ac:dyDescent="0.2">
      <c r="A645" s="7" t="s">
        <v>598</v>
      </c>
      <c r="B645" t="s">
        <v>593</v>
      </c>
      <c r="C645" t="s">
        <v>6</v>
      </c>
    </row>
    <row r="646" spans="1:4" x14ac:dyDescent="0.2">
      <c r="A646" s="7" t="s">
        <v>1203</v>
      </c>
      <c r="B646" t="s">
        <v>593</v>
      </c>
      <c r="C646" t="s">
        <v>6</v>
      </c>
    </row>
    <row r="647" spans="1:4" x14ac:dyDescent="0.2">
      <c r="A647" s="7" t="s">
        <v>472</v>
      </c>
      <c r="B647" t="s">
        <v>469</v>
      </c>
      <c r="C647" t="s">
        <v>45</v>
      </c>
    </row>
    <row r="648" spans="1:4" x14ac:dyDescent="0.2">
      <c r="A648" s="8" t="s">
        <v>473</v>
      </c>
      <c r="B648" t="s">
        <v>469</v>
      </c>
      <c r="C648" t="s">
        <v>45</v>
      </c>
    </row>
    <row r="649" spans="1:4" x14ac:dyDescent="0.2">
      <c r="A649" s="7" t="s">
        <v>894</v>
      </c>
      <c r="B649" t="s">
        <v>891</v>
      </c>
      <c r="C649" t="s">
        <v>45</v>
      </c>
      <c r="D649" t="s">
        <v>892</v>
      </c>
    </row>
    <row r="650" spans="1:4" x14ac:dyDescent="0.2">
      <c r="A650" s="8" t="s">
        <v>1044</v>
      </c>
      <c r="B650" t="s">
        <v>956</v>
      </c>
      <c r="C650" t="s">
        <v>45</v>
      </c>
    </row>
    <row r="651" spans="1:4" x14ac:dyDescent="0.2">
      <c r="A651" s="7" t="s">
        <v>92</v>
      </c>
      <c r="B651" t="s">
        <v>87</v>
      </c>
      <c r="C651" t="s">
        <v>6</v>
      </c>
      <c r="D651" t="s">
        <v>20</v>
      </c>
    </row>
    <row r="652" spans="1:4" x14ac:dyDescent="0.2">
      <c r="A652" s="8" t="s">
        <v>1045</v>
      </c>
      <c r="B652" s="16" t="s">
        <v>956</v>
      </c>
      <c r="C652" s="16" t="s">
        <v>45</v>
      </c>
    </row>
    <row r="653" spans="1:4" x14ac:dyDescent="0.2">
      <c r="A653" s="7" t="str">
        <f>'[2]Apr 25 (5383)'!B17</f>
        <v>GEORGIA O'KEEFFE MUSEUM SANTA FE NM</v>
      </c>
      <c r="B653" t="s">
        <v>165</v>
      </c>
      <c r="C653" t="s">
        <v>45</v>
      </c>
      <c r="D653" t="s">
        <v>20</v>
      </c>
    </row>
    <row r="654" spans="1:4" x14ac:dyDescent="0.2">
      <c r="A654" s="7" t="s">
        <v>895</v>
      </c>
      <c r="B654" t="s">
        <v>891</v>
      </c>
      <c r="C654" t="s">
        <v>45</v>
      </c>
      <c r="D654" t="s">
        <v>892</v>
      </c>
    </row>
    <row r="655" spans="1:4" x14ac:dyDescent="0.2">
      <c r="A655" s="8" t="s">
        <v>1046</v>
      </c>
      <c r="B655" t="s">
        <v>956</v>
      </c>
      <c r="C655" t="s">
        <v>45</v>
      </c>
    </row>
    <row r="656" spans="1:4" x14ac:dyDescent="0.2">
      <c r="A656" s="33" t="s">
        <v>1412</v>
      </c>
      <c r="B656" t="s">
        <v>956</v>
      </c>
      <c r="C656" t="s">
        <v>45</v>
      </c>
    </row>
    <row r="657" spans="1:4" x14ac:dyDescent="0.2">
      <c r="A657" s="8" t="s">
        <v>233</v>
      </c>
      <c r="B657" t="s">
        <v>165</v>
      </c>
      <c r="C657" t="s">
        <v>45</v>
      </c>
    </row>
    <row r="658" spans="1:4" x14ac:dyDescent="0.2">
      <c r="A658" s="7" t="s">
        <v>1047</v>
      </c>
      <c r="B658" s="16" t="s">
        <v>956</v>
      </c>
      <c r="C658" s="16" t="s">
        <v>45</v>
      </c>
    </row>
    <row r="659" spans="1:4" x14ac:dyDescent="0.2">
      <c r="A659" s="7" t="s">
        <v>93</v>
      </c>
      <c r="B659" t="s">
        <v>87</v>
      </c>
      <c r="C659" t="s">
        <v>6</v>
      </c>
      <c r="D659" t="s">
        <v>20</v>
      </c>
    </row>
    <row r="660" spans="1:4" x14ac:dyDescent="0.2">
      <c r="A660" s="33" t="s">
        <v>1270</v>
      </c>
      <c r="B660" t="s">
        <v>858</v>
      </c>
      <c r="C660" t="s">
        <v>6</v>
      </c>
    </row>
    <row r="661" spans="1:4" x14ac:dyDescent="0.2">
      <c r="A661" s="33" t="s">
        <v>1270</v>
      </c>
      <c r="B661" t="s">
        <v>858</v>
      </c>
      <c r="C661" t="s">
        <v>6</v>
      </c>
    </row>
    <row r="662" spans="1:4" x14ac:dyDescent="0.2">
      <c r="A662" s="33" t="s">
        <v>1326</v>
      </c>
      <c r="B662" t="s">
        <v>858</v>
      </c>
      <c r="C662" t="s">
        <v>6</v>
      </c>
    </row>
    <row r="663" spans="1:4" x14ac:dyDescent="0.2">
      <c r="A663" s="33" t="s">
        <v>1779</v>
      </c>
      <c r="B663" t="s">
        <v>956</v>
      </c>
      <c r="C663" t="s">
        <v>45</v>
      </c>
    </row>
    <row r="664" spans="1:4" x14ac:dyDescent="0.2">
      <c r="A664" s="7" t="s">
        <v>474</v>
      </c>
      <c r="B664" t="s">
        <v>469</v>
      </c>
      <c r="C664" t="s">
        <v>45</v>
      </c>
    </row>
    <row r="665" spans="1:4" x14ac:dyDescent="0.2">
      <c r="A665" s="7" t="s">
        <v>500</v>
      </c>
      <c r="B665" t="s">
        <v>498</v>
      </c>
      <c r="C665" t="s">
        <v>6</v>
      </c>
      <c r="D665" t="s">
        <v>501</v>
      </c>
    </row>
    <row r="666" spans="1:4" x14ac:dyDescent="0.2">
      <c r="A666" s="7" t="s">
        <v>905</v>
      </c>
      <c r="B666" t="s">
        <v>901</v>
      </c>
      <c r="C666" t="s">
        <v>6</v>
      </c>
      <c r="D666" t="s">
        <v>906</v>
      </c>
    </row>
    <row r="667" spans="1:4" x14ac:dyDescent="0.2">
      <c r="A667" s="8" t="s">
        <v>1048</v>
      </c>
      <c r="B667" t="s">
        <v>956</v>
      </c>
      <c r="C667" t="s">
        <v>45</v>
      </c>
    </row>
    <row r="668" spans="1:4" x14ac:dyDescent="0.2">
      <c r="A668" s="7" t="s">
        <v>94</v>
      </c>
      <c r="B668" t="s">
        <v>87</v>
      </c>
      <c r="C668" t="s">
        <v>6</v>
      </c>
      <c r="D668" t="s">
        <v>20</v>
      </c>
    </row>
    <row r="669" spans="1:4" x14ac:dyDescent="0.2">
      <c r="A669" s="33" t="s">
        <v>1274</v>
      </c>
      <c r="B669" t="s">
        <v>956</v>
      </c>
      <c r="C669" t="s">
        <v>45</v>
      </c>
    </row>
    <row r="670" spans="1:4" x14ac:dyDescent="0.2">
      <c r="A670" s="33" t="s">
        <v>1537</v>
      </c>
      <c r="B670" t="s">
        <v>98</v>
      </c>
      <c r="C670" t="s">
        <v>6</v>
      </c>
    </row>
    <row r="671" spans="1:4" x14ac:dyDescent="0.2">
      <c r="A671" s="7" t="s">
        <v>119</v>
      </c>
      <c r="B671" t="s">
        <v>98</v>
      </c>
      <c r="C671" t="s">
        <v>6</v>
      </c>
      <c r="D671" t="s">
        <v>114</v>
      </c>
    </row>
    <row r="672" spans="1:4" x14ac:dyDescent="0.2">
      <c r="A672" s="7" t="s">
        <v>862</v>
      </c>
      <c r="B672" t="s">
        <v>858</v>
      </c>
      <c r="C672" t="s">
        <v>45</v>
      </c>
      <c r="D672" t="s">
        <v>20</v>
      </c>
    </row>
    <row r="673" spans="1:4" x14ac:dyDescent="0.2">
      <c r="A673" s="7" t="s">
        <v>863</v>
      </c>
      <c r="B673" t="s">
        <v>858</v>
      </c>
      <c r="C673" t="s">
        <v>45</v>
      </c>
      <c r="D673" t="s">
        <v>20</v>
      </c>
    </row>
    <row r="674" spans="1:4" x14ac:dyDescent="0.2">
      <c r="A674" s="7" t="s">
        <v>864</v>
      </c>
      <c r="B674" t="s">
        <v>858</v>
      </c>
      <c r="C674" t="s">
        <v>45</v>
      </c>
    </row>
    <row r="675" spans="1:4" x14ac:dyDescent="0.2">
      <c r="A675" s="7" t="s">
        <v>865</v>
      </c>
      <c r="B675" t="s">
        <v>858</v>
      </c>
      <c r="C675" t="s">
        <v>45</v>
      </c>
      <c r="D675" t="s">
        <v>20</v>
      </c>
    </row>
    <row r="676" spans="1:4" x14ac:dyDescent="0.2">
      <c r="A676" s="8" t="s">
        <v>866</v>
      </c>
      <c r="B676" t="s">
        <v>858</v>
      </c>
      <c r="C676" t="s">
        <v>45</v>
      </c>
    </row>
    <row r="677" spans="1:4" x14ac:dyDescent="0.2">
      <c r="A677" s="9" t="s">
        <v>907</v>
      </c>
      <c r="B677" s="10" t="s">
        <v>901</v>
      </c>
      <c r="C677" t="s">
        <v>45</v>
      </c>
      <c r="D677" t="s">
        <v>20</v>
      </c>
    </row>
    <row r="678" spans="1:4" x14ac:dyDescent="0.2">
      <c r="A678" s="7" t="s">
        <v>908</v>
      </c>
      <c r="B678" t="s">
        <v>901</v>
      </c>
      <c r="C678" t="s">
        <v>45</v>
      </c>
      <c r="D678" t="s">
        <v>20</v>
      </c>
    </row>
    <row r="679" spans="1:4" x14ac:dyDescent="0.2">
      <c r="A679" s="7" t="s">
        <v>909</v>
      </c>
      <c r="B679" t="s">
        <v>901</v>
      </c>
      <c r="C679" t="s">
        <v>45</v>
      </c>
      <c r="D679" t="s">
        <v>910</v>
      </c>
    </row>
    <row r="680" spans="1:4" x14ac:dyDescent="0.2">
      <c r="A680" s="8" t="s">
        <v>867</v>
      </c>
      <c r="B680" t="s">
        <v>858</v>
      </c>
      <c r="C680" t="s">
        <v>45</v>
      </c>
    </row>
    <row r="681" spans="1:4" x14ac:dyDescent="0.2">
      <c r="A681" s="7" t="s">
        <v>868</v>
      </c>
      <c r="B681" t="s">
        <v>858</v>
      </c>
      <c r="C681" t="s">
        <v>45</v>
      </c>
      <c r="D681" t="s">
        <v>20</v>
      </c>
    </row>
    <row r="682" spans="1:4" x14ac:dyDescent="0.2">
      <c r="A682" s="7" t="s">
        <v>869</v>
      </c>
      <c r="B682" t="s">
        <v>858</v>
      </c>
      <c r="C682" t="s">
        <v>45</v>
      </c>
      <c r="D682" t="s">
        <v>20</v>
      </c>
    </row>
    <row r="683" spans="1:4" x14ac:dyDescent="0.2">
      <c r="A683" s="7" t="s">
        <v>1049</v>
      </c>
      <c r="B683" t="s">
        <v>956</v>
      </c>
      <c r="C683" t="s">
        <v>45</v>
      </c>
    </row>
    <row r="684" spans="1:4" x14ac:dyDescent="0.2">
      <c r="A684" s="7" t="s">
        <v>234</v>
      </c>
      <c r="B684" t="s">
        <v>165</v>
      </c>
      <c r="C684" t="s">
        <v>45</v>
      </c>
      <c r="D684" t="s">
        <v>20</v>
      </c>
    </row>
    <row r="685" spans="1:4" x14ac:dyDescent="0.2">
      <c r="A685" s="33" t="s">
        <v>1413</v>
      </c>
      <c r="B685" t="s">
        <v>956</v>
      </c>
      <c r="C685" t="s">
        <v>45</v>
      </c>
    </row>
    <row r="686" spans="1:4" x14ac:dyDescent="0.2">
      <c r="A686" s="7" t="s">
        <v>235</v>
      </c>
      <c r="B686" t="s">
        <v>165</v>
      </c>
      <c r="C686" t="s">
        <v>45</v>
      </c>
      <c r="D686" t="s">
        <v>20</v>
      </c>
    </row>
    <row r="687" spans="1:4" x14ac:dyDescent="0.2">
      <c r="A687" s="7" t="s">
        <v>710</v>
      </c>
      <c r="B687" t="s">
        <v>639</v>
      </c>
      <c r="C687" t="s">
        <v>6</v>
      </c>
    </row>
    <row r="688" spans="1:4" x14ac:dyDescent="0.2">
      <c r="A688" s="33" t="s">
        <v>1427</v>
      </c>
      <c r="B688" t="s">
        <v>858</v>
      </c>
      <c r="C688" t="s">
        <v>6</v>
      </c>
    </row>
    <row r="689" spans="1:4" x14ac:dyDescent="0.2">
      <c r="A689" s="33" t="s">
        <v>1427</v>
      </c>
      <c r="B689" t="s">
        <v>858</v>
      </c>
      <c r="C689" t="s">
        <v>6</v>
      </c>
    </row>
    <row r="690" spans="1:4" x14ac:dyDescent="0.2">
      <c r="A690" s="33" t="s">
        <v>1427</v>
      </c>
      <c r="B690" t="s">
        <v>858</v>
      </c>
      <c r="C690" t="s">
        <v>6</v>
      </c>
    </row>
    <row r="691" spans="1:4" x14ac:dyDescent="0.2">
      <c r="A691" s="7" t="s">
        <v>236</v>
      </c>
      <c r="B691" t="s">
        <v>165</v>
      </c>
      <c r="C691" t="s">
        <v>45</v>
      </c>
    </row>
    <row r="692" spans="1:4" x14ac:dyDescent="0.2">
      <c r="A692" s="7" t="s">
        <v>36</v>
      </c>
      <c r="B692" t="s">
        <v>5</v>
      </c>
      <c r="C692" t="s">
        <v>6</v>
      </c>
    </row>
    <row r="693" spans="1:4" x14ac:dyDescent="0.2">
      <c r="A693" s="33" t="s">
        <v>1631</v>
      </c>
      <c r="B693" t="s">
        <v>5</v>
      </c>
      <c r="C693" t="s">
        <v>6</v>
      </c>
    </row>
    <row r="694" spans="1:4" x14ac:dyDescent="0.2">
      <c r="A694" s="7" t="s">
        <v>535</v>
      </c>
      <c r="B694" t="s">
        <v>514</v>
      </c>
      <c r="C694" t="s">
        <v>6</v>
      </c>
      <c r="D694" t="s">
        <v>20</v>
      </c>
    </row>
    <row r="695" spans="1:4" x14ac:dyDescent="0.2">
      <c r="A695" s="33" t="s">
        <v>1271</v>
      </c>
      <c r="B695" t="s">
        <v>956</v>
      </c>
      <c r="C695" t="s">
        <v>45</v>
      </c>
    </row>
    <row r="696" spans="1:4" x14ac:dyDescent="0.2">
      <c r="A696" s="8" t="s">
        <v>1050</v>
      </c>
      <c r="B696" s="16" t="s">
        <v>956</v>
      </c>
      <c r="C696" s="16" t="s">
        <v>45</v>
      </c>
    </row>
    <row r="697" spans="1:4" x14ac:dyDescent="0.2">
      <c r="A697" s="7" t="s">
        <v>812</v>
      </c>
      <c r="B697" t="s">
        <v>810</v>
      </c>
      <c r="C697" t="s">
        <v>6</v>
      </c>
      <c r="D697" t="s">
        <v>20</v>
      </c>
    </row>
    <row r="698" spans="1:4" x14ac:dyDescent="0.2">
      <c r="A698" s="8" t="s">
        <v>711</v>
      </c>
      <c r="B698" t="s">
        <v>639</v>
      </c>
      <c r="C698" t="s">
        <v>6</v>
      </c>
    </row>
    <row r="699" spans="1:4" x14ac:dyDescent="0.2">
      <c r="A699" s="7" t="s">
        <v>1051</v>
      </c>
      <c r="B699" s="16" t="s">
        <v>956</v>
      </c>
      <c r="C699" s="16" t="s">
        <v>45</v>
      </c>
    </row>
    <row r="700" spans="1:4" x14ac:dyDescent="0.2">
      <c r="A700" s="8" t="s">
        <v>1052</v>
      </c>
      <c r="B700" t="s">
        <v>956</v>
      </c>
      <c r="C700" t="s">
        <v>45</v>
      </c>
    </row>
    <row r="701" spans="1:4" x14ac:dyDescent="0.2">
      <c r="A701" s="7" t="s">
        <v>911</v>
      </c>
      <c r="B701" t="s">
        <v>901</v>
      </c>
      <c r="C701" t="s">
        <v>45</v>
      </c>
    </row>
    <row r="702" spans="1:4" x14ac:dyDescent="0.2">
      <c r="A702" s="8" t="s">
        <v>780</v>
      </c>
      <c r="B702" t="s">
        <v>781</v>
      </c>
      <c r="C702" t="s">
        <v>45</v>
      </c>
    </row>
    <row r="703" spans="1:4" x14ac:dyDescent="0.2">
      <c r="A703" s="8" t="s">
        <v>837</v>
      </c>
      <c r="B703" t="s">
        <v>835</v>
      </c>
      <c r="C703" t="s">
        <v>45</v>
      </c>
    </row>
    <row r="704" spans="1:4" x14ac:dyDescent="0.2">
      <c r="A704" s="7" t="s">
        <v>838</v>
      </c>
      <c r="B704" t="s">
        <v>835</v>
      </c>
      <c r="C704" t="s">
        <v>45</v>
      </c>
    </row>
    <row r="705" spans="1:4" x14ac:dyDescent="0.2">
      <c r="A705" s="7" t="s">
        <v>782</v>
      </c>
      <c r="B705" t="s">
        <v>781</v>
      </c>
      <c r="C705" t="s">
        <v>45</v>
      </c>
    </row>
    <row r="706" spans="1:4" x14ac:dyDescent="0.2">
      <c r="A706" s="8" t="s">
        <v>783</v>
      </c>
      <c r="B706" t="s">
        <v>781</v>
      </c>
      <c r="C706" t="s">
        <v>45</v>
      </c>
    </row>
    <row r="707" spans="1:4" x14ac:dyDescent="0.2">
      <c r="A707" s="7" t="s">
        <v>839</v>
      </c>
      <c r="B707" t="s">
        <v>835</v>
      </c>
      <c r="C707" t="s">
        <v>45</v>
      </c>
      <c r="D707" t="s">
        <v>20</v>
      </c>
    </row>
    <row r="708" spans="1:4" x14ac:dyDescent="0.2">
      <c r="A708" s="7" t="s">
        <v>712</v>
      </c>
      <c r="B708" t="s">
        <v>639</v>
      </c>
      <c r="C708" t="s">
        <v>45</v>
      </c>
    </row>
    <row r="709" spans="1:4" x14ac:dyDescent="0.2">
      <c r="A709" s="7" t="s">
        <v>1053</v>
      </c>
      <c r="B709" t="s">
        <v>956</v>
      </c>
      <c r="C709" t="s">
        <v>45</v>
      </c>
      <c r="D709" t="s">
        <v>1015</v>
      </c>
    </row>
    <row r="710" spans="1:4" x14ac:dyDescent="0.2">
      <c r="A710" s="11" t="s">
        <v>605</v>
      </c>
      <c r="B710" t="s">
        <v>600</v>
      </c>
      <c r="C710" t="s">
        <v>6</v>
      </c>
    </row>
    <row r="711" spans="1:4" x14ac:dyDescent="0.2">
      <c r="A711" s="11" t="s">
        <v>605</v>
      </c>
      <c r="B711" t="s">
        <v>600</v>
      </c>
      <c r="C711" t="s">
        <v>6</v>
      </c>
    </row>
    <row r="712" spans="1:4" x14ac:dyDescent="0.2">
      <c r="A712" s="11" t="s">
        <v>605</v>
      </c>
      <c r="B712" t="s">
        <v>600</v>
      </c>
      <c r="C712" t="s">
        <v>6</v>
      </c>
    </row>
    <row r="713" spans="1:4" x14ac:dyDescent="0.2">
      <c r="A713" s="11" t="s">
        <v>605</v>
      </c>
      <c r="B713" t="s">
        <v>600</v>
      </c>
      <c r="C713" t="s">
        <v>6</v>
      </c>
    </row>
    <row r="714" spans="1:4" x14ac:dyDescent="0.2">
      <c r="A714" s="7" t="s">
        <v>237</v>
      </c>
      <c r="B714" t="s">
        <v>165</v>
      </c>
      <c r="C714" t="s">
        <v>45</v>
      </c>
    </row>
    <row r="715" spans="1:4" x14ac:dyDescent="0.2">
      <c r="A715" s="33" t="s">
        <v>1322</v>
      </c>
      <c r="B715" t="s">
        <v>956</v>
      </c>
      <c r="C715" t="s">
        <v>45</v>
      </c>
    </row>
    <row r="716" spans="1:4" x14ac:dyDescent="0.2">
      <c r="A716" s="8" t="s">
        <v>238</v>
      </c>
      <c r="B716" t="s">
        <v>165</v>
      </c>
      <c r="C716" t="s">
        <v>45</v>
      </c>
    </row>
    <row r="717" spans="1:4" x14ac:dyDescent="0.2">
      <c r="A717" s="33" t="s">
        <v>1770</v>
      </c>
      <c r="B717" t="s">
        <v>5</v>
      </c>
      <c r="C717" t="s">
        <v>6</v>
      </c>
    </row>
    <row r="718" spans="1:4" x14ac:dyDescent="0.2">
      <c r="A718" s="7" t="s">
        <v>896</v>
      </c>
      <c r="B718" t="s">
        <v>891</v>
      </c>
      <c r="C718" t="s">
        <v>45</v>
      </c>
      <c r="D718" t="s">
        <v>892</v>
      </c>
    </row>
    <row r="719" spans="1:4" x14ac:dyDescent="0.2">
      <c r="A719" s="7" t="s">
        <v>912</v>
      </c>
      <c r="B719" t="s">
        <v>901</v>
      </c>
      <c r="C719" t="s">
        <v>45</v>
      </c>
      <c r="D719" t="s">
        <v>20</v>
      </c>
    </row>
    <row r="720" spans="1:4" x14ac:dyDescent="0.2">
      <c r="A720" s="7" t="s">
        <v>536</v>
      </c>
      <c r="B720" t="s">
        <v>514</v>
      </c>
      <c r="C720" t="s">
        <v>6</v>
      </c>
    </row>
    <row r="721" spans="1:4" x14ac:dyDescent="0.2">
      <c r="A721" s="7" t="s">
        <v>1145</v>
      </c>
      <c r="B721" t="s">
        <v>1144</v>
      </c>
      <c r="C721" t="s">
        <v>6</v>
      </c>
    </row>
    <row r="722" spans="1:4" x14ac:dyDescent="0.2">
      <c r="A722" s="33" t="s">
        <v>1432</v>
      </c>
      <c r="B722" t="s">
        <v>956</v>
      </c>
      <c r="C722" t="s">
        <v>45</v>
      </c>
    </row>
    <row r="723" spans="1:4" x14ac:dyDescent="0.2">
      <c r="A723" s="33" t="s">
        <v>1432</v>
      </c>
      <c r="B723" t="s">
        <v>956</v>
      </c>
      <c r="C723" t="s">
        <v>45</v>
      </c>
    </row>
    <row r="724" spans="1:4" x14ac:dyDescent="0.2">
      <c r="A724" s="7" t="s">
        <v>1054</v>
      </c>
      <c r="B724" t="s">
        <v>956</v>
      </c>
      <c r="C724" t="s">
        <v>45</v>
      </c>
    </row>
    <row r="725" spans="1:4" x14ac:dyDescent="0.2">
      <c r="A725" s="8" t="s">
        <v>713</v>
      </c>
      <c r="B725" t="s">
        <v>639</v>
      </c>
      <c r="C725" t="s">
        <v>6</v>
      </c>
    </row>
    <row r="726" spans="1:4" x14ac:dyDescent="0.2">
      <c r="A726" s="7" t="s">
        <v>870</v>
      </c>
      <c r="B726" t="s">
        <v>858</v>
      </c>
      <c r="C726" t="s">
        <v>45</v>
      </c>
      <c r="D726" t="s">
        <v>20</v>
      </c>
    </row>
    <row r="727" spans="1:4" x14ac:dyDescent="0.2">
      <c r="A727" s="7" t="s">
        <v>871</v>
      </c>
      <c r="B727" t="s">
        <v>858</v>
      </c>
      <c r="C727" t="s">
        <v>6</v>
      </c>
    </row>
    <row r="728" spans="1:4" x14ac:dyDescent="0.2">
      <c r="A728" s="7" t="s">
        <v>1204</v>
      </c>
      <c r="B728" t="s">
        <v>956</v>
      </c>
      <c r="C728" t="s">
        <v>45</v>
      </c>
    </row>
    <row r="729" spans="1:4" x14ac:dyDescent="0.2">
      <c r="A729" s="33" t="s">
        <v>1794</v>
      </c>
      <c r="B729" t="s">
        <v>956</v>
      </c>
      <c r="C729" t="s">
        <v>45</v>
      </c>
    </row>
    <row r="730" spans="1:4" x14ac:dyDescent="0.2">
      <c r="A730" s="8" t="s">
        <v>913</v>
      </c>
      <c r="B730" t="s">
        <v>901</v>
      </c>
      <c r="C730" t="s">
        <v>45</v>
      </c>
    </row>
    <row r="731" spans="1:4" x14ac:dyDescent="0.2">
      <c r="A731" s="8" t="s">
        <v>914</v>
      </c>
      <c r="B731" t="s">
        <v>901</v>
      </c>
      <c r="C731" t="s">
        <v>45</v>
      </c>
    </row>
    <row r="732" spans="1:4" x14ac:dyDescent="0.2">
      <c r="A732" s="8" t="s">
        <v>537</v>
      </c>
      <c r="B732" t="s">
        <v>514</v>
      </c>
      <c r="C732" t="s">
        <v>45</v>
      </c>
    </row>
    <row r="733" spans="1:4" x14ac:dyDescent="0.2">
      <c r="A733" s="7" t="s">
        <v>538</v>
      </c>
      <c r="B733" t="s">
        <v>514</v>
      </c>
      <c r="C733" t="s">
        <v>6</v>
      </c>
      <c r="D733" t="s">
        <v>20</v>
      </c>
    </row>
    <row r="734" spans="1:4" x14ac:dyDescent="0.2">
      <c r="A734" s="7" t="s">
        <v>1055</v>
      </c>
      <c r="B734" t="s">
        <v>956</v>
      </c>
      <c r="C734" t="s">
        <v>45</v>
      </c>
      <c r="D734" t="s">
        <v>958</v>
      </c>
    </row>
    <row r="735" spans="1:4" x14ac:dyDescent="0.2">
      <c r="A735" s="7" t="s">
        <v>1205</v>
      </c>
      <c r="B735" t="s">
        <v>956</v>
      </c>
      <c r="C735" t="s">
        <v>45</v>
      </c>
    </row>
    <row r="736" spans="1:4" x14ac:dyDescent="0.2">
      <c r="A736" s="7" t="s">
        <v>539</v>
      </c>
      <c r="B736" t="s">
        <v>514</v>
      </c>
      <c r="C736" t="s">
        <v>6</v>
      </c>
      <c r="D736" t="s">
        <v>20</v>
      </c>
    </row>
    <row r="737" spans="1:4" x14ac:dyDescent="0.2">
      <c r="A737" s="7" t="s">
        <v>540</v>
      </c>
      <c r="B737" t="s">
        <v>514</v>
      </c>
      <c r="C737" t="s">
        <v>6</v>
      </c>
      <c r="D737" t="s">
        <v>20</v>
      </c>
    </row>
    <row r="738" spans="1:4" x14ac:dyDescent="0.2">
      <c r="A738" s="33" t="s">
        <v>1481</v>
      </c>
      <c r="B738" t="s">
        <v>5</v>
      </c>
      <c r="C738" t="s">
        <v>6</v>
      </c>
    </row>
    <row r="739" spans="1:4" x14ac:dyDescent="0.2">
      <c r="A739" s="7" t="s">
        <v>714</v>
      </c>
      <c r="B739" t="s">
        <v>639</v>
      </c>
      <c r="C739" t="s">
        <v>6</v>
      </c>
      <c r="D739" t="s">
        <v>715</v>
      </c>
    </row>
    <row r="740" spans="1:4" x14ac:dyDescent="0.2">
      <c r="A740" s="33" t="s">
        <v>1824</v>
      </c>
      <c r="B740" t="s">
        <v>858</v>
      </c>
      <c r="C740" t="s">
        <v>45</v>
      </c>
    </row>
    <row r="741" spans="1:4" x14ac:dyDescent="0.2">
      <c r="A741" s="33" t="s">
        <v>1807</v>
      </c>
      <c r="B741" t="s">
        <v>1170</v>
      </c>
      <c r="C741" t="s">
        <v>45</v>
      </c>
    </row>
    <row r="742" spans="1:4" x14ac:dyDescent="0.2">
      <c r="A742" s="33" t="s">
        <v>1482</v>
      </c>
      <c r="B742" t="s">
        <v>5</v>
      </c>
      <c r="C742" t="s">
        <v>6</v>
      </c>
    </row>
    <row r="743" spans="1:4" x14ac:dyDescent="0.2">
      <c r="A743" s="8" t="s">
        <v>541</v>
      </c>
      <c r="B743" t="s">
        <v>514</v>
      </c>
      <c r="C743" t="s">
        <v>6</v>
      </c>
    </row>
    <row r="744" spans="1:4" x14ac:dyDescent="0.2">
      <c r="A744" s="7" t="s">
        <v>542</v>
      </c>
      <c r="B744" t="s">
        <v>514</v>
      </c>
      <c r="C744" t="s">
        <v>6</v>
      </c>
    </row>
    <row r="745" spans="1:4" x14ac:dyDescent="0.2">
      <c r="A745" s="8" t="s">
        <v>716</v>
      </c>
      <c r="B745" t="s">
        <v>639</v>
      </c>
      <c r="C745" t="s">
        <v>6</v>
      </c>
    </row>
    <row r="746" spans="1:4" x14ac:dyDescent="0.2">
      <c r="A746" s="8" t="s">
        <v>69</v>
      </c>
      <c r="B746" t="s">
        <v>68</v>
      </c>
      <c r="C746" t="s">
        <v>45</v>
      </c>
    </row>
    <row r="747" spans="1:4" x14ac:dyDescent="0.2">
      <c r="A747" s="33" t="s">
        <v>1349</v>
      </c>
      <c r="B747" t="s">
        <v>68</v>
      </c>
      <c r="C747" t="s">
        <v>45</v>
      </c>
    </row>
    <row r="748" spans="1:4" x14ac:dyDescent="0.2">
      <c r="A748" s="33" t="s">
        <v>1349</v>
      </c>
      <c r="B748" t="s">
        <v>68</v>
      </c>
      <c r="C748" t="s">
        <v>45</v>
      </c>
    </row>
    <row r="749" spans="1:4" x14ac:dyDescent="0.2">
      <c r="A749" s="7" t="s">
        <v>70</v>
      </c>
      <c r="B749" t="s">
        <v>68</v>
      </c>
      <c r="C749" t="s">
        <v>45</v>
      </c>
      <c r="D749" t="s">
        <v>71</v>
      </c>
    </row>
    <row r="750" spans="1:4" x14ac:dyDescent="0.2">
      <c r="A750" s="7" t="s">
        <v>72</v>
      </c>
      <c r="B750" t="s">
        <v>68</v>
      </c>
      <c r="C750" t="s">
        <v>45</v>
      </c>
      <c r="D750" t="s">
        <v>71</v>
      </c>
    </row>
    <row r="751" spans="1:4" x14ac:dyDescent="0.2">
      <c r="A751" s="7" t="s">
        <v>73</v>
      </c>
      <c r="B751" t="s">
        <v>68</v>
      </c>
      <c r="C751" t="s">
        <v>45</v>
      </c>
      <c r="D751" t="s">
        <v>71</v>
      </c>
    </row>
    <row r="752" spans="1:4" x14ac:dyDescent="0.2">
      <c r="A752" s="11" t="s">
        <v>793</v>
      </c>
      <c r="B752" s="5" t="s">
        <v>794</v>
      </c>
      <c r="C752" t="s">
        <v>45</v>
      </c>
    </row>
    <row r="753" spans="1:4" x14ac:dyDescent="0.2">
      <c r="A753" s="12" t="s">
        <v>793</v>
      </c>
      <c r="B753" s="6" t="s">
        <v>794</v>
      </c>
      <c r="C753" t="s">
        <v>45</v>
      </c>
    </row>
    <row r="754" spans="1:4" x14ac:dyDescent="0.2">
      <c r="A754" s="12" t="s">
        <v>793</v>
      </c>
      <c r="B754" s="6" t="s">
        <v>794</v>
      </c>
      <c r="C754" t="s">
        <v>45</v>
      </c>
    </row>
    <row r="755" spans="1:4" x14ac:dyDescent="0.2">
      <c r="A755" s="11" t="s">
        <v>793</v>
      </c>
      <c r="B755" s="5" t="s">
        <v>794</v>
      </c>
      <c r="C755" t="s">
        <v>45</v>
      </c>
    </row>
    <row r="756" spans="1:4" x14ac:dyDescent="0.2">
      <c r="A756" s="11" t="s">
        <v>793</v>
      </c>
      <c r="B756" s="5" t="s">
        <v>794</v>
      </c>
      <c r="C756" t="s">
        <v>45</v>
      </c>
    </row>
    <row r="757" spans="1:4" x14ac:dyDescent="0.2">
      <c r="A757" s="7" t="s">
        <v>1056</v>
      </c>
      <c r="B757" t="s">
        <v>956</v>
      </c>
      <c r="C757" t="s">
        <v>45</v>
      </c>
      <c r="D757" t="s">
        <v>958</v>
      </c>
    </row>
    <row r="758" spans="1:4" x14ac:dyDescent="0.2">
      <c r="A758" s="7" t="s">
        <v>1057</v>
      </c>
      <c r="B758" t="s">
        <v>956</v>
      </c>
      <c r="C758" t="s">
        <v>45</v>
      </c>
      <c r="D758" t="s">
        <v>958</v>
      </c>
    </row>
    <row r="759" spans="1:4" x14ac:dyDescent="0.2">
      <c r="A759" s="7" t="s">
        <v>1058</v>
      </c>
      <c r="B759" t="s">
        <v>956</v>
      </c>
      <c r="C759" t="s">
        <v>45</v>
      </c>
      <c r="D759" t="s">
        <v>958</v>
      </c>
    </row>
    <row r="760" spans="1:4" x14ac:dyDescent="0.2">
      <c r="A760" s="7" t="s">
        <v>606</v>
      </c>
      <c r="B760" t="s">
        <v>600</v>
      </c>
      <c r="C760" t="s">
        <v>6</v>
      </c>
      <c r="D760" t="s">
        <v>20</v>
      </c>
    </row>
    <row r="761" spans="1:4" x14ac:dyDescent="0.2">
      <c r="A761" s="7" t="s">
        <v>1206</v>
      </c>
      <c r="B761" t="s">
        <v>600</v>
      </c>
      <c r="C761" t="s">
        <v>6</v>
      </c>
    </row>
    <row r="762" spans="1:4" x14ac:dyDescent="0.2">
      <c r="A762" s="7" t="s">
        <v>239</v>
      </c>
      <c r="B762" t="s">
        <v>165</v>
      </c>
      <c r="C762" t="s">
        <v>45</v>
      </c>
      <c r="D762" t="s">
        <v>20</v>
      </c>
    </row>
    <row r="763" spans="1:4" x14ac:dyDescent="0.2">
      <c r="A763" s="7" t="s">
        <v>1059</v>
      </c>
      <c r="B763" t="s">
        <v>956</v>
      </c>
      <c r="C763" t="s">
        <v>45</v>
      </c>
    </row>
    <row r="764" spans="1:4" x14ac:dyDescent="0.2">
      <c r="A764" s="8" t="s">
        <v>1060</v>
      </c>
      <c r="B764" t="s">
        <v>956</v>
      </c>
      <c r="C764" t="s">
        <v>45</v>
      </c>
    </row>
    <row r="765" spans="1:4" x14ac:dyDescent="0.2">
      <c r="A765" s="33" t="s">
        <v>1805</v>
      </c>
      <c r="B765" t="s">
        <v>956</v>
      </c>
      <c r="C765" t="s">
        <v>45</v>
      </c>
    </row>
    <row r="766" spans="1:4" x14ac:dyDescent="0.2">
      <c r="A766" s="8" t="s">
        <v>1061</v>
      </c>
      <c r="B766" t="s">
        <v>956</v>
      </c>
      <c r="C766" t="s">
        <v>45</v>
      </c>
    </row>
    <row r="767" spans="1:4" x14ac:dyDescent="0.2">
      <c r="A767" s="33" t="s">
        <v>1804</v>
      </c>
      <c r="B767" t="s">
        <v>956</v>
      </c>
      <c r="C767" t="s">
        <v>45</v>
      </c>
    </row>
    <row r="768" spans="1:4" x14ac:dyDescent="0.2">
      <c r="A768" s="7" t="s">
        <v>240</v>
      </c>
      <c r="B768" t="s">
        <v>165</v>
      </c>
      <c r="C768" t="s">
        <v>45</v>
      </c>
      <c r="D768" t="s">
        <v>20</v>
      </c>
    </row>
    <row r="769" spans="1:4" x14ac:dyDescent="0.2">
      <c r="A769" s="7" t="s">
        <v>502</v>
      </c>
      <c r="B769" t="s">
        <v>498</v>
      </c>
      <c r="C769" t="s">
        <v>6</v>
      </c>
    </row>
    <row r="770" spans="1:4" x14ac:dyDescent="0.2">
      <c r="A770" s="7" t="s">
        <v>241</v>
      </c>
      <c r="B770" t="s">
        <v>165</v>
      </c>
      <c r="C770" t="s">
        <v>45</v>
      </c>
      <c r="D770" t="s">
        <v>20</v>
      </c>
    </row>
    <row r="771" spans="1:4" x14ac:dyDescent="0.2">
      <c r="A771" s="33" t="s">
        <v>1528</v>
      </c>
      <c r="B771" t="s">
        <v>165</v>
      </c>
      <c r="C771" t="s">
        <v>45</v>
      </c>
    </row>
    <row r="772" spans="1:4" x14ac:dyDescent="0.2">
      <c r="A772" s="8" t="s">
        <v>242</v>
      </c>
      <c r="B772" t="s">
        <v>165</v>
      </c>
      <c r="C772" t="s">
        <v>45</v>
      </c>
    </row>
    <row r="773" spans="1:4" x14ac:dyDescent="0.2">
      <c r="A773" s="33" t="s">
        <v>1845</v>
      </c>
      <c r="B773" t="s">
        <v>165</v>
      </c>
      <c r="C773" t="s">
        <v>45</v>
      </c>
    </row>
    <row r="774" spans="1:4" x14ac:dyDescent="0.2">
      <c r="A774" s="7" t="s">
        <v>243</v>
      </c>
      <c r="B774" t="s">
        <v>165</v>
      </c>
      <c r="C774" t="s">
        <v>45</v>
      </c>
    </row>
    <row r="775" spans="1:4" x14ac:dyDescent="0.2">
      <c r="A775" s="33" t="s">
        <v>1720</v>
      </c>
      <c r="B775" t="s">
        <v>165</v>
      </c>
      <c r="C775" t="s">
        <v>45</v>
      </c>
    </row>
    <row r="776" spans="1:4" x14ac:dyDescent="0.2">
      <c r="A776" s="33" t="s">
        <v>1766</v>
      </c>
      <c r="B776" t="s">
        <v>956</v>
      </c>
      <c r="C776" t="s">
        <v>45</v>
      </c>
    </row>
    <row r="777" spans="1:4" x14ac:dyDescent="0.2">
      <c r="A777" s="7" t="s">
        <v>607</v>
      </c>
      <c r="B777" t="s">
        <v>600</v>
      </c>
      <c r="C777" t="s">
        <v>6</v>
      </c>
      <c r="D777" t="s">
        <v>20</v>
      </c>
    </row>
    <row r="778" spans="1:4" x14ac:dyDescent="0.2">
      <c r="A778" s="8" t="s">
        <v>244</v>
      </c>
      <c r="B778" t="s">
        <v>165</v>
      </c>
      <c r="C778" t="s">
        <v>45</v>
      </c>
    </row>
    <row r="779" spans="1:4" x14ac:dyDescent="0.2">
      <c r="A779" s="33" t="s">
        <v>1704</v>
      </c>
      <c r="B779" t="s">
        <v>165</v>
      </c>
      <c r="C779" t="s">
        <v>45</v>
      </c>
    </row>
    <row r="780" spans="1:4" x14ac:dyDescent="0.2">
      <c r="A780" s="8" t="s">
        <v>717</v>
      </c>
      <c r="B780" t="s">
        <v>639</v>
      </c>
      <c r="C780" t="s">
        <v>45</v>
      </c>
    </row>
    <row r="781" spans="1:4" x14ac:dyDescent="0.2">
      <c r="A781" s="33" t="s">
        <v>1780</v>
      </c>
      <c r="B781" t="s">
        <v>956</v>
      </c>
      <c r="C781" t="s">
        <v>45</v>
      </c>
    </row>
    <row r="782" spans="1:4" x14ac:dyDescent="0.2">
      <c r="A782" s="7" t="s">
        <v>245</v>
      </c>
      <c r="B782" t="s">
        <v>165</v>
      </c>
      <c r="C782" t="s">
        <v>45</v>
      </c>
      <c r="D782" t="s">
        <v>20</v>
      </c>
    </row>
    <row r="783" spans="1:4" x14ac:dyDescent="0.2">
      <c r="A783" s="7" t="s">
        <v>246</v>
      </c>
      <c r="B783" t="s">
        <v>165</v>
      </c>
      <c r="C783" t="s">
        <v>45</v>
      </c>
      <c r="D783" t="s">
        <v>20</v>
      </c>
    </row>
    <row r="784" spans="1:4" x14ac:dyDescent="0.2">
      <c r="A784" s="7" t="s">
        <v>1062</v>
      </c>
      <c r="B784" t="s">
        <v>956</v>
      </c>
      <c r="C784" t="s">
        <v>45</v>
      </c>
    </row>
    <row r="785" spans="1:4" x14ac:dyDescent="0.2">
      <c r="A785" s="7" t="s">
        <v>1063</v>
      </c>
      <c r="B785" s="16" t="s">
        <v>956</v>
      </c>
      <c r="C785" s="16" t="s">
        <v>45</v>
      </c>
    </row>
    <row r="786" spans="1:4" x14ac:dyDescent="0.2">
      <c r="A786" s="8" t="s">
        <v>1064</v>
      </c>
      <c r="B786" s="16" t="s">
        <v>956</v>
      </c>
      <c r="C786" s="16" t="s">
        <v>45</v>
      </c>
    </row>
    <row r="787" spans="1:4" x14ac:dyDescent="0.2">
      <c r="A787" s="7" t="s">
        <v>1065</v>
      </c>
      <c r="B787" s="16" t="s">
        <v>956</v>
      </c>
      <c r="C787" s="16" t="s">
        <v>45</v>
      </c>
    </row>
    <row r="788" spans="1:4" x14ac:dyDescent="0.2">
      <c r="A788" s="8" t="s">
        <v>1066</v>
      </c>
      <c r="B788" s="16" t="s">
        <v>956</v>
      </c>
      <c r="C788" s="16" t="s">
        <v>45</v>
      </c>
    </row>
    <row r="789" spans="1:4" x14ac:dyDescent="0.2">
      <c r="A789" s="11" t="s">
        <v>507</v>
      </c>
      <c r="B789" t="s">
        <v>508</v>
      </c>
      <c r="C789" t="s">
        <v>45</v>
      </c>
    </row>
    <row r="790" spans="1:4" x14ac:dyDescent="0.2">
      <c r="A790" s="7" t="s">
        <v>718</v>
      </c>
      <c r="B790" s="10" t="s">
        <v>639</v>
      </c>
      <c r="C790" t="s">
        <v>6</v>
      </c>
      <c r="D790" t="s">
        <v>643</v>
      </c>
    </row>
    <row r="791" spans="1:4" x14ac:dyDescent="0.2">
      <c r="A791" s="33" t="s">
        <v>1278</v>
      </c>
      <c r="B791" t="s">
        <v>956</v>
      </c>
      <c r="C791" t="s">
        <v>45</v>
      </c>
    </row>
    <row r="792" spans="1:4" x14ac:dyDescent="0.2">
      <c r="A792" s="8" t="s">
        <v>1067</v>
      </c>
      <c r="B792" s="16" t="s">
        <v>956</v>
      </c>
      <c r="C792" s="16" t="s">
        <v>45</v>
      </c>
    </row>
    <row r="793" spans="1:4" x14ac:dyDescent="0.2">
      <c r="A793" s="7" t="s">
        <v>1068</v>
      </c>
      <c r="B793" t="s">
        <v>956</v>
      </c>
      <c r="C793" t="s">
        <v>45</v>
      </c>
    </row>
    <row r="794" spans="1:4" x14ac:dyDescent="0.2">
      <c r="A794" s="7" t="s">
        <v>1207</v>
      </c>
      <c r="B794" t="s">
        <v>600</v>
      </c>
      <c r="C794" t="s">
        <v>6</v>
      </c>
    </row>
    <row r="795" spans="1:4" x14ac:dyDescent="0.2">
      <c r="A795" s="7" t="s">
        <v>247</v>
      </c>
      <c r="B795" t="s">
        <v>165</v>
      </c>
      <c r="C795" t="s">
        <v>45</v>
      </c>
      <c r="D795" t="s">
        <v>20</v>
      </c>
    </row>
    <row r="796" spans="1:4" x14ac:dyDescent="0.2">
      <c r="A796" s="33" t="s">
        <v>1295</v>
      </c>
      <c r="B796" t="s">
        <v>956</v>
      </c>
      <c r="C796" t="s">
        <v>45</v>
      </c>
    </row>
    <row r="797" spans="1:4" x14ac:dyDescent="0.2">
      <c r="A797" s="8" t="s">
        <v>248</v>
      </c>
      <c r="B797" t="s">
        <v>165</v>
      </c>
      <c r="C797" t="s">
        <v>45</v>
      </c>
    </row>
    <row r="798" spans="1:4" x14ac:dyDescent="0.2">
      <c r="A798" s="7" t="s">
        <v>249</v>
      </c>
      <c r="B798" t="s">
        <v>165</v>
      </c>
      <c r="C798" t="s">
        <v>45</v>
      </c>
      <c r="D798" t="s">
        <v>20</v>
      </c>
    </row>
    <row r="799" spans="1:4" x14ac:dyDescent="0.2">
      <c r="A799" s="8" t="s">
        <v>851</v>
      </c>
      <c r="B799" t="s">
        <v>848</v>
      </c>
      <c r="C799" t="s">
        <v>6</v>
      </c>
    </row>
    <row r="800" spans="1:4" x14ac:dyDescent="0.2">
      <c r="A800" s="8" t="s">
        <v>852</v>
      </c>
      <c r="B800" t="s">
        <v>848</v>
      </c>
      <c r="C800" t="s">
        <v>6</v>
      </c>
    </row>
    <row r="801" spans="1:4" x14ac:dyDescent="0.2">
      <c r="A801" s="8" t="s">
        <v>853</v>
      </c>
      <c r="B801" t="s">
        <v>848</v>
      </c>
      <c r="C801" t="s">
        <v>6</v>
      </c>
    </row>
    <row r="802" spans="1:4" x14ac:dyDescent="0.2">
      <c r="A802" s="7" t="s">
        <v>854</v>
      </c>
      <c r="B802" t="s">
        <v>848</v>
      </c>
      <c r="C802" t="s">
        <v>6</v>
      </c>
      <c r="D802" t="s">
        <v>829</v>
      </c>
    </row>
    <row r="803" spans="1:4" x14ac:dyDescent="0.2">
      <c r="A803" s="7" t="s">
        <v>719</v>
      </c>
      <c r="B803" t="s">
        <v>639</v>
      </c>
      <c r="C803" t="s">
        <v>45</v>
      </c>
    </row>
    <row r="804" spans="1:4" x14ac:dyDescent="0.2">
      <c r="A804" s="7" t="s">
        <v>915</v>
      </c>
      <c r="B804" t="s">
        <v>901</v>
      </c>
      <c r="C804" t="s">
        <v>45</v>
      </c>
      <c r="D804" t="s">
        <v>910</v>
      </c>
    </row>
    <row r="805" spans="1:4" x14ac:dyDescent="0.2">
      <c r="A805" s="33" t="s">
        <v>1293</v>
      </c>
      <c r="B805" t="s">
        <v>956</v>
      </c>
      <c r="C805" t="s">
        <v>45</v>
      </c>
    </row>
    <row r="806" spans="1:4" x14ac:dyDescent="0.2">
      <c r="A806" s="7" t="s">
        <v>543</v>
      </c>
      <c r="B806" t="s">
        <v>514</v>
      </c>
      <c r="C806" t="s">
        <v>6</v>
      </c>
      <c r="D806" t="s">
        <v>20</v>
      </c>
    </row>
    <row r="807" spans="1:4" x14ac:dyDescent="0.2">
      <c r="A807" s="33" t="s">
        <v>1279</v>
      </c>
      <c r="B807" t="s">
        <v>956</v>
      </c>
      <c r="C807" t="s">
        <v>45</v>
      </c>
    </row>
    <row r="808" spans="1:4" x14ac:dyDescent="0.2">
      <c r="A808" s="48" t="s">
        <v>1469</v>
      </c>
      <c r="B808" t="s">
        <v>956</v>
      </c>
      <c r="C808" t="s">
        <v>6</v>
      </c>
    </row>
    <row r="809" spans="1:4" x14ac:dyDescent="0.2">
      <c r="A809" s="7" t="s">
        <v>250</v>
      </c>
      <c r="B809" t="s">
        <v>165</v>
      </c>
      <c r="C809" t="s">
        <v>45</v>
      </c>
    </row>
    <row r="810" spans="1:4" x14ac:dyDescent="0.2">
      <c r="A810" s="33" t="s">
        <v>1789</v>
      </c>
      <c r="B810" t="s">
        <v>956</v>
      </c>
      <c r="C810" t="s">
        <v>45</v>
      </c>
    </row>
    <row r="811" spans="1:4" x14ac:dyDescent="0.2">
      <c r="A811" s="33" t="s">
        <v>1268</v>
      </c>
      <c r="B811" t="s">
        <v>956</v>
      </c>
      <c r="C811" t="s">
        <v>45</v>
      </c>
    </row>
    <row r="812" spans="1:4" x14ac:dyDescent="0.2">
      <c r="A812" s="7" t="s">
        <v>1069</v>
      </c>
      <c r="B812" s="16" t="s">
        <v>956</v>
      </c>
      <c r="C812" s="16" t="s">
        <v>45</v>
      </c>
    </row>
    <row r="813" spans="1:4" x14ac:dyDescent="0.2">
      <c r="A813" s="7" t="s">
        <v>720</v>
      </c>
      <c r="B813" t="s">
        <v>639</v>
      </c>
      <c r="C813" t="s">
        <v>6</v>
      </c>
    </row>
    <row r="814" spans="1:4" x14ac:dyDescent="0.2">
      <c r="A814" s="7" t="s">
        <v>1070</v>
      </c>
      <c r="B814" t="s">
        <v>956</v>
      </c>
      <c r="C814" t="s">
        <v>45</v>
      </c>
    </row>
    <row r="815" spans="1:4" x14ac:dyDescent="0.2">
      <c r="A815" s="48" t="s">
        <v>1333</v>
      </c>
      <c r="B815" t="s">
        <v>901</v>
      </c>
      <c r="C815" t="s">
        <v>6</v>
      </c>
    </row>
    <row r="816" spans="1:4" x14ac:dyDescent="0.2">
      <c r="A816" s="7" t="s">
        <v>74</v>
      </c>
      <c r="B816" t="s">
        <v>68</v>
      </c>
      <c r="C816" t="s">
        <v>45</v>
      </c>
    </row>
    <row r="817" spans="1:4" x14ac:dyDescent="0.2">
      <c r="A817" s="7" t="s">
        <v>75</v>
      </c>
      <c r="B817" t="s">
        <v>68</v>
      </c>
      <c r="C817" t="s">
        <v>45</v>
      </c>
      <c r="D817" t="s">
        <v>71</v>
      </c>
    </row>
    <row r="818" spans="1:4" x14ac:dyDescent="0.2">
      <c r="A818" s="8" t="s">
        <v>120</v>
      </c>
      <c r="B818" t="s">
        <v>98</v>
      </c>
      <c r="C818" t="s">
        <v>45</v>
      </c>
    </row>
    <row r="819" spans="1:4" x14ac:dyDescent="0.2">
      <c r="A819" s="7" t="s">
        <v>798</v>
      </c>
      <c r="B819" t="s">
        <v>796</v>
      </c>
      <c r="C819" t="s">
        <v>45</v>
      </c>
    </row>
    <row r="820" spans="1:4" x14ac:dyDescent="0.2">
      <c r="A820" s="7" t="s">
        <v>1071</v>
      </c>
      <c r="B820" t="s">
        <v>956</v>
      </c>
      <c r="C820" t="s">
        <v>45</v>
      </c>
    </row>
    <row r="821" spans="1:4" x14ac:dyDescent="0.2">
      <c r="A821" s="33" t="s">
        <v>1527</v>
      </c>
    </row>
    <row r="822" spans="1:4" x14ac:dyDescent="0.2">
      <c r="A822" s="33" t="s">
        <v>1275</v>
      </c>
      <c r="B822" t="s">
        <v>956</v>
      </c>
      <c r="C822" t="s">
        <v>45</v>
      </c>
    </row>
    <row r="823" spans="1:4" x14ac:dyDescent="0.2">
      <c r="A823" s="33" t="s">
        <v>1275</v>
      </c>
      <c r="B823" t="s">
        <v>956</v>
      </c>
      <c r="C823" t="s">
        <v>45</v>
      </c>
    </row>
    <row r="824" spans="1:4" x14ac:dyDescent="0.2">
      <c r="A824" s="7" t="s">
        <v>37</v>
      </c>
      <c r="B824" t="s">
        <v>5</v>
      </c>
      <c r="C824" t="s">
        <v>6</v>
      </c>
    </row>
    <row r="825" spans="1:4" x14ac:dyDescent="0.2">
      <c r="A825" s="7" t="s">
        <v>813</v>
      </c>
      <c r="B825" t="s">
        <v>810</v>
      </c>
      <c r="C825" t="s">
        <v>6</v>
      </c>
      <c r="D825" t="s">
        <v>20</v>
      </c>
    </row>
    <row r="826" spans="1:4" x14ac:dyDescent="0.2">
      <c r="A826" s="7" t="s">
        <v>1072</v>
      </c>
      <c r="B826" t="s">
        <v>956</v>
      </c>
      <c r="C826" t="s">
        <v>45</v>
      </c>
      <c r="D826" t="s">
        <v>958</v>
      </c>
    </row>
    <row r="827" spans="1:4" x14ac:dyDescent="0.2">
      <c r="A827" s="33" t="s">
        <v>1263</v>
      </c>
      <c r="B827" t="s">
        <v>165</v>
      </c>
      <c r="C827" t="s">
        <v>45</v>
      </c>
    </row>
    <row r="828" spans="1:4" x14ac:dyDescent="0.2">
      <c r="A828" s="33" t="s">
        <v>1263</v>
      </c>
      <c r="B828" s="7" t="s">
        <v>165</v>
      </c>
      <c r="C828" t="s">
        <v>45</v>
      </c>
    </row>
    <row r="829" spans="1:4" x14ac:dyDescent="0.2">
      <c r="A829" s="33" t="s">
        <v>1263</v>
      </c>
      <c r="B829" s="18" t="s">
        <v>165</v>
      </c>
      <c r="C829" t="s">
        <v>45</v>
      </c>
    </row>
    <row r="830" spans="1:4" x14ac:dyDescent="0.2">
      <c r="A830" s="7" t="s">
        <v>1073</v>
      </c>
      <c r="B830" s="18" t="s">
        <v>956</v>
      </c>
      <c r="C830" t="s">
        <v>45</v>
      </c>
      <c r="D830" t="s">
        <v>958</v>
      </c>
    </row>
    <row r="831" spans="1:4" x14ac:dyDescent="0.2">
      <c r="A831" s="33" t="s">
        <v>1344</v>
      </c>
      <c r="B831" s="18" t="s">
        <v>956</v>
      </c>
      <c r="C831" t="s">
        <v>6</v>
      </c>
    </row>
    <row r="832" spans="1:4" x14ac:dyDescent="0.2">
      <c r="A832" s="9" t="s">
        <v>721</v>
      </c>
      <c r="B832" s="10" t="s">
        <v>639</v>
      </c>
      <c r="C832" t="s">
        <v>6</v>
      </c>
      <c r="D832" t="s">
        <v>643</v>
      </c>
    </row>
    <row r="833" spans="1:4" x14ac:dyDescent="0.2">
      <c r="A833" s="14" t="s">
        <v>916</v>
      </c>
      <c r="B833" t="s">
        <v>901</v>
      </c>
      <c r="C833" t="s">
        <v>45</v>
      </c>
    </row>
    <row r="834" spans="1:4" x14ac:dyDescent="0.2">
      <c r="A834" s="7" t="s">
        <v>917</v>
      </c>
      <c r="B834" t="s">
        <v>901</v>
      </c>
      <c r="C834" t="s">
        <v>45</v>
      </c>
      <c r="D834" t="s">
        <v>910</v>
      </c>
    </row>
    <row r="835" spans="1:4" x14ac:dyDescent="0.2">
      <c r="A835" s="8" t="s">
        <v>1074</v>
      </c>
      <c r="B835" t="s">
        <v>956</v>
      </c>
      <c r="C835" t="s">
        <v>45</v>
      </c>
    </row>
    <row r="836" spans="1:4" x14ac:dyDescent="0.2">
      <c r="A836" s="7" t="s">
        <v>872</v>
      </c>
      <c r="B836" t="s">
        <v>858</v>
      </c>
      <c r="C836" t="s">
        <v>45</v>
      </c>
    </row>
    <row r="837" spans="1:4" x14ac:dyDescent="0.2">
      <c r="A837" s="33" t="s">
        <v>1449</v>
      </c>
      <c r="B837" t="s">
        <v>858</v>
      </c>
      <c r="C837" t="s">
        <v>6</v>
      </c>
    </row>
    <row r="838" spans="1:4" x14ac:dyDescent="0.2">
      <c r="A838" s="33" t="s">
        <v>1503</v>
      </c>
      <c r="B838" t="s">
        <v>858</v>
      </c>
      <c r="C838" t="s">
        <v>6</v>
      </c>
    </row>
    <row r="839" spans="1:4" x14ac:dyDescent="0.2">
      <c r="A839" s="33" t="s">
        <v>1408</v>
      </c>
      <c r="B839" t="s">
        <v>858</v>
      </c>
      <c r="C839" t="s">
        <v>6</v>
      </c>
    </row>
    <row r="840" spans="1:4" x14ac:dyDescent="0.2">
      <c r="A840" s="33" t="s">
        <v>1465</v>
      </c>
      <c r="B840" t="s">
        <v>858</v>
      </c>
      <c r="C840" t="s">
        <v>6</v>
      </c>
    </row>
    <row r="841" spans="1:4" x14ac:dyDescent="0.2">
      <c r="A841" s="33" t="s">
        <v>1372</v>
      </c>
      <c r="B841" t="s">
        <v>858</v>
      </c>
      <c r="C841" t="s">
        <v>6</v>
      </c>
    </row>
    <row r="842" spans="1:4" x14ac:dyDescent="0.2">
      <c r="A842" s="8" t="s">
        <v>873</v>
      </c>
      <c r="B842" t="s">
        <v>858</v>
      </c>
      <c r="C842" t="s">
        <v>45</v>
      </c>
    </row>
    <row r="843" spans="1:4" x14ac:dyDescent="0.2">
      <c r="A843" s="7" t="s">
        <v>874</v>
      </c>
      <c r="B843" t="s">
        <v>858</v>
      </c>
      <c r="C843" t="s">
        <v>45</v>
      </c>
    </row>
    <row r="844" spans="1:4" x14ac:dyDescent="0.2">
      <c r="A844" s="33" t="s">
        <v>1343</v>
      </c>
      <c r="B844" t="s">
        <v>858</v>
      </c>
      <c r="C844" t="s">
        <v>6</v>
      </c>
    </row>
    <row r="845" spans="1:4" x14ac:dyDescent="0.2">
      <c r="A845" s="8" t="s">
        <v>875</v>
      </c>
      <c r="B845" t="s">
        <v>858</v>
      </c>
      <c r="C845" t="s">
        <v>45</v>
      </c>
    </row>
    <row r="846" spans="1:4" x14ac:dyDescent="0.2">
      <c r="A846" s="8" t="s">
        <v>876</v>
      </c>
      <c r="B846" t="s">
        <v>858</v>
      </c>
      <c r="C846" t="s">
        <v>45</v>
      </c>
    </row>
    <row r="847" spans="1:4" x14ac:dyDescent="0.2">
      <c r="A847" s="33" t="s">
        <v>1318</v>
      </c>
      <c r="B847" t="s">
        <v>858</v>
      </c>
      <c r="C847" t="s">
        <v>6</v>
      </c>
    </row>
    <row r="848" spans="1:4" x14ac:dyDescent="0.2">
      <c r="A848" s="33" t="s">
        <v>1319</v>
      </c>
      <c r="B848" t="s">
        <v>956</v>
      </c>
      <c r="C848" t="s">
        <v>45</v>
      </c>
    </row>
    <row r="849" spans="1:4" x14ac:dyDescent="0.2">
      <c r="A849" s="7" t="s">
        <v>608</v>
      </c>
      <c r="B849" t="s">
        <v>600</v>
      </c>
      <c r="C849" t="s">
        <v>6</v>
      </c>
      <c r="D849" t="s">
        <v>609</v>
      </c>
    </row>
    <row r="850" spans="1:4" x14ac:dyDescent="0.2">
      <c r="A850" s="7" t="s">
        <v>121</v>
      </c>
      <c r="B850" t="s">
        <v>98</v>
      </c>
      <c r="C850" t="s">
        <v>45</v>
      </c>
    </row>
    <row r="851" spans="1:4" x14ac:dyDescent="0.2">
      <c r="A851" s="7" t="s">
        <v>251</v>
      </c>
      <c r="B851" t="s">
        <v>165</v>
      </c>
      <c r="C851" t="s">
        <v>45</v>
      </c>
    </row>
    <row r="852" spans="1:4" x14ac:dyDescent="0.2">
      <c r="A852" s="7" t="s">
        <v>544</v>
      </c>
      <c r="B852" t="s">
        <v>514</v>
      </c>
      <c r="C852" t="s">
        <v>6</v>
      </c>
      <c r="D852" t="s">
        <v>20</v>
      </c>
    </row>
    <row r="853" spans="1:4" x14ac:dyDescent="0.2">
      <c r="A853" s="33" t="s">
        <v>1392</v>
      </c>
      <c r="B853" t="s">
        <v>956</v>
      </c>
      <c r="C853" t="s">
        <v>6</v>
      </c>
    </row>
    <row r="854" spans="1:4" x14ac:dyDescent="0.2">
      <c r="A854" s="33" t="s">
        <v>1288</v>
      </c>
    </row>
    <row r="855" spans="1:4" x14ac:dyDescent="0.2">
      <c r="A855" s="7" t="s">
        <v>1075</v>
      </c>
      <c r="B855" t="s">
        <v>956</v>
      </c>
      <c r="C855" t="s">
        <v>45</v>
      </c>
    </row>
    <row r="856" spans="1:4" x14ac:dyDescent="0.2">
      <c r="A856" s="8" t="s">
        <v>722</v>
      </c>
      <c r="B856" t="s">
        <v>639</v>
      </c>
      <c r="C856" t="s">
        <v>6</v>
      </c>
    </row>
    <row r="857" spans="1:4" x14ac:dyDescent="0.2">
      <c r="A857" s="33" t="s">
        <v>1334</v>
      </c>
      <c r="B857" t="s">
        <v>5</v>
      </c>
      <c r="C857" t="s">
        <v>6</v>
      </c>
    </row>
    <row r="858" spans="1:4" x14ac:dyDescent="0.2">
      <c r="A858" s="33" t="s">
        <v>1679</v>
      </c>
      <c r="B858" t="s">
        <v>98</v>
      </c>
      <c r="C858" t="s">
        <v>6</v>
      </c>
    </row>
    <row r="859" spans="1:4" x14ac:dyDescent="0.2">
      <c r="A859" s="33" t="s">
        <v>1373</v>
      </c>
      <c r="B859" t="s">
        <v>469</v>
      </c>
      <c r="C859" t="s">
        <v>45</v>
      </c>
    </row>
    <row r="860" spans="1:4" x14ac:dyDescent="0.2">
      <c r="A860" s="33" t="s">
        <v>1373</v>
      </c>
      <c r="B860" t="s">
        <v>469</v>
      </c>
      <c r="C860" t="s">
        <v>45</v>
      </c>
    </row>
    <row r="861" spans="1:4" x14ac:dyDescent="0.2">
      <c r="A861" s="7" t="s">
        <v>877</v>
      </c>
      <c r="B861" t="s">
        <v>858</v>
      </c>
      <c r="C861" t="s">
        <v>45</v>
      </c>
    </row>
    <row r="862" spans="1:4" x14ac:dyDescent="0.2">
      <c r="A862" s="7" t="s">
        <v>1076</v>
      </c>
      <c r="B862" t="s">
        <v>956</v>
      </c>
      <c r="C862" t="s">
        <v>45</v>
      </c>
    </row>
    <row r="863" spans="1:4" x14ac:dyDescent="0.2">
      <c r="A863" s="7" t="s">
        <v>1077</v>
      </c>
      <c r="B863" t="s">
        <v>956</v>
      </c>
      <c r="C863" t="s">
        <v>45</v>
      </c>
    </row>
    <row r="864" spans="1:4" x14ac:dyDescent="0.2">
      <c r="A864" s="7" t="s">
        <v>1078</v>
      </c>
      <c r="B864" t="s">
        <v>956</v>
      </c>
      <c r="C864" t="s">
        <v>45</v>
      </c>
      <c r="D864" t="s">
        <v>958</v>
      </c>
    </row>
    <row r="865" spans="1:4" x14ac:dyDescent="0.2">
      <c r="A865" s="7" t="s">
        <v>723</v>
      </c>
      <c r="B865" t="s">
        <v>639</v>
      </c>
      <c r="C865" t="s">
        <v>6</v>
      </c>
      <c r="D865" t="s">
        <v>724</v>
      </c>
    </row>
    <row r="866" spans="1:4" x14ac:dyDescent="0.2">
      <c r="A866" s="33" t="s">
        <v>1812</v>
      </c>
      <c r="B866" t="s">
        <v>858</v>
      </c>
      <c r="C866" t="s">
        <v>6</v>
      </c>
    </row>
    <row r="867" spans="1:4" x14ac:dyDescent="0.2">
      <c r="A867" s="7" t="s">
        <v>951</v>
      </c>
      <c r="B867" t="s">
        <v>952</v>
      </c>
      <c r="C867" t="s">
        <v>6</v>
      </c>
      <c r="D867" t="s">
        <v>953</v>
      </c>
    </row>
    <row r="868" spans="1:4" x14ac:dyDescent="0.2">
      <c r="A868" s="7" t="s">
        <v>1079</v>
      </c>
      <c r="B868" t="s">
        <v>956</v>
      </c>
      <c r="C868" t="s">
        <v>45</v>
      </c>
    </row>
    <row r="869" spans="1:4" x14ac:dyDescent="0.2">
      <c r="A869" s="7" t="s">
        <v>1080</v>
      </c>
      <c r="B869" t="s">
        <v>956</v>
      </c>
      <c r="C869" t="s">
        <v>45</v>
      </c>
      <c r="D869" t="s">
        <v>1081</v>
      </c>
    </row>
    <row r="870" spans="1:4" x14ac:dyDescent="0.2">
      <c r="A870" s="15" t="s">
        <v>1082</v>
      </c>
      <c r="B870" t="s">
        <v>956</v>
      </c>
      <c r="C870" t="s">
        <v>45</v>
      </c>
      <c r="D870" t="s">
        <v>1081</v>
      </c>
    </row>
    <row r="871" spans="1:4" x14ac:dyDescent="0.2">
      <c r="A871" t="s">
        <v>252</v>
      </c>
      <c r="B871" t="s">
        <v>165</v>
      </c>
      <c r="C871" t="s">
        <v>45</v>
      </c>
    </row>
    <row r="872" spans="1:4" x14ac:dyDescent="0.2">
      <c r="A872" s="15" t="s">
        <v>725</v>
      </c>
      <c r="B872" t="s">
        <v>639</v>
      </c>
      <c r="C872" t="s">
        <v>6</v>
      </c>
    </row>
    <row r="873" spans="1:4" x14ac:dyDescent="0.2">
      <c r="A873" s="17" t="s">
        <v>253</v>
      </c>
      <c r="B873" t="s">
        <v>165</v>
      </c>
      <c r="C873" t="s">
        <v>45</v>
      </c>
    </row>
    <row r="874" spans="1:4" x14ac:dyDescent="0.2">
      <c r="A874" s="15" t="s">
        <v>254</v>
      </c>
      <c r="B874" t="s">
        <v>165</v>
      </c>
      <c r="C874" t="s">
        <v>45</v>
      </c>
      <c r="D874" t="s">
        <v>20</v>
      </c>
    </row>
    <row r="875" spans="1:4" x14ac:dyDescent="0.2">
      <c r="A875" s="15" t="s">
        <v>545</v>
      </c>
      <c r="B875" t="s">
        <v>514</v>
      </c>
      <c r="C875" t="s">
        <v>45</v>
      </c>
    </row>
    <row r="876" spans="1:4" x14ac:dyDescent="0.2">
      <c r="A876" s="15" t="s">
        <v>1083</v>
      </c>
      <c r="B876" s="16" t="s">
        <v>956</v>
      </c>
      <c r="C876" s="16" t="s">
        <v>45</v>
      </c>
    </row>
    <row r="877" spans="1:4" x14ac:dyDescent="0.2">
      <c r="A877" t="s">
        <v>255</v>
      </c>
      <c r="B877" t="s">
        <v>165</v>
      </c>
      <c r="C877" t="s">
        <v>45</v>
      </c>
      <c r="D877" t="s">
        <v>20</v>
      </c>
    </row>
    <row r="878" spans="1:4" x14ac:dyDescent="0.2">
      <c r="A878" s="21" t="s">
        <v>726</v>
      </c>
      <c r="B878" t="s">
        <v>639</v>
      </c>
      <c r="C878" t="s">
        <v>6</v>
      </c>
    </row>
    <row r="879" spans="1:4" x14ac:dyDescent="0.2">
      <c r="A879" s="20" t="s">
        <v>727</v>
      </c>
      <c r="B879" t="s">
        <v>639</v>
      </c>
      <c r="C879" t="s">
        <v>6</v>
      </c>
      <c r="D879" t="s">
        <v>20</v>
      </c>
    </row>
    <row r="880" spans="1:4" x14ac:dyDescent="0.2">
      <c r="A880" s="15" t="s">
        <v>728</v>
      </c>
      <c r="B880" t="s">
        <v>639</v>
      </c>
      <c r="C880" t="s">
        <v>6</v>
      </c>
    </row>
    <row r="881" spans="1:4" x14ac:dyDescent="0.2">
      <c r="A881" s="15" t="s">
        <v>729</v>
      </c>
      <c r="B881" t="s">
        <v>639</v>
      </c>
      <c r="C881" t="s">
        <v>6</v>
      </c>
      <c r="D881" t="s">
        <v>20</v>
      </c>
    </row>
    <row r="882" spans="1:4" x14ac:dyDescent="0.2">
      <c r="A882" s="17" t="s">
        <v>1084</v>
      </c>
      <c r="B882" t="s">
        <v>956</v>
      </c>
      <c r="C882" t="s">
        <v>45</v>
      </c>
    </row>
    <row r="883" spans="1:4" x14ac:dyDescent="0.2">
      <c r="A883" s="15" t="s">
        <v>256</v>
      </c>
      <c r="B883" t="s">
        <v>165</v>
      </c>
      <c r="C883" t="s">
        <v>45</v>
      </c>
    </row>
    <row r="884" spans="1:4" x14ac:dyDescent="0.2">
      <c r="A884" s="54" t="s">
        <v>1655</v>
      </c>
      <c r="B884" t="s">
        <v>165</v>
      </c>
      <c r="C884" t="s">
        <v>45</v>
      </c>
    </row>
    <row r="885" spans="1:4" x14ac:dyDescent="0.2">
      <c r="A885" s="54" t="s">
        <v>1772</v>
      </c>
      <c r="B885" t="s">
        <v>956</v>
      </c>
      <c r="C885" t="s">
        <v>45</v>
      </c>
    </row>
    <row r="886" spans="1:4" x14ac:dyDescent="0.2">
      <c r="A886" t="s">
        <v>1085</v>
      </c>
      <c r="B886" t="s">
        <v>956</v>
      </c>
      <c r="C886" t="s">
        <v>45</v>
      </c>
      <c r="D886" t="s">
        <v>958</v>
      </c>
    </row>
    <row r="887" spans="1:4" x14ac:dyDescent="0.2">
      <c r="A887" s="15" t="s">
        <v>1210</v>
      </c>
      <c r="B887" t="s">
        <v>901</v>
      </c>
      <c r="C887" t="s">
        <v>45</v>
      </c>
    </row>
    <row r="888" spans="1:4" x14ac:dyDescent="0.2">
      <c r="A888" s="15" t="s">
        <v>257</v>
      </c>
      <c r="B888" t="s">
        <v>165</v>
      </c>
      <c r="C888" t="s">
        <v>45</v>
      </c>
      <c r="D888" t="s">
        <v>20</v>
      </c>
    </row>
    <row r="889" spans="1:4" x14ac:dyDescent="0.2">
      <c r="A889" s="17" t="s">
        <v>258</v>
      </c>
      <c r="B889" t="s">
        <v>165</v>
      </c>
      <c r="C889" t="s">
        <v>45</v>
      </c>
    </row>
    <row r="890" spans="1:4" x14ac:dyDescent="0.2">
      <c r="A890" s="17" t="s">
        <v>259</v>
      </c>
      <c r="B890" t="s">
        <v>165</v>
      </c>
      <c r="C890" t="s">
        <v>45</v>
      </c>
    </row>
    <row r="891" spans="1:4" x14ac:dyDescent="0.2">
      <c r="A891" s="15" t="s">
        <v>78</v>
      </c>
      <c r="B891" t="s">
        <v>79</v>
      </c>
      <c r="C891" t="s">
        <v>6</v>
      </c>
    </row>
    <row r="892" spans="1:4" x14ac:dyDescent="0.2">
      <c r="A892" s="54" t="s">
        <v>1657</v>
      </c>
      <c r="B892" t="s">
        <v>5</v>
      </c>
      <c r="C892" t="s">
        <v>45</v>
      </c>
    </row>
    <row r="893" spans="1:4" x14ac:dyDescent="0.2">
      <c r="A893" s="54" t="s">
        <v>1657</v>
      </c>
      <c r="B893" t="s">
        <v>5</v>
      </c>
      <c r="C893" t="s">
        <v>45</v>
      </c>
    </row>
    <row r="894" spans="1:4" x14ac:dyDescent="0.2">
      <c r="A894" s="17" t="s">
        <v>610</v>
      </c>
      <c r="B894" t="s">
        <v>600</v>
      </c>
      <c r="C894" t="s">
        <v>6</v>
      </c>
    </row>
    <row r="895" spans="1:4" x14ac:dyDescent="0.2">
      <c r="A895" t="s">
        <v>611</v>
      </c>
      <c r="B895" t="s">
        <v>600</v>
      </c>
      <c r="C895" t="s">
        <v>6</v>
      </c>
      <c r="D895" t="s">
        <v>20</v>
      </c>
    </row>
    <row r="896" spans="1:4" x14ac:dyDescent="0.2">
      <c r="A896" s="17" t="s">
        <v>612</v>
      </c>
      <c r="B896" t="s">
        <v>600</v>
      </c>
      <c r="C896" t="s">
        <v>6</v>
      </c>
    </row>
    <row r="897" spans="1:4" x14ac:dyDescent="0.2">
      <c r="A897" s="15" t="s">
        <v>260</v>
      </c>
      <c r="B897" t="s">
        <v>165</v>
      </c>
      <c r="C897" t="s">
        <v>45</v>
      </c>
    </row>
    <row r="898" spans="1:4" x14ac:dyDescent="0.2">
      <c r="A898" s="55" t="s">
        <v>796</v>
      </c>
      <c r="B898" t="s">
        <v>796</v>
      </c>
      <c r="C898" t="s">
        <v>45</v>
      </c>
    </row>
    <row r="899" spans="1:4" x14ac:dyDescent="0.2">
      <c r="A899" t="s">
        <v>261</v>
      </c>
      <c r="B899" t="s">
        <v>165</v>
      </c>
      <c r="C899" t="s">
        <v>45</v>
      </c>
      <c r="D899" t="s">
        <v>20</v>
      </c>
    </row>
    <row r="900" spans="1:4" x14ac:dyDescent="0.2">
      <c r="A900" s="21" t="s">
        <v>262</v>
      </c>
      <c r="B900" t="s">
        <v>165</v>
      </c>
      <c r="C900" t="s">
        <v>45</v>
      </c>
    </row>
    <row r="901" spans="1:4" x14ac:dyDescent="0.2">
      <c r="A901" t="s">
        <v>1086</v>
      </c>
      <c r="B901" t="s">
        <v>956</v>
      </c>
      <c r="C901" t="s">
        <v>45</v>
      </c>
    </row>
    <row r="902" spans="1:4" x14ac:dyDescent="0.2">
      <c r="A902" s="3" t="s">
        <v>263</v>
      </c>
      <c r="B902" t="s">
        <v>165</v>
      </c>
      <c r="C902" t="s">
        <v>45</v>
      </c>
    </row>
    <row r="903" spans="1:4" x14ac:dyDescent="0.2">
      <c r="A903" t="s">
        <v>814</v>
      </c>
      <c r="B903" t="s">
        <v>810</v>
      </c>
      <c r="C903" t="s">
        <v>6</v>
      </c>
      <c r="D903" t="s">
        <v>20</v>
      </c>
    </row>
    <row r="904" spans="1:4" x14ac:dyDescent="0.2">
      <c r="A904" s="3" t="s">
        <v>264</v>
      </c>
      <c r="B904" t="s">
        <v>165</v>
      </c>
      <c r="C904" t="s">
        <v>45</v>
      </c>
    </row>
    <row r="905" spans="1:4" x14ac:dyDescent="0.2">
      <c r="A905" t="s">
        <v>546</v>
      </c>
      <c r="B905" t="s">
        <v>514</v>
      </c>
      <c r="C905" t="s">
        <v>6</v>
      </c>
    </row>
    <row r="906" spans="1:4" x14ac:dyDescent="0.2">
      <c r="A906" t="s">
        <v>547</v>
      </c>
      <c r="B906" t="s">
        <v>514</v>
      </c>
      <c r="C906" t="s">
        <v>6</v>
      </c>
      <c r="D906" t="s">
        <v>20</v>
      </c>
    </row>
    <row r="907" spans="1:4" x14ac:dyDescent="0.2">
      <c r="A907" s="28" t="s">
        <v>1340</v>
      </c>
      <c r="B907" t="s">
        <v>514</v>
      </c>
      <c r="C907" t="s">
        <v>6</v>
      </c>
    </row>
    <row r="908" spans="1:4" x14ac:dyDescent="0.2">
      <c r="A908" s="28" t="s">
        <v>1340</v>
      </c>
      <c r="B908" t="s">
        <v>514</v>
      </c>
      <c r="C908" t="s">
        <v>6</v>
      </c>
    </row>
    <row r="909" spans="1:4" x14ac:dyDescent="0.2">
      <c r="A909" s="28" t="s">
        <v>1340</v>
      </c>
      <c r="B909" t="s">
        <v>514</v>
      </c>
      <c r="C909" t="s">
        <v>6</v>
      </c>
    </row>
    <row r="910" spans="1:4" x14ac:dyDescent="0.2">
      <c r="A910" t="s">
        <v>548</v>
      </c>
      <c r="B910" t="s">
        <v>514</v>
      </c>
      <c r="C910" t="s">
        <v>6</v>
      </c>
      <c r="D910" t="s">
        <v>20</v>
      </c>
    </row>
    <row r="911" spans="1:4" x14ac:dyDescent="0.2">
      <c r="A911" t="s">
        <v>549</v>
      </c>
      <c r="B911" t="s">
        <v>514</v>
      </c>
      <c r="C911" t="s">
        <v>6</v>
      </c>
      <c r="D911" t="s">
        <v>20</v>
      </c>
    </row>
    <row r="912" spans="1:4" x14ac:dyDescent="0.2">
      <c r="A912" t="s">
        <v>550</v>
      </c>
      <c r="B912" t="s">
        <v>514</v>
      </c>
      <c r="C912" t="s">
        <v>6</v>
      </c>
    </row>
    <row r="913" spans="1:4" x14ac:dyDescent="0.2">
      <c r="A913" s="28" t="s">
        <v>1501</v>
      </c>
      <c r="B913" t="s">
        <v>901</v>
      </c>
      <c r="C913" t="s">
        <v>45</v>
      </c>
    </row>
    <row r="914" spans="1:4" x14ac:dyDescent="0.2">
      <c r="A914" s="28" t="s">
        <v>1501</v>
      </c>
      <c r="B914" t="s">
        <v>901</v>
      </c>
      <c r="C914" t="s">
        <v>45</v>
      </c>
    </row>
    <row r="915" spans="1:4" x14ac:dyDescent="0.2">
      <c r="A915" s="3" t="s">
        <v>918</v>
      </c>
      <c r="B915" t="s">
        <v>901</v>
      </c>
      <c r="C915" t="s">
        <v>45</v>
      </c>
    </row>
    <row r="916" spans="1:4" x14ac:dyDescent="0.2">
      <c r="A916" t="s">
        <v>265</v>
      </c>
      <c r="B916" t="s">
        <v>165</v>
      </c>
      <c r="C916" t="s">
        <v>45</v>
      </c>
      <c r="D916" t="s">
        <v>20</v>
      </c>
    </row>
    <row r="917" spans="1:4" x14ac:dyDescent="0.2">
      <c r="A917" s="3" t="s">
        <v>266</v>
      </c>
      <c r="B917" t="s">
        <v>165</v>
      </c>
      <c r="C917" t="s">
        <v>45</v>
      </c>
    </row>
    <row r="918" spans="1:4" x14ac:dyDescent="0.2">
      <c r="A918" s="28" t="s">
        <v>1283</v>
      </c>
      <c r="B918" t="s">
        <v>77</v>
      </c>
      <c r="C918" t="s">
        <v>6</v>
      </c>
    </row>
    <row r="919" spans="1:4" x14ac:dyDescent="0.2">
      <c r="A919" s="28" t="s">
        <v>1283</v>
      </c>
      <c r="B919" t="s">
        <v>77</v>
      </c>
      <c r="C919" t="s">
        <v>6</v>
      </c>
    </row>
    <row r="920" spans="1:4" x14ac:dyDescent="0.2">
      <c r="A920" t="s">
        <v>267</v>
      </c>
      <c r="B920" t="s">
        <v>165</v>
      </c>
      <c r="C920" t="s">
        <v>45</v>
      </c>
      <c r="D920" t="s">
        <v>20</v>
      </c>
    </row>
    <row r="921" spans="1:4" x14ac:dyDescent="0.2">
      <c r="A921" t="s">
        <v>2509</v>
      </c>
    </row>
    <row r="922" spans="1:4" x14ac:dyDescent="0.2">
      <c r="A922" s="28" t="s">
        <v>1454</v>
      </c>
      <c r="B922" t="s">
        <v>956</v>
      </c>
      <c r="C922" t="s">
        <v>45</v>
      </c>
    </row>
    <row r="923" spans="1:4" x14ac:dyDescent="0.2">
      <c r="A923" t="s">
        <v>268</v>
      </c>
      <c r="B923" t="s">
        <v>165</v>
      </c>
      <c r="C923" t="s">
        <v>45</v>
      </c>
    </row>
    <row r="924" spans="1:4" x14ac:dyDescent="0.2">
      <c r="A924" s="3" t="s">
        <v>840</v>
      </c>
      <c r="B924" t="s">
        <v>835</v>
      </c>
      <c r="C924" t="s">
        <v>45</v>
      </c>
    </row>
    <row r="925" spans="1:4" x14ac:dyDescent="0.2">
      <c r="A925" s="28" t="s">
        <v>1321</v>
      </c>
      <c r="B925" t="s">
        <v>835</v>
      </c>
      <c r="C925" t="s">
        <v>45</v>
      </c>
    </row>
    <row r="926" spans="1:4" x14ac:dyDescent="0.2">
      <c r="A926" s="3" t="s">
        <v>1173</v>
      </c>
      <c r="B926" t="s">
        <v>1170</v>
      </c>
      <c r="C926" t="s">
        <v>45</v>
      </c>
    </row>
    <row r="927" spans="1:4" x14ac:dyDescent="0.2">
      <c r="A927" s="28" t="s">
        <v>1678</v>
      </c>
      <c r="B927" t="s">
        <v>956</v>
      </c>
      <c r="C927" t="s">
        <v>45</v>
      </c>
    </row>
    <row r="928" spans="1:4" x14ac:dyDescent="0.2">
      <c r="A928" t="s">
        <v>122</v>
      </c>
      <c r="B928" t="s">
        <v>98</v>
      </c>
      <c r="C928" t="s">
        <v>45</v>
      </c>
      <c r="D928" t="s">
        <v>102</v>
      </c>
    </row>
    <row r="929" spans="1:4" x14ac:dyDescent="0.2">
      <c r="A929" t="s">
        <v>841</v>
      </c>
      <c r="B929" t="s">
        <v>835</v>
      </c>
      <c r="C929" t="s">
        <v>45</v>
      </c>
    </row>
    <row r="930" spans="1:4" x14ac:dyDescent="0.2">
      <c r="A930" t="s">
        <v>842</v>
      </c>
      <c r="B930" t="s">
        <v>835</v>
      </c>
      <c r="C930" t="s">
        <v>45</v>
      </c>
      <c r="D930" t="s">
        <v>20</v>
      </c>
    </row>
    <row r="931" spans="1:4" x14ac:dyDescent="0.2">
      <c r="A931" t="s">
        <v>843</v>
      </c>
      <c r="B931" t="s">
        <v>835</v>
      </c>
      <c r="C931" t="s">
        <v>45</v>
      </c>
      <c r="D931" t="s">
        <v>20</v>
      </c>
    </row>
    <row r="932" spans="1:4" x14ac:dyDescent="0.2">
      <c r="A932" t="s">
        <v>1087</v>
      </c>
      <c r="B932" t="s">
        <v>956</v>
      </c>
      <c r="C932" t="s">
        <v>45</v>
      </c>
      <c r="D932" t="s">
        <v>1081</v>
      </c>
    </row>
    <row r="933" spans="1:4" x14ac:dyDescent="0.2">
      <c r="A933" t="s">
        <v>269</v>
      </c>
      <c r="B933" t="s">
        <v>165</v>
      </c>
      <c r="C933" t="s">
        <v>45</v>
      </c>
    </row>
    <row r="934" spans="1:4" x14ac:dyDescent="0.2">
      <c r="A934" t="s">
        <v>269</v>
      </c>
      <c r="B934" t="s">
        <v>165</v>
      </c>
      <c r="C934" t="s">
        <v>45</v>
      </c>
    </row>
    <row r="935" spans="1:4" x14ac:dyDescent="0.2">
      <c r="A935" s="5" t="s">
        <v>270</v>
      </c>
      <c r="B935" t="s">
        <v>165</v>
      </c>
      <c r="C935" t="s">
        <v>45</v>
      </c>
    </row>
    <row r="936" spans="1:4" x14ac:dyDescent="0.2">
      <c r="A936" s="5" t="s">
        <v>271</v>
      </c>
      <c r="B936" t="s">
        <v>165</v>
      </c>
      <c r="C936" t="s">
        <v>45</v>
      </c>
    </row>
    <row r="937" spans="1:4" x14ac:dyDescent="0.2">
      <c r="A937" s="6" t="s">
        <v>272</v>
      </c>
      <c r="B937" t="s">
        <v>165</v>
      </c>
      <c r="C937" t="s">
        <v>45</v>
      </c>
    </row>
    <row r="938" spans="1:4" x14ac:dyDescent="0.2">
      <c r="A938" s="6" t="s">
        <v>273</v>
      </c>
      <c r="B938" t="s">
        <v>165</v>
      </c>
      <c r="C938" t="s">
        <v>45</v>
      </c>
    </row>
    <row r="939" spans="1:4" x14ac:dyDescent="0.2">
      <c r="A939" s="5" t="s">
        <v>274</v>
      </c>
      <c r="B939" t="s">
        <v>165</v>
      </c>
      <c r="C939" t="s">
        <v>45</v>
      </c>
    </row>
    <row r="940" spans="1:4" x14ac:dyDescent="0.2">
      <c r="A940" s="38" t="s">
        <v>275</v>
      </c>
      <c r="B940" t="s">
        <v>165</v>
      </c>
      <c r="C940" t="s">
        <v>45</v>
      </c>
    </row>
    <row r="941" spans="1:4" x14ac:dyDescent="0.2">
      <c r="A941" s="6" t="s">
        <v>276</v>
      </c>
      <c r="B941" t="s">
        <v>165</v>
      </c>
      <c r="C941" t="s">
        <v>45</v>
      </c>
    </row>
    <row r="942" spans="1:4" x14ac:dyDescent="0.2">
      <c r="A942" s="5" t="s">
        <v>277</v>
      </c>
      <c r="B942" t="s">
        <v>165</v>
      </c>
      <c r="C942" t="s">
        <v>45</v>
      </c>
    </row>
    <row r="943" spans="1:4" x14ac:dyDescent="0.2">
      <c r="A943" s="58" t="s">
        <v>278</v>
      </c>
      <c r="B943" t="s">
        <v>165</v>
      </c>
      <c r="C943" t="s">
        <v>45</v>
      </c>
    </row>
    <row r="944" spans="1:4" x14ac:dyDescent="0.2">
      <c r="A944" s="6" t="s">
        <v>279</v>
      </c>
      <c r="B944" t="s">
        <v>165</v>
      </c>
      <c r="C944" t="s">
        <v>45</v>
      </c>
    </row>
    <row r="945" spans="1:3" x14ac:dyDescent="0.2">
      <c r="A945" s="5" t="s">
        <v>280</v>
      </c>
      <c r="B945" t="s">
        <v>165</v>
      </c>
      <c r="C945" t="s">
        <v>45</v>
      </c>
    </row>
    <row r="946" spans="1:3" x14ac:dyDescent="0.2">
      <c r="A946" s="6" t="s">
        <v>281</v>
      </c>
      <c r="B946" t="s">
        <v>165</v>
      </c>
      <c r="C946" t="s">
        <v>45</v>
      </c>
    </row>
    <row r="947" spans="1:3" x14ac:dyDescent="0.2">
      <c r="A947" s="5" t="s">
        <v>282</v>
      </c>
      <c r="B947" t="s">
        <v>165</v>
      </c>
      <c r="C947" t="s">
        <v>45</v>
      </c>
    </row>
    <row r="948" spans="1:3" x14ac:dyDescent="0.2">
      <c r="A948" s="6" t="s">
        <v>283</v>
      </c>
      <c r="B948" t="s">
        <v>165</v>
      </c>
      <c r="C948" t="s">
        <v>45</v>
      </c>
    </row>
    <row r="949" spans="1:3" x14ac:dyDescent="0.2">
      <c r="A949" s="11" t="s">
        <v>284</v>
      </c>
      <c r="B949" t="s">
        <v>165</v>
      </c>
      <c r="C949" t="s">
        <v>45</v>
      </c>
    </row>
    <row r="950" spans="1:3" x14ac:dyDescent="0.2">
      <c r="A950" s="11" t="s">
        <v>285</v>
      </c>
      <c r="B950" t="s">
        <v>165</v>
      </c>
      <c r="C950" t="s">
        <v>45</v>
      </c>
    </row>
    <row r="951" spans="1:3" x14ac:dyDescent="0.2">
      <c r="A951" s="12" t="s">
        <v>286</v>
      </c>
      <c r="B951" t="s">
        <v>165</v>
      </c>
      <c r="C951" t="s">
        <v>45</v>
      </c>
    </row>
    <row r="952" spans="1:3" x14ac:dyDescent="0.2">
      <c r="A952" s="11" t="s">
        <v>287</v>
      </c>
      <c r="B952" t="s">
        <v>165</v>
      </c>
      <c r="C952" t="s">
        <v>45</v>
      </c>
    </row>
    <row r="953" spans="1:3" x14ac:dyDescent="0.2">
      <c r="A953" s="11" t="s">
        <v>288</v>
      </c>
      <c r="B953" t="s">
        <v>165</v>
      </c>
      <c r="C953" t="s">
        <v>45</v>
      </c>
    </row>
    <row r="954" spans="1:3" x14ac:dyDescent="0.2">
      <c r="A954" s="12" t="s">
        <v>289</v>
      </c>
      <c r="B954" t="s">
        <v>165</v>
      </c>
      <c r="C954" t="s">
        <v>45</v>
      </c>
    </row>
    <row r="955" spans="1:3" x14ac:dyDescent="0.2">
      <c r="A955" s="11" t="s">
        <v>290</v>
      </c>
      <c r="B955" t="s">
        <v>165</v>
      </c>
      <c r="C955" t="s">
        <v>45</v>
      </c>
    </row>
    <row r="956" spans="1:3" x14ac:dyDescent="0.2">
      <c r="A956" s="11" t="s">
        <v>291</v>
      </c>
      <c r="B956" t="s">
        <v>165</v>
      </c>
      <c r="C956" t="s">
        <v>45</v>
      </c>
    </row>
    <row r="957" spans="1:3" x14ac:dyDescent="0.2">
      <c r="A957" s="12" t="s">
        <v>292</v>
      </c>
      <c r="B957" t="s">
        <v>165</v>
      </c>
      <c r="C957" t="s">
        <v>45</v>
      </c>
    </row>
    <row r="958" spans="1:3" x14ac:dyDescent="0.2">
      <c r="A958" s="11" t="s">
        <v>293</v>
      </c>
      <c r="B958" t="s">
        <v>165</v>
      </c>
      <c r="C958" t="s">
        <v>45</v>
      </c>
    </row>
    <row r="959" spans="1:3" x14ac:dyDescent="0.2">
      <c r="A959" s="12" t="s">
        <v>294</v>
      </c>
      <c r="B959" t="s">
        <v>165</v>
      </c>
      <c r="C959" t="s">
        <v>45</v>
      </c>
    </row>
    <row r="960" spans="1:3" x14ac:dyDescent="0.2">
      <c r="A960" s="12" t="s">
        <v>295</v>
      </c>
      <c r="B960" t="s">
        <v>165</v>
      </c>
      <c r="C960" t="s">
        <v>45</v>
      </c>
    </row>
    <row r="961" spans="1:3" x14ac:dyDescent="0.2">
      <c r="A961" s="11" t="s">
        <v>296</v>
      </c>
      <c r="B961" t="s">
        <v>165</v>
      </c>
      <c r="C961" t="s">
        <v>45</v>
      </c>
    </row>
    <row r="962" spans="1:3" x14ac:dyDescent="0.2">
      <c r="A962" s="12" t="s">
        <v>297</v>
      </c>
      <c r="B962" t="s">
        <v>165</v>
      </c>
      <c r="C962" t="s">
        <v>45</v>
      </c>
    </row>
    <row r="963" spans="1:3" x14ac:dyDescent="0.2">
      <c r="A963" s="12" t="s">
        <v>298</v>
      </c>
      <c r="B963" t="s">
        <v>165</v>
      </c>
      <c r="C963" t="s">
        <v>45</v>
      </c>
    </row>
    <row r="964" spans="1:3" x14ac:dyDescent="0.2">
      <c r="A964" s="12" t="s">
        <v>299</v>
      </c>
      <c r="B964" t="s">
        <v>165</v>
      </c>
      <c r="C964" t="s">
        <v>45</v>
      </c>
    </row>
    <row r="965" spans="1:3" x14ac:dyDescent="0.2">
      <c r="A965" s="11" t="s">
        <v>300</v>
      </c>
      <c r="B965" t="s">
        <v>165</v>
      </c>
      <c r="C965" t="s">
        <v>45</v>
      </c>
    </row>
    <row r="966" spans="1:3" x14ac:dyDescent="0.2">
      <c r="A966" s="12" t="s">
        <v>301</v>
      </c>
      <c r="B966" t="s">
        <v>165</v>
      </c>
      <c r="C966" t="s">
        <v>45</v>
      </c>
    </row>
    <row r="967" spans="1:3" x14ac:dyDescent="0.2">
      <c r="A967" s="11" t="s">
        <v>302</v>
      </c>
      <c r="B967" t="s">
        <v>165</v>
      </c>
      <c r="C967" t="s">
        <v>45</v>
      </c>
    </row>
    <row r="968" spans="1:3" x14ac:dyDescent="0.2">
      <c r="A968" s="11" t="s">
        <v>303</v>
      </c>
      <c r="B968" t="s">
        <v>165</v>
      </c>
      <c r="C968" t="s">
        <v>45</v>
      </c>
    </row>
    <row r="969" spans="1:3" x14ac:dyDescent="0.2">
      <c r="A969" s="12" t="s">
        <v>304</v>
      </c>
      <c r="B969" t="s">
        <v>165</v>
      </c>
      <c r="C969" t="s">
        <v>45</v>
      </c>
    </row>
    <row r="970" spans="1:3" x14ac:dyDescent="0.2">
      <c r="A970" s="11" t="s">
        <v>305</v>
      </c>
      <c r="B970" t="s">
        <v>165</v>
      </c>
      <c r="C970" t="s">
        <v>45</v>
      </c>
    </row>
    <row r="971" spans="1:3" x14ac:dyDescent="0.2">
      <c r="A971" s="12" t="s">
        <v>306</v>
      </c>
      <c r="B971" t="s">
        <v>165</v>
      </c>
      <c r="C971" t="s">
        <v>45</v>
      </c>
    </row>
    <row r="972" spans="1:3" x14ac:dyDescent="0.2">
      <c r="A972" s="11" t="s">
        <v>307</v>
      </c>
      <c r="B972" t="s">
        <v>165</v>
      </c>
      <c r="C972" t="s">
        <v>45</v>
      </c>
    </row>
    <row r="973" spans="1:3" x14ac:dyDescent="0.2">
      <c r="A973" s="11" t="s">
        <v>308</v>
      </c>
      <c r="B973" t="s">
        <v>165</v>
      </c>
      <c r="C973" t="s">
        <v>45</v>
      </c>
    </row>
    <row r="974" spans="1:3" x14ac:dyDescent="0.2">
      <c r="A974" s="11" t="s">
        <v>309</v>
      </c>
      <c r="B974" t="s">
        <v>165</v>
      </c>
      <c r="C974" t="s">
        <v>45</v>
      </c>
    </row>
    <row r="975" spans="1:3" x14ac:dyDescent="0.2">
      <c r="A975" s="12" t="s">
        <v>310</v>
      </c>
      <c r="B975" t="s">
        <v>165</v>
      </c>
      <c r="C975" t="s">
        <v>45</v>
      </c>
    </row>
    <row r="976" spans="1:3" x14ac:dyDescent="0.2">
      <c r="A976" s="12" t="s">
        <v>311</v>
      </c>
      <c r="B976" t="s">
        <v>165</v>
      </c>
      <c r="C976" t="s">
        <v>45</v>
      </c>
    </row>
    <row r="977" spans="1:4" x14ac:dyDescent="0.2">
      <c r="A977" s="11" t="s">
        <v>312</v>
      </c>
      <c r="B977" t="s">
        <v>165</v>
      </c>
      <c r="C977" t="s">
        <v>45</v>
      </c>
    </row>
    <row r="978" spans="1:4" x14ac:dyDescent="0.2">
      <c r="A978" s="12" t="s">
        <v>313</v>
      </c>
      <c r="B978" t="s">
        <v>165</v>
      </c>
      <c r="C978" t="s">
        <v>45</v>
      </c>
    </row>
    <row r="979" spans="1:4" x14ac:dyDescent="0.2">
      <c r="A979" s="12" t="s">
        <v>314</v>
      </c>
      <c r="B979" t="s">
        <v>165</v>
      </c>
      <c r="C979" t="s">
        <v>45</v>
      </c>
    </row>
    <row r="980" spans="1:4" x14ac:dyDescent="0.2">
      <c r="A980" s="11" t="s">
        <v>315</v>
      </c>
      <c r="B980" t="s">
        <v>165</v>
      </c>
      <c r="C980" t="s">
        <v>45</v>
      </c>
    </row>
    <row r="981" spans="1:4" x14ac:dyDescent="0.2">
      <c r="A981" s="12" t="s">
        <v>316</v>
      </c>
      <c r="B981" t="s">
        <v>165</v>
      </c>
      <c r="C981" t="s">
        <v>45</v>
      </c>
    </row>
    <row r="982" spans="1:4" x14ac:dyDescent="0.2">
      <c r="A982" s="11" t="s">
        <v>317</v>
      </c>
      <c r="B982" t="s">
        <v>165</v>
      </c>
      <c r="C982" t="s">
        <v>45</v>
      </c>
    </row>
    <row r="983" spans="1:4" x14ac:dyDescent="0.2">
      <c r="A983" s="11" t="s">
        <v>318</v>
      </c>
      <c r="B983" t="s">
        <v>165</v>
      </c>
      <c r="C983" t="s">
        <v>45</v>
      </c>
    </row>
    <row r="984" spans="1:4" x14ac:dyDescent="0.2">
      <c r="A984" s="12" t="s">
        <v>319</v>
      </c>
      <c r="B984" t="s">
        <v>165</v>
      </c>
      <c r="C984" t="s">
        <v>45</v>
      </c>
    </row>
    <row r="985" spans="1:4" x14ac:dyDescent="0.2">
      <c r="A985" s="11" t="s">
        <v>320</v>
      </c>
      <c r="B985" t="s">
        <v>165</v>
      </c>
      <c r="C985" t="s">
        <v>45</v>
      </c>
    </row>
    <row r="986" spans="1:4" x14ac:dyDescent="0.2">
      <c r="A986" s="7" t="s">
        <v>321</v>
      </c>
      <c r="B986" t="s">
        <v>165</v>
      </c>
      <c r="C986" t="s">
        <v>45</v>
      </c>
    </row>
    <row r="987" spans="1:4" x14ac:dyDescent="0.2">
      <c r="A987" s="8" t="s">
        <v>322</v>
      </c>
      <c r="B987" t="s">
        <v>165</v>
      </c>
      <c r="C987" t="s">
        <v>45</v>
      </c>
    </row>
    <row r="988" spans="1:4" x14ac:dyDescent="0.2">
      <c r="A988" s="8" t="s">
        <v>613</v>
      </c>
      <c r="B988" t="s">
        <v>600</v>
      </c>
      <c r="C988" t="s">
        <v>45</v>
      </c>
    </row>
    <row r="989" spans="1:4" x14ac:dyDescent="0.2">
      <c r="A989" s="7" t="s">
        <v>1088</v>
      </c>
      <c r="B989" t="s">
        <v>956</v>
      </c>
      <c r="C989" t="s">
        <v>45</v>
      </c>
    </row>
    <row r="990" spans="1:4" x14ac:dyDescent="0.2">
      <c r="A990" s="7" t="s">
        <v>919</v>
      </c>
      <c r="B990" t="s">
        <v>901</v>
      </c>
      <c r="C990" t="s">
        <v>45</v>
      </c>
    </row>
    <row r="991" spans="1:4" x14ac:dyDescent="0.2">
      <c r="A991" s="7" t="s">
        <v>920</v>
      </c>
      <c r="B991" t="s">
        <v>901</v>
      </c>
      <c r="C991" t="s">
        <v>45</v>
      </c>
      <c r="D991" t="s">
        <v>20</v>
      </c>
    </row>
    <row r="992" spans="1:4" x14ac:dyDescent="0.2">
      <c r="A992" s="7" t="s">
        <v>921</v>
      </c>
      <c r="B992" t="s">
        <v>901</v>
      </c>
      <c r="C992" t="s">
        <v>45</v>
      </c>
      <c r="D992" t="s">
        <v>20</v>
      </c>
    </row>
    <row r="993" spans="1:4" x14ac:dyDescent="0.2">
      <c r="A993" s="7" t="s">
        <v>922</v>
      </c>
      <c r="B993" t="s">
        <v>901</v>
      </c>
      <c r="C993" t="s">
        <v>45</v>
      </c>
      <c r="D993" t="s">
        <v>20</v>
      </c>
    </row>
    <row r="994" spans="1:4" x14ac:dyDescent="0.2">
      <c r="A994" s="7" t="s">
        <v>923</v>
      </c>
      <c r="B994" t="s">
        <v>901</v>
      </c>
      <c r="C994" t="s">
        <v>45</v>
      </c>
      <c r="D994" t="s">
        <v>20</v>
      </c>
    </row>
    <row r="995" spans="1:4" x14ac:dyDescent="0.2">
      <c r="A995" s="33" t="s">
        <v>1530</v>
      </c>
      <c r="B995" t="s">
        <v>901</v>
      </c>
      <c r="C995" t="s">
        <v>45</v>
      </c>
    </row>
    <row r="996" spans="1:4" x14ac:dyDescent="0.2">
      <c r="A996" s="33" t="s">
        <v>1296</v>
      </c>
      <c r="B996" t="s">
        <v>956</v>
      </c>
      <c r="C996" t="s">
        <v>45</v>
      </c>
    </row>
    <row r="997" spans="1:4" x14ac:dyDescent="0.2">
      <c r="A997" s="33" t="s">
        <v>1492</v>
      </c>
      <c r="B997" t="s">
        <v>165</v>
      </c>
      <c r="C997" t="s">
        <v>45</v>
      </c>
    </row>
    <row r="998" spans="1:4" x14ac:dyDescent="0.2">
      <c r="A998" s="33" t="s">
        <v>1314</v>
      </c>
      <c r="B998" t="s">
        <v>956</v>
      </c>
      <c r="C998" t="s">
        <v>45</v>
      </c>
    </row>
    <row r="999" spans="1:4" x14ac:dyDescent="0.2">
      <c r="A999" s="8" t="s">
        <v>1089</v>
      </c>
      <c r="B999" t="s">
        <v>956</v>
      </c>
      <c r="C999" t="s">
        <v>45</v>
      </c>
    </row>
    <row r="1000" spans="1:4" x14ac:dyDescent="0.2">
      <c r="A1000" s="7" t="s">
        <v>1174</v>
      </c>
      <c r="B1000" t="s">
        <v>1170</v>
      </c>
      <c r="C1000" t="s">
        <v>45</v>
      </c>
    </row>
    <row r="1001" spans="1:4" x14ac:dyDescent="0.2">
      <c r="A1001" s="7" t="s">
        <v>123</v>
      </c>
      <c r="B1001" t="s">
        <v>98</v>
      </c>
      <c r="C1001" t="s">
        <v>45</v>
      </c>
      <c r="D1001" t="s">
        <v>102</v>
      </c>
    </row>
    <row r="1002" spans="1:4" x14ac:dyDescent="0.2">
      <c r="A1002" s="7" t="s">
        <v>124</v>
      </c>
      <c r="B1002" t="s">
        <v>98</v>
      </c>
      <c r="C1002" t="s">
        <v>45</v>
      </c>
      <c r="D1002" t="s">
        <v>102</v>
      </c>
    </row>
    <row r="1003" spans="1:4" x14ac:dyDescent="0.2">
      <c r="A1003" s="7" t="s">
        <v>939</v>
      </c>
      <c r="B1003" s="22" t="s">
        <v>938</v>
      </c>
      <c r="C1003" s="22" t="s">
        <v>45</v>
      </c>
    </row>
    <row r="1004" spans="1:4" x14ac:dyDescent="0.2">
      <c r="A1004" s="7" t="s">
        <v>80</v>
      </c>
      <c r="B1004" t="s">
        <v>79</v>
      </c>
      <c r="C1004" t="s">
        <v>45</v>
      </c>
      <c r="D1004" t="s">
        <v>20</v>
      </c>
    </row>
    <row r="1005" spans="1:4" x14ac:dyDescent="0.2">
      <c r="A1005" s="11" t="s">
        <v>614</v>
      </c>
      <c r="B1005" t="s">
        <v>600</v>
      </c>
      <c r="C1005" t="s">
        <v>6</v>
      </c>
    </row>
    <row r="1006" spans="1:4" x14ac:dyDescent="0.2">
      <c r="A1006" s="33" t="s">
        <v>1523</v>
      </c>
      <c r="B1006" t="s">
        <v>956</v>
      </c>
      <c r="C1006" t="s">
        <v>45</v>
      </c>
    </row>
    <row r="1007" spans="1:4" x14ac:dyDescent="0.2">
      <c r="A1007" s="7" t="s">
        <v>551</v>
      </c>
      <c r="B1007" t="s">
        <v>514</v>
      </c>
      <c r="C1007" t="s">
        <v>45</v>
      </c>
    </row>
    <row r="1008" spans="1:4" x14ac:dyDescent="0.2">
      <c r="A1008" s="33" t="s">
        <v>1315</v>
      </c>
      <c r="B1008" t="s">
        <v>956</v>
      </c>
      <c r="C1008" t="s">
        <v>45</v>
      </c>
    </row>
    <row r="1009" spans="1:4" x14ac:dyDescent="0.2">
      <c r="A1009" s="33" t="s">
        <v>1315</v>
      </c>
      <c r="B1009" t="s">
        <v>956</v>
      </c>
      <c r="C1009" t="s">
        <v>45</v>
      </c>
    </row>
    <row r="1010" spans="1:4" x14ac:dyDescent="0.2">
      <c r="A1010" s="33" t="s">
        <v>1315</v>
      </c>
      <c r="B1010" t="s">
        <v>956</v>
      </c>
      <c r="C1010" t="s">
        <v>45</v>
      </c>
    </row>
    <row r="1011" spans="1:4" x14ac:dyDescent="0.2">
      <c r="A1011" s="37" t="s">
        <v>924</v>
      </c>
      <c r="B1011" t="s">
        <v>901</v>
      </c>
      <c r="C1011" t="s">
        <v>45</v>
      </c>
    </row>
    <row r="1012" spans="1:4" x14ac:dyDescent="0.2">
      <c r="A1012" s="7" t="s">
        <v>925</v>
      </c>
      <c r="B1012" t="s">
        <v>901</v>
      </c>
      <c r="C1012" t="s">
        <v>45</v>
      </c>
      <c r="D1012" t="s">
        <v>20</v>
      </c>
    </row>
    <row r="1013" spans="1:4" x14ac:dyDescent="0.2">
      <c r="A1013" s="7" t="s">
        <v>38</v>
      </c>
      <c r="B1013" t="s">
        <v>5</v>
      </c>
      <c r="C1013" t="s">
        <v>6</v>
      </c>
    </row>
    <row r="1014" spans="1:4" x14ac:dyDescent="0.2">
      <c r="A1014" s="7" t="s">
        <v>39</v>
      </c>
      <c r="B1014" s="22" t="s">
        <v>5</v>
      </c>
      <c r="C1014" s="22" t="s">
        <v>6</v>
      </c>
    </row>
    <row r="1015" spans="1:4" x14ac:dyDescent="0.2">
      <c r="A1015" s="8" t="s">
        <v>1090</v>
      </c>
      <c r="B1015" s="23" t="s">
        <v>956</v>
      </c>
      <c r="C1015" s="23" t="s">
        <v>45</v>
      </c>
    </row>
    <row r="1016" spans="1:4" x14ac:dyDescent="0.2">
      <c r="A1016" s="11" t="s">
        <v>945</v>
      </c>
      <c r="B1016" s="59" t="s">
        <v>77</v>
      </c>
      <c r="C1016" s="22" t="s">
        <v>6</v>
      </c>
    </row>
    <row r="1017" spans="1:4" x14ac:dyDescent="0.2">
      <c r="A1017" s="11" t="s">
        <v>945</v>
      </c>
      <c r="B1017" s="59" t="s">
        <v>77</v>
      </c>
      <c r="C1017" s="22" t="s">
        <v>6</v>
      </c>
    </row>
    <row r="1018" spans="1:4" x14ac:dyDescent="0.2">
      <c r="A1018" s="11" t="s">
        <v>945</v>
      </c>
      <c r="B1018" s="10" t="s">
        <v>77</v>
      </c>
      <c r="C1018" t="s">
        <v>6</v>
      </c>
    </row>
    <row r="1019" spans="1:4" x14ac:dyDescent="0.2">
      <c r="A1019" s="11" t="s">
        <v>945</v>
      </c>
      <c r="B1019" s="10" t="s">
        <v>77</v>
      </c>
      <c r="C1019" t="s">
        <v>6</v>
      </c>
    </row>
    <row r="1020" spans="1:4" x14ac:dyDescent="0.2">
      <c r="A1020" s="11" t="s">
        <v>945</v>
      </c>
      <c r="B1020" s="59" t="s">
        <v>77</v>
      </c>
      <c r="C1020" s="22" t="s">
        <v>6</v>
      </c>
    </row>
    <row r="1021" spans="1:4" x14ac:dyDescent="0.2">
      <c r="A1021" s="33" t="s">
        <v>1741</v>
      </c>
      <c r="B1021" t="s">
        <v>469</v>
      </c>
      <c r="C1021" t="s">
        <v>6</v>
      </c>
    </row>
    <row r="1022" spans="1:4" x14ac:dyDescent="0.2">
      <c r="A1022" s="7" t="s">
        <v>1091</v>
      </c>
      <c r="B1022" t="s">
        <v>956</v>
      </c>
      <c r="C1022" t="s">
        <v>45</v>
      </c>
    </row>
    <row r="1023" spans="1:4" x14ac:dyDescent="0.2">
      <c r="A1023" s="7" t="s">
        <v>323</v>
      </c>
      <c r="B1023" t="s">
        <v>165</v>
      </c>
      <c r="C1023" t="s">
        <v>45</v>
      </c>
      <c r="D1023" t="s">
        <v>20</v>
      </c>
    </row>
    <row r="1024" spans="1:4" x14ac:dyDescent="0.2">
      <c r="A1024" s="33" t="s">
        <v>1519</v>
      </c>
      <c r="B1024" t="s">
        <v>469</v>
      </c>
      <c r="C1024" t="s">
        <v>6</v>
      </c>
    </row>
    <row r="1025" spans="1:4" x14ac:dyDescent="0.2">
      <c r="A1025" s="7" t="s">
        <v>946</v>
      </c>
      <c r="B1025" t="s">
        <v>77</v>
      </c>
      <c r="C1025" t="s">
        <v>6</v>
      </c>
    </row>
    <row r="1026" spans="1:4" x14ac:dyDescent="0.2">
      <c r="A1026" s="8" t="s">
        <v>1092</v>
      </c>
      <c r="B1026" t="s">
        <v>956</v>
      </c>
      <c r="C1026" t="s">
        <v>45</v>
      </c>
    </row>
    <row r="1027" spans="1:4" x14ac:dyDescent="0.2">
      <c r="A1027" s="8" t="s">
        <v>878</v>
      </c>
      <c r="B1027" t="s">
        <v>858</v>
      </c>
      <c r="C1027" t="s">
        <v>45</v>
      </c>
    </row>
    <row r="1028" spans="1:4" x14ac:dyDescent="0.2">
      <c r="A1028" s="8" t="s">
        <v>879</v>
      </c>
      <c r="B1028" t="s">
        <v>858</v>
      </c>
      <c r="C1028" t="s">
        <v>45</v>
      </c>
    </row>
    <row r="1029" spans="1:4" x14ac:dyDescent="0.2">
      <c r="A1029" s="7" t="s">
        <v>880</v>
      </c>
      <c r="B1029" t="s">
        <v>858</v>
      </c>
      <c r="C1029" s="22" t="s">
        <v>45</v>
      </c>
    </row>
    <row r="1030" spans="1:4" x14ac:dyDescent="0.2">
      <c r="A1030" s="7" t="s">
        <v>615</v>
      </c>
      <c r="B1030" t="s">
        <v>600</v>
      </c>
      <c r="C1030" t="s">
        <v>6</v>
      </c>
      <c r="D1030" t="s">
        <v>20</v>
      </c>
    </row>
    <row r="1031" spans="1:4" x14ac:dyDescent="0.2">
      <c r="A1031" s="7" t="s">
        <v>1093</v>
      </c>
      <c r="B1031" t="s">
        <v>956</v>
      </c>
      <c r="C1031" t="s">
        <v>6</v>
      </c>
    </row>
    <row r="1032" spans="1:4" x14ac:dyDescent="0.2">
      <c r="A1032" s="33" t="s">
        <v>1624</v>
      </c>
      <c r="B1032" t="s">
        <v>5</v>
      </c>
      <c r="C1032" t="s">
        <v>6</v>
      </c>
    </row>
    <row r="1033" spans="1:4" x14ac:dyDescent="0.2">
      <c r="A1033" s="7" t="s">
        <v>1094</v>
      </c>
      <c r="B1033" t="s">
        <v>956</v>
      </c>
      <c r="C1033" t="s">
        <v>45</v>
      </c>
      <c r="D1033" t="s">
        <v>953</v>
      </c>
    </row>
    <row r="1034" spans="1:4" x14ac:dyDescent="0.2">
      <c r="A1034" s="7" t="s">
        <v>552</v>
      </c>
      <c r="B1034" s="22" t="s">
        <v>514</v>
      </c>
      <c r="C1034" s="22" t="s">
        <v>6</v>
      </c>
    </row>
    <row r="1035" spans="1:4" x14ac:dyDescent="0.2">
      <c r="A1035" s="8" t="s">
        <v>1095</v>
      </c>
      <c r="B1035" s="16" t="s">
        <v>956</v>
      </c>
      <c r="C1035" s="16" t="s">
        <v>45</v>
      </c>
    </row>
    <row r="1036" spans="1:4" x14ac:dyDescent="0.2">
      <c r="A1036" s="7" t="s">
        <v>76</v>
      </c>
      <c r="B1036" t="s">
        <v>77</v>
      </c>
      <c r="C1036" t="s">
        <v>6</v>
      </c>
    </row>
    <row r="1037" spans="1:4" x14ac:dyDescent="0.2">
      <c r="A1037" s="7" t="s">
        <v>324</v>
      </c>
      <c r="B1037" t="s">
        <v>165</v>
      </c>
      <c r="C1037" t="s">
        <v>45</v>
      </c>
    </row>
    <row r="1038" spans="1:4" x14ac:dyDescent="0.2">
      <c r="A1038" s="7" t="s">
        <v>325</v>
      </c>
      <c r="B1038" t="s">
        <v>165</v>
      </c>
      <c r="C1038" t="s">
        <v>45</v>
      </c>
      <c r="D1038" t="s">
        <v>20</v>
      </c>
    </row>
    <row r="1039" spans="1:4" x14ac:dyDescent="0.2">
      <c r="A1039" s="7" t="s">
        <v>326</v>
      </c>
      <c r="B1039" t="s">
        <v>165</v>
      </c>
      <c r="C1039" t="s">
        <v>45</v>
      </c>
    </row>
    <row r="1040" spans="1:4" x14ac:dyDescent="0.2">
      <c r="A1040" s="7" t="s">
        <v>327</v>
      </c>
      <c r="B1040" t="s">
        <v>165</v>
      </c>
      <c r="C1040" t="s">
        <v>45</v>
      </c>
      <c r="D1040" t="s">
        <v>20</v>
      </c>
    </row>
    <row r="1041" spans="1:4" x14ac:dyDescent="0.2">
      <c r="A1041" s="7" t="s">
        <v>328</v>
      </c>
      <c r="B1041" t="s">
        <v>165</v>
      </c>
      <c r="C1041" t="s">
        <v>45</v>
      </c>
      <c r="D1041" t="s">
        <v>20</v>
      </c>
    </row>
    <row r="1042" spans="1:4" x14ac:dyDescent="0.2">
      <c r="A1042" s="8" t="s">
        <v>1096</v>
      </c>
      <c r="B1042" t="s">
        <v>956</v>
      </c>
      <c r="C1042" t="s">
        <v>45</v>
      </c>
    </row>
    <row r="1043" spans="1:4" x14ac:dyDescent="0.2">
      <c r="A1043" s="7" t="s">
        <v>730</v>
      </c>
      <c r="B1043" t="s">
        <v>639</v>
      </c>
      <c r="C1043" t="s">
        <v>45</v>
      </c>
    </row>
    <row r="1044" spans="1:4" x14ac:dyDescent="0.2">
      <c r="A1044" s="7" t="s">
        <v>1189</v>
      </c>
      <c r="B1044" t="s">
        <v>1185</v>
      </c>
    </row>
    <row r="1045" spans="1:4" x14ac:dyDescent="0.2">
      <c r="A1045" s="7" t="s">
        <v>1097</v>
      </c>
      <c r="B1045" t="s">
        <v>956</v>
      </c>
      <c r="C1045" t="s">
        <v>45</v>
      </c>
    </row>
    <row r="1046" spans="1:4" x14ac:dyDescent="0.2">
      <c r="A1046" s="7" t="s">
        <v>815</v>
      </c>
      <c r="B1046" t="s">
        <v>810</v>
      </c>
      <c r="C1046" t="s">
        <v>6</v>
      </c>
      <c r="D1046" t="s">
        <v>20</v>
      </c>
    </row>
    <row r="1047" spans="1:4" x14ac:dyDescent="0.2">
      <c r="A1047" s="7" t="s">
        <v>816</v>
      </c>
      <c r="B1047" t="s">
        <v>810</v>
      </c>
      <c r="C1047" t="s">
        <v>6</v>
      </c>
    </row>
    <row r="1048" spans="1:4" x14ac:dyDescent="0.2">
      <c r="A1048" s="7" t="s">
        <v>816</v>
      </c>
      <c r="B1048" t="s">
        <v>810</v>
      </c>
      <c r="C1048" t="s">
        <v>6</v>
      </c>
    </row>
    <row r="1049" spans="1:4" x14ac:dyDescent="0.2">
      <c r="A1049" s="11" t="s">
        <v>1098</v>
      </c>
      <c r="B1049" t="s">
        <v>956</v>
      </c>
      <c r="C1049" t="s">
        <v>45</v>
      </c>
    </row>
    <row r="1050" spans="1:4" x14ac:dyDescent="0.2">
      <c r="A1050" s="7" t="s">
        <v>125</v>
      </c>
      <c r="B1050" s="22" t="s">
        <v>98</v>
      </c>
      <c r="C1050" s="22" t="s">
        <v>45</v>
      </c>
    </row>
    <row r="1051" spans="1:4" x14ac:dyDescent="0.2">
      <c r="A1051" s="33" t="s">
        <v>1316</v>
      </c>
      <c r="B1051" t="s">
        <v>956</v>
      </c>
      <c r="C1051" t="s">
        <v>45</v>
      </c>
    </row>
    <row r="1052" spans="1:4" x14ac:dyDescent="0.2">
      <c r="A1052" s="7" t="s">
        <v>817</v>
      </c>
      <c r="B1052" t="s">
        <v>810</v>
      </c>
      <c r="C1052" t="s">
        <v>6</v>
      </c>
      <c r="D1052" t="s">
        <v>20</v>
      </c>
    </row>
    <row r="1053" spans="1:4" x14ac:dyDescent="0.2">
      <c r="A1053" s="7" t="s">
        <v>818</v>
      </c>
      <c r="B1053" s="22" t="s">
        <v>810</v>
      </c>
      <c r="C1053" s="22" t="s">
        <v>6</v>
      </c>
      <c r="D1053" t="s">
        <v>20</v>
      </c>
    </row>
    <row r="1054" spans="1:4" x14ac:dyDescent="0.2">
      <c r="A1054" s="7" t="s">
        <v>40</v>
      </c>
      <c r="B1054" s="22" t="s">
        <v>5</v>
      </c>
      <c r="C1054" s="22" t="s">
        <v>6</v>
      </c>
    </row>
    <row r="1055" spans="1:4" x14ac:dyDescent="0.2">
      <c r="A1055" s="33" t="s">
        <v>1944</v>
      </c>
      <c r="B1055" t="s">
        <v>1170</v>
      </c>
      <c r="C1055" t="s">
        <v>45</v>
      </c>
    </row>
    <row r="1056" spans="1:4" x14ac:dyDescent="0.2">
      <c r="A1056" s="33" t="s">
        <v>1456</v>
      </c>
      <c r="B1056" t="s">
        <v>98</v>
      </c>
      <c r="C1056" t="s">
        <v>6</v>
      </c>
    </row>
    <row r="1057" spans="1:4" x14ac:dyDescent="0.2">
      <c r="A1057" s="33" t="s">
        <v>1456</v>
      </c>
      <c r="B1057" t="s">
        <v>98</v>
      </c>
      <c r="C1057" t="s">
        <v>6</v>
      </c>
    </row>
    <row r="1058" spans="1:4" x14ac:dyDescent="0.2">
      <c r="A1058" s="33" t="s">
        <v>1456</v>
      </c>
      <c r="B1058" t="s">
        <v>98</v>
      </c>
      <c r="C1058" t="s">
        <v>6</v>
      </c>
    </row>
    <row r="1059" spans="1:4" x14ac:dyDescent="0.2">
      <c r="A1059" s="33" t="s">
        <v>1380</v>
      </c>
      <c r="B1059" t="s">
        <v>98</v>
      </c>
      <c r="C1059" t="s">
        <v>6</v>
      </c>
    </row>
    <row r="1060" spans="1:4" x14ac:dyDescent="0.2">
      <c r="A1060" s="7" t="s">
        <v>126</v>
      </c>
      <c r="B1060" t="s">
        <v>98</v>
      </c>
      <c r="C1060" t="s">
        <v>45</v>
      </c>
      <c r="D1060" t="s">
        <v>102</v>
      </c>
    </row>
    <row r="1061" spans="1:4" x14ac:dyDescent="0.2">
      <c r="A1061" s="7" t="s">
        <v>127</v>
      </c>
      <c r="B1061" t="s">
        <v>98</v>
      </c>
      <c r="C1061" t="s">
        <v>45</v>
      </c>
      <c r="D1061" t="s">
        <v>102</v>
      </c>
    </row>
    <row r="1062" spans="1:4" x14ac:dyDescent="0.2">
      <c r="A1062" s="7" t="s">
        <v>128</v>
      </c>
      <c r="B1062" t="s">
        <v>98</v>
      </c>
      <c r="C1062" t="s">
        <v>45</v>
      </c>
      <c r="D1062" t="s">
        <v>102</v>
      </c>
    </row>
    <row r="1063" spans="1:4" x14ac:dyDescent="0.2">
      <c r="A1063" s="7" t="s">
        <v>1190</v>
      </c>
      <c r="B1063" s="22" t="s">
        <v>1185</v>
      </c>
      <c r="C1063" s="22"/>
    </row>
    <row r="1064" spans="1:4" x14ac:dyDescent="0.2">
      <c r="A1064" s="33" t="s">
        <v>1359</v>
      </c>
      <c r="B1064" s="22" t="s">
        <v>593</v>
      </c>
      <c r="C1064" s="22" t="s">
        <v>6</v>
      </c>
    </row>
    <row r="1065" spans="1:4" x14ac:dyDescent="0.2">
      <c r="A1065" s="33" t="s">
        <v>1359</v>
      </c>
      <c r="B1065" s="22" t="s">
        <v>593</v>
      </c>
      <c r="C1065" s="22" t="s">
        <v>6</v>
      </c>
    </row>
    <row r="1066" spans="1:4" x14ac:dyDescent="0.2">
      <c r="A1066" s="7" t="s">
        <v>1191</v>
      </c>
      <c r="B1066" t="s">
        <v>1185</v>
      </c>
    </row>
    <row r="1067" spans="1:4" x14ac:dyDescent="0.2">
      <c r="A1067" s="33" t="s">
        <v>1813</v>
      </c>
      <c r="B1067" s="22" t="s">
        <v>835</v>
      </c>
      <c r="C1067" s="22" t="s">
        <v>6</v>
      </c>
    </row>
    <row r="1068" spans="1:4" x14ac:dyDescent="0.2">
      <c r="A1068" s="33" t="s">
        <v>1309</v>
      </c>
    </row>
    <row r="1069" spans="1:4" x14ac:dyDescent="0.2">
      <c r="A1069" s="7" t="s">
        <v>553</v>
      </c>
      <c r="B1069" t="s">
        <v>514</v>
      </c>
      <c r="C1069" t="s">
        <v>6</v>
      </c>
      <c r="D1069" t="s">
        <v>532</v>
      </c>
    </row>
    <row r="1070" spans="1:4" x14ac:dyDescent="0.2">
      <c r="A1070" s="7" t="s">
        <v>129</v>
      </c>
      <c r="B1070" t="s">
        <v>98</v>
      </c>
      <c r="C1070" t="s">
        <v>45</v>
      </c>
    </row>
    <row r="1071" spans="1:4" x14ac:dyDescent="0.2">
      <c r="A1071" s="33" t="s">
        <v>1839</v>
      </c>
      <c r="B1071" t="s">
        <v>98</v>
      </c>
      <c r="C1071" t="s">
        <v>45</v>
      </c>
    </row>
    <row r="1072" spans="1:4" x14ac:dyDescent="0.2">
      <c r="A1072" s="7" t="s">
        <v>130</v>
      </c>
      <c r="B1072" t="s">
        <v>98</v>
      </c>
      <c r="C1072" t="s">
        <v>45</v>
      </c>
      <c r="D1072" t="s">
        <v>114</v>
      </c>
    </row>
    <row r="1073" spans="1:4" x14ac:dyDescent="0.2">
      <c r="A1073" s="7" t="s">
        <v>131</v>
      </c>
      <c r="B1073" t="s">
        <v>98</v>
      </c>
      <c r="C1073" t="s">
        <v>45</v>
      </c>
      <c r="D1073" t="s">
        <v>114</v>
      </c>
    </row>
    <row r="1074" spans="1:4" x14ac:dyDescent="0.2">
      <c r="A1074" s="7" t="s">
        <v>132</v>
      </c>
      <c r="B1074" t="s">
        <v>98</v>
      </c>
      <c r="C1074" t="s">
        <v>45</v>
      </c>
    </row>
    <row r="1075" spans="1:4" x14ac:dyDescent="0.2">
      <c r="A1075" s="33" t="s">
        <v>1368</v>
      </c>
      <c r="B1075" t="s">
        <v>98</v>
      </c>
      <c r="C1075" t="s">
        <v>45</v>
      </c>
    </row>
    <row r="1076" spans="1:4" x14ac:dyDescent="0.2">
      <c r="A1076" s="9" t="s">
        <v>731</v>
      </c>
      <c r="B1076" s="10" t="s">
        <v>639</v>
      </c>
      <c r="C1076" t="s">
        <v>6</v>
      </c>
      <c r="D1076" t="s">
        <v>643</v>
      </c>
    </row>
    <row r="1077" spans="1:4" x14ac:dyDescent="0.2">
      <c r="A1077" s="7" t="s">
        <v>732</v>
      </c>
      <c r="B1077" t="s">
        <v>639</v>
      </c>
      <c r="C1077" t="s">
        <v>6</v>
      </c>
      <c r="D1077" t="s">
        <v>20</v>
      </c>
    </row>
    <row r="1078" spans="1:4" x14ac:dyDescent="0.2">
      <c r="A1078" s="8" t="s">
        <v>475</v>
      </c>
      <c r="B1078" t="s">
        <v>469</v>
      </c>
      <c r="C1078" t="s">
        <v>45</v>
      </c>
    </row>
    <row r="1079" spans="1:4" x14ac:dyDescent="0.2">
      <c r="A1079" s="33" t="s">
        <v>1565</v>
      </c>
      <c r="B1079" t="s">
        <v>639</v>
      </c>
      <c r="C1079" t="s">
        <v>6</v>
      </c>
    </row>
    <row r="1080" spans="1:4" x14ac:dyDescent="0.2">
      <c r="A1080" s="7" t="s">
        <v>133</v>
      </c>
      <c r="B1080" s="22" t="s">
        <v>98</v>
      </c>
      <c r="C1080" s="22" t="s">
        <v>45</v>
      </c>
    </row>
    <row r="1081" spans="1:4" x14ac:dyDescent="0.2">
      <c r="A1081" s="7" t="s">
        <v>134</v>
      </c>
      <c r="B1081" t="s">
        <v>98</v>
      </c>
      <c r="C1081" t="s">
        <v>45</v>
      </c>
    </row>
    <row r="1082" spans="1:4" x14ac:dyDescent="0.2">
      <c r="A1082" s="7" t="s">
        <v>616</v>
      </c>
      <c r="B1082" t="s">
        <v>600</v>
      </c>
      <c r="C1082" t="s">
        <v>6</v>
      </c>
      <c r="D1082" t="s">
        <v>20</v>
      </c>
    </row>
    <row r="1083" spans="1:4" x14ac:dyDescent="0.2">
      <c r="A1083" s="33" t="s">
        <v>1335</v>
      </c>
      <c r="B1083" t="s">
        <v>5</v>
      </c>
      <c r="C1083" t="s">
        <v>6</v>
      </c>
    </row>
    <row r="1084" spans="1:4" x14ac:dyDescent="0.2">
      <c r="A1084" s="33" t="s">
        <v>1335</v>
      </c>
      <c r="B1084" t="s">
        <v>5</v>
      </c>
      <c r="C1084" t="s">
        <v>6</v>
      </c>
    </row>
    <row r="1085" spans="1:4" x14ac:dyDescent="0.2">
      <c r="A1085" s="33" t="s">
        <v>1335</v>
      </c>
      <c r="B1085" t="s">
        <v>5</v>
      </c>
      <c r="C1085" t="s">
        <v>6</v>
      </c>
    </row>
    <row r="1086" spans="1:4" x14ac:dyDescent="0.2">
      <c r="A1086" s="33" t="s">
        <v>1335</v>
      </c>
      <c r="B1086" t="s">
        <v>5</v>
      </c>
      <c r="C1086" t="s">
        <v>6</v>
      </c>
    </row>
    <row r="1087" spans="1:4" x14ac:dyDescent="0.2">
      <c r="A1087" s="33" t="s">
        <v>1335</v>
      </c>
      <c r="B1087" t="s">
        <v>5</v>
      </c>
      <c r="C1087" t="s">
        <v>6</v>
      </c>
    </row>
    <row r="1088" spans="1:4" x14ac:dyDescent="0.2">
      <c r="A1088" s="33" t="s">
        <v>1335</v>
      </c>
      <c r="B1088" t="s">
        <v>5</v>
      </c>
      <c r="C1088" t="s">
        <v>6</v>
      </c>
    </row>
    <row r="1089" spans="1:4" x14ac:dyDescent="0.2">
      <c r="A1089" s="33" t="s">
        <v>1335</v>
      </c>
      <c r="B1089" t="s">
        <v>5</v>
      </c>
      <c r="C1089" t="s">
        <v>6</v>
      </c>
    </row>
    <row r="1090" spans="1:4" x14ac:dyDescent="0.2">
      <c r="A1090" s="33" t="s">
        <v>1335</v>
      </c>
      <c r="B1090" t="s">
        <v>5</v>
      </c>
      <c r="C1090" t="s">
        <v>6</v>
      </c>
    </row>
    <row r="1091" spans="1:4" x14ac:dyDescent="0.2">
      <c r="A1091" s="33" t="s">
        <v>1335</v>
      </c>
      <c r="B1091" t="s">
        <v>5</v>
      </c>
      <c r="C1091" t="s">
        <v>6</v>
      </c>
    </row>
    <row r="1092" spans="1:4" x14ac:dyDescent="0.2">
      <c r="A1092" s="33" t="s">
        <v>1687</v>
      </c>
      <c r="B1092" t="s">
        <v>639</v>
      </c>
      <c r="C1092" t="s">
        <v>6</v>
      </c>
    </row>
    <row r="1093" spans="1:4" x14ac:dyDescent="0.2">
      <c r="A1093" s="33" t="s">
        <v>1825</v>
      </c>
      <c r="B1093" t="s">
        <v>514</v>
      </c>
      <c r="C1093" t="s">
        <v>6</v>
      </c>
    </row>
    <row r="1094" spans="1:4" x14ac:dyDescent="0.2">
      <c r="A1094" s="7" t="s">
        <v>2495</v>
      </c>
    </row>
    <row r="1095" spans="1:4" x14ac:dyDescent="0.2">
      <c r="A1095" s="33" t="s">
        <v>2125</v>
      </c>
      <c r="B1095" t="s">
        <v>1170</v>
      </c>
      <c r="C1095" t="s">
        <v>45</v>
      </c>
    </row>
    <row r="1096" spans="1:4" x14ac:dyDescent="0.2">
      <c r="A1096" s="7" t="s">
        <v>1175</v>
      </c>
      <c r="B1096" t="s">
        <v>1170</v>
      </c>
      <c r="C1096" t="s">
        <v>45</v>
      </c>
    </row>
    <row r="1097" spans="1:4" x14ac:dyDescent="0.2">
      <c r="A1097" s="33" t="s">
        <v>1800</v>
      </c>
      <c r="B1097" t="s">
        <v>1170</v>
      </c>
      <c r="C1097" t="s">
        <v>45</v>
      </c>
    </row>
    <row r="1098" spans="1:4" x14ac:dyDescent="0.2">
      <c r="A1098" s="7" t="s">
        <v>844</v>
      </c>
      <c r="B1098" t="s">
        <v>835</v>
      </c>
      <c r="C1098" t="s">
        <v>45</v>
      </c>
      <c r="D1098" t="s">
        <v>20</v>
      </c>
    </row>
    <row r="1099" spans="1:4" x14ac:dyDescent="0.2">
      <c r="A1099" s="7" t="s">
        <v>2474</v>
      </c>
    </row>
    <row r="1100" spans="1:4" x14ac:dyDescent="0.2">
      <c r="A1100" s="7" t="s">
        <v>2505</v>
      </c>
      <c r="B1100" s="22"/>
      <c r="C1100" s="22"/>
    </row>
    <row r="1101" spans="1:4" x14ac:dyDescent="0.2">
      <c r="A1101" s="33" t="s">
        <v>1300</v>
      </c>
      <c r="B1101" t="s">
        <v>469</v>
      </c>
      <c r="C1101" t="s">
        <v>45</v>
      </c>
    </row>
    <row r="1102" spans="1:4" x14ac:dyDescent="0.2">
      <c r="A1102" s="8" t="s">
        <v>135</v>
      </c>
      <c r="B1102" t="s">
        <v>98</v>
      </c>
      <c r="C1102" t="s">
        <v>45</v>
      </c>
    </row>
    <row r="1103" spans="1:4" x14ac:dyDescent="0.2">
      <c r="A1103" s="7" t="s">
        <v>733</v>
      </c>
      <c r="B1103" t="s">
        <v>639</v>
      </c>
      <c r="C1103" t="s">
        <v>6</v>
      </c>
      <c r="D1103" t="s">
        <v>20</v>
      </c>
    </row>
    <row r="1104" spans="1:4" x14ac:dyDescent="0.2">
      <c r="A1104" s="7" t="s">
        <v>1099</v>
      </c>
      <c r="B1104" t="s">
        <v>956</v>
      </c>
      <c r="C1104" t="s">
        <v>45</v>
      </c>
      <c r="D1104" t="s">
        <v>1015</v>
      </c>
    </row>
    <row r="1105" spans="1:4" x14ac:dyDescent="0.2">
      <c r="A1105" s="7" t="s">
        <v>926</v>
      </c>
      <c r="B1105" t="s">
        <v>901</v>
      </c>
      <c r="C1105" t="s">
        <v>45</v>
      </c>
    </row>
    <row r="1106" spans="1:4" x14ac:dyDescent="0.2">
      <c r="A1106" s="7" t="s">
        <v>881</v>
      </c>
      <c r="B1106" t="s">
        <v>858</v>
      </c>
      <c r="C1106" t="s">
        <v>45</v>
      </c>
      <c r="D1106" t="s">
        <v>643</v>
      </c>
    </row>
    <row r="1107" spans="1:4" x14ac:dyDescent="0.2">
      <c r="A1107" s="7" t="s">
        <v>1100</v>
      </c>
      <c r="B1107" t="s">
        <v>956</v>
      </c>
      <c r="C1107" t="s">
        <v>6</v>
      </c>
    </row>
    <row r="1108" spans="1:4" x14ac:dyDescent="0.2">
      <c r="A1108" s="7" t="s">
        <v>136</v>
      </c>
      <c r="B1108" t="s">
        <v>98</v>
      </c>
      <c r="C1108" t="s">
        <v>45</v>
      </c>
    </row>
    <row r="1109" spans="1:4" x14ac:dyDescent="0.2">
      <c r="A1109" s="7" t="s">
        <v>137</v>
      </c>
      <c r="B1109" t="s">
        <v>98</v>
      </c>
      <c r="C1109" t="s">
        <v>6</v>
      </c>
      <c r="D1109" t="s">
        <v>102</v>
      </c>
    </row>
    <row r="1110" spans="1:4" x14ac:dyDescent="0.2">
      <c r="A1110" s="7" t="s">
        <v>1176</v>
      </c>
      <c r="B1110" t="s">
        <v>1170</v>
      </c>
      <c r="C1110" t="s">
        <v>45</v>
      </c>
    </row>
    <row r="1111" spans="1:4" x14ac:dyDescent="0.2">
      <c r="A1111" s="33" t="s">
        <v>1265</v>
      </c>
      <c r="B1111" t="s">
        <v>469</v>
      </c>
      <c r="C1111" t="s">
        <v>45</v>
      </c>
    </row>
    <row r="1112" spans="1:4" x14ac:dyDescent="0.2">
      <c r="A1112" s="7" t="s">
        <v>554</v>
      </c>
      <c r="B1112" t="s">
        <v>514</v>
      </c>
      <c r="C1112" t="s">
        <v>6</v>
      </c>
      <c r="D1112" t="s">
        <v>20</v>
      </c>
    </row>
    <row r="1113" spans="1:4" x14ac:dyDescent="0.2">
      <c r="A1113" s="7" t="s">
        <v>555</v>
      </c>
      <c r="B1113" t="s">
        <v>514</v>
      </c>
      <c r="C1113" t="s">
        <v>6</v>
      </c>
      <c r="D1113" t="s">
        <v>20</v>
      </c>
    </row>
    <row r="1114" spans="1:4" x14ac:dyDescent="0.2">
      <c r="A1114" s="7" t="s">
        <v>556</v>
      </c>
      <c r="B1114" t="s">
        <v>514</v>
      </c>
      <c r="C1114" t="s">
        <v>6</v>
      </c>
    </row>
    <row r="1115" spans="1:4" x14ac:dyDescent="0.2">
      <c r="A1115" s="8" t="s">
        <v>329</v>
      </c>
      <c r="B1115" t="s">
        <v>165</v>
      </c>
      <c r="C1115" t="s">
        <v>45</v>
      </c>
    </row>
    <row r="1116" spans="1:4" x14ac:dyDescent="0.2">
      <c r="A1116" s="33" t="s">
        <v>1737</v>
      </c>
      <c r="B1116" t="s">
        <v>165</v>
      </c>
      <c r="C1116" t="s">
        <v>45</v>
      </c>
    </row>
    <row r="1117" spans="1:4" x14ac:dyDescent="0.2">
      <c r="A1117" s="8" t="s">
        <v>330</v>
      </c>
      <c r="B1117" t="s">
        <v>165</v>
      </c>
      <c r="C1117" t="s">
        <v>45</v>
      </c>
    </row>
    <row r="1118" spans="1:4" x14ac:dyDescent="0.2">
      <c r="A1118" s="7" t="s">
        <v>617</v>
      </c>
      <c r="B1118" t="s">
        <v>600</v>
      </c>
      <c r="C1118" t="s">
        <v>6</v>
      </c>
    </row>
    <row r="1119" spans="1:4" x14ac:dyDescent="0.2">
      <c r="A1119" s="8" t="s">
        <v>331</v>
      </c>
      <c r="B1119" t="s">
        <v>165</v>
      </c>
      <c r="C1119" t="s">
        <v>45</v>
      </c>
    </row>
    <row r="1120" spans="1:4" x14ac:dyDescent="0.2">
      <c r="A1120" s="7" t="s">
        <v>332</v>
      </c>
      <c r="B1120" t="s">
        <v>165</v>
      </c>
      <c r="C1120" t="s">
        <v>45</v>
      </c>
      <c r="D1120" t="s">
        <v>20</v>
      </c>
    </row>
    <row r="1121" spans="1:4" x14ac:dyDescent="0.2">
      <c r="A1121" s="7" t="s">
        <v>333</v>
      </c>
      <c r="B1121" t="s">
        <v>165</v>
      </c>
      <c r="C1121" t="s">
        <v>45</v>
      </c>
    </row>
    <row r="1122" spans="1:4" x14ac:dyDescent="0.2">
      <c r="A1122" s="7" t="s">
        <v>1101</v>
      </c>
      <c r="B1122" t="s">
        <v>956</v>
      </c>
      <c r="C1122" t="s">
        <v>45</v>
      </c>
    </row>
    <row r="1123" spans="1:4" x14ac:dyDescent="0.2">
      <c r="A1123" s="33" t="s">
        <v>1262</v>
      </c>
      <c r="B1123" t="s">
        <v>165</v>
      </c>
      <c r="C1123" t="s">
        <v>45</v>
      </c>
    </row>
    <row r="1124" spans="1:4" x14ac:dyDescent="0.2">
      <c r="A1124" s="33" t="s">
        <v>1262</v>
      </c>
      <c r="B1124" t="s">
        <v>165</v>
      </c>
      <c r="C1124" t="s">
        <v>45</v>
      </c>
    </row>
    <row r="1125" spans="1:4" x14ac:dyDescent="0.2">
      <c r="A1125" s="33" t="s">
        <v>1262</v>
      </c>
      <c r="B1125" t="s">
        <v>165</v>
      </c>
      <c r="C1125" t="s">
        <v>45</v>
      </c>
    </row>
    <row r="1126" spans="1:4" x14ac:dyDescent="0.2">
      <c r="A1126" s="8" t="s">
        <v>334</v>
      </c>
      <c r="B1126" t="s">
        <v>165</v>
      </c>
      <c r="C1126" t="s">
        <v>45</v>
      </c>
    </row>
    <row r="1127" spans="1:4" x14ac:dyDescent="0.2">
      <c r="A1127" s="7" t="s">
        <v>335</v>
      </c>
      <c r="B1127" t="s">
        <v>165</v>
      </c>
      <c r="C1127" t="s">
        <v>45</v>
      </c>
    </row>
    <row r="1128" spans="1:4" x14ac:dyDescent="0.2">
      <c r="A1128" s="8" t="s">
        <v>336</v>
      </c>
      <c r="B1128" t="s">
        <v>165</v>
      </c>
      <c r="C1128" t="s">
        <v>45</v>
      </c>
    </row>
    <row r="1129" spans="1:4" x14ac:dyDescent="0.2">
      <c r="A1129" s="7" t="s">
        <v>2492</v>
      </c>
    </row>
    <row r="1130" spans="1:4" x14ac:dyDescent="0.2">
      <c r="A1130" s="7" t="s">
        <v>337</v>
      </c>
      <c r="B1130" t="s">
        <v>165</v>
      </c>
      <c r="C1130" t="s">
        <v>45</v>
      </c>
      <c r="D1130" t="s">
        <v>20</v>
      </c>
    </row>
    <row r="1131" spans="1:4" x14ac:dyDescent="0.2">
      <c r="A1131" s="33" t="s">
        <v>1269</v>
      </c>
      <c r="B1131" t="s">
        <v>956</v>
      </c>
      <c r="C1131" t="s">
        <v>45</v>
      </c>
    </row>
    <row r="1132" spans="1:4" x14ac:dyDescent="0.2">
      <c r="A1132" s="33" t="s">
        <v>1286</v>
      </c>
      <c r="B1132" t="s">
        <v>956</v>
      </c>
      <c r="C1132" t="s">
        <v>45</v>
      </c>
    </row>
    <row r="1133" spans="1:4" x14ac:dyDescent="0.2">
      <c r="A1133" s="33" t="s">
        <v>1496</v>
      </c>
      <c r="B1133" t="s">
        <v>165</v>
      </c>
      <c r="C1133" t="s">
        <v>45</v>
      </c>
    </row>
    <row r="1134" spans="1:4" x14ac:dyDescent="0.2">
      <c r="A1134" s="8" t="s">
        <v>338</v>
      </c>
      <c r="B1134" t="s">
        <v>165</v>
      </c>
      <c r="C1134" t="s">
        <v>45</v>
      </c>
    </row>
    <row r="1135" spans="1:4" x14ac:dyDescent="0.2">
      <c r="A1135" s="8" t="s">
        <v>1214</v>
      </c>
      <c r="B1135" t="s">
        <v>469</v>
      </c>
      <c r="C1135" t="s">
        <v>6</v>
      </c>
    </row>
    <row r="1136" spans="1:4" x14ac:dyDescent="0.2">
      <c r="A1136" s="7" t="s">
        <v>845</v>
      </c>
      <c r="B1136" t="s">
        <v>835</v>
      </c>
      <c r="C1136" t="s">
        <v>45</v>
      </c>
    </row>
    <row r="1137" spans="1:4" x14ac:dyDescent="0.2">
      <c r="A1137" s="33" t="s">
        <v>1748</v>
      </c>
      <c r="B1137" t="s">
        <v>835</v>
      </c>
      <c r="C1137" t="s">
        <v>45</v>
      </c>
    </row>
    <row r="1138" spans="1:4" x14ac:dyDescent="0.2">
      <c r="A1138" s="8" t="s">
        <v>799</v>
      </c>
      <c r="B1138" t="s">
        <v>796</v>
      </c>
      <c r="C1138" t="s">
        <v>45</v>
      </c>
    </row>
    <row r="1139" spans="1:4" x14ac:dyDescent="0.2">
      <c r="A1139" s="7" t="s">
        <v>734</v>
      </c>
      <c r="B1139" t="s">
        <v>639</v>
      </c>
      <c r="C1139" t="s">
        <v>6</v>
      </c>
      <c r="D1139" t="s">
        <v>643</v>
      </c>
    </row>
    <row r="1140" spans="1:4" x14ac:dyDescent="0.2">
      <c r="A1140" s="33" t="s">
        <v>1507</v>
      </c>
      <c r="B1140" s="22" t="s">
        <v>5</v>
      </c>
      <c r="C1140" s="22" t="s">
        <v>6</v>
      </c>
    </row>
    <row r="1141" spans="1:4" x14ac:dyDescent="0.2">
      <c r="A1141" s="7" t="s">
        <v>819</v>
      </c>
      <c r="B1141" t="s">
        <v>810</v>
      </c>
      <c r="C1141" t="s">
        <v>6</v>
      </c>
      <c r="D1141" t="s">
        <v>20</v>
      </c>
    </row>
    <row r="1142" spans="1:4" x14ac:dyDescent="0.2">
      <c r="A1142" s="7" t="s">
        <v>927</v>
      </c>
      <c r="B1142" t="s">
        <v>901</v>
      </c>
      <c r="C1142" t="s">
        <v>45</v>
      </c>
      <c r="D1142" t="s">
        <v>20</v>
      </c>
    </row>
    <row r="1143" spans="1:4" x14ac:dyDescent="0.2">
      <c r="A1143" s="7" t="s">
        <v>928</v>
      </c>
      <c r="B1143" t="s">
        <v>901</v>
      </c>
      <c r="C1143" t="s">
        <v>45</v>
      </c>
      <c r="D1143" t="s">
        <v>20</v>
      </c>
    </row>
    <row r="1144" spans="1:4" x14ac:dyDescent="0.2">
      <c r="A1144" s="7" t="s">
        <v>929</v>
      </c>
      <c r="B1144" t="s">
        <v>901</v>
      </c>
      <c r="C1144" t="s">
        <v>45</v>
      </c>
      <c r="D1144" t="s">
        <v>20</v>
      </c>
    </row>
    <row r="1145" spans="1:4" x14ac:dyDescent="0.2">
      <c r="A1145" s="8" t="s">
        <v>476</v>
      </c>
      <c r="B1145" t="s">
        <v>469</v>
      </c>
      <c r="C1145" t="s">
        <v>45</v>
      </c>
    </row>
    <row r="1146" spans="1:4" x14ac:dyDescent="0.2">
      <c r="A1146" s="8" t="s">
        <v>477</v>
      </c>
      <c r="B1146" t="s">
        <v>469</v>
      </c>
      <c r="C1146" t="s">
        <v>45</v>
      </c>
    </row>
    <row r="1147" spans="1:4" x14ac:dyDescent="0.2">
      <c r="A1147" s="7" t="s">
        <v>800</v>
      </c>
      <c r="B1147" t="s">
        <v>796</v>
      </c>
      <c r="C1147" t="s">
        <v>45</v>
      </c>
      <c r="D1147" t="s">
        <v>20</v>
      </c>
    </row>
    <row r="1148" spans="1:4" x14ac:dyDescent="0.2">
      <c r="A1148" s="11" t="s">
        <v>784</v>
      </c>
      <c r="B1148" t="s">
        <v>781</v>
      </c>
      <c r="C1148" t="s">
        <v>6</v>
      </c>
    </row>
    <row r="1149" spans="1:4" x14ac:dyDescent="0.2">
      <c r="A1149" s="11" t="s">
        <v>784</v>
      </c>
      <c r="B1149" t="s">
        <v>781</v>
      </c>
      <c r="C1149" t="s">
        <v>6</v>
      </c>
    </row>
    <row r="1150" spans="1:4" x14ac:dyDescent="0.2">
      <c r="A1150" s="11" t="s">
        <v>784</v>
      </c>
      <c r="B1150" t="s">
        <v>781</v>
      </c>
      <c r="C1150" t="s">
        <v>6</v>
      </c>
    </row>
    <row r="1151" spans="1:4" x14ac:dyDescent="0.2">
      <c r="A1151" s="12" t="s">
        <v>784</v>
      </c>
      <c r="B1151" t="s">
        <v>781</v>
      </c>
      <c r="C1151" t="s">
        <v>6</v>
      </c>
    </row>
    <row r="1152" spans="1:4" x14ac:dyDescent="0.2">
      <c r="A1152" s="12" t="s">
        <v>784</v>
      </c>
      <c r="B1152" t="s">
        <v>781</v>
      </c>
      <c r="C1152" t="s">
        <v>6</v>
      </c>
    </row>
    <row r="1153" spans="1:4" x14ac:dyDescent="0.2">
      <c r="A1153" s="8" t="s">
        <v>785</v>
      </c>
      <c r="B1153" t="s">
        <v>781</v>
      </c>
      <c r="C1153" t="s">
        <v>45</v>
      </c>
    </row>
    <row r="1154" spans="1:4" x14ac:dyDescent="0.2">
      <c r="A1154" s="7" t="s">
        <v>786</v>
      </c>
      <c r="B1154" t="s">
        <v>781</v>
      </c>
      <c r="C1154" t="s">
        <v>6</v>
      </c>
    </row>
    <row r="1155" spans="1:4" x14ac:dyDescent="0.2">
      <c r="A1155" s="7" t="s">
        <v>1153</v>
      </c>
      <c r="B1155" t="s">
        <v>1148</v>
      </c>
      <c r="C1155" t="s">
        <v>6</v>
      </c>
    </row>
    <row r="1156" spans="1:4" x14ac:dyDescent="0.2">
      <c r="A1156" s="11" t="s">
        <v>1154</v>
      </c>
      <c r="B1156" t="s">
        <v>1148</v>
      </c>
      <c r="C1156" t="s">
        <v>6</v>
      </c>
    </row>
    <row r="1157" spans="1:4" x14ac:dyDescent="0.2">
      <c r="A1157" s="11" t="s">
        <v>1154</v>
      </c>
      <c r="B1157" t="s">
        <v>1148</v>
      </c>
      <c r="C1157" t="s">
        <v>6</v>
      </c>
    </row>
    <row r="1158" spans="1:4" x14ac:dyDescent="0.2">
      <c r="A1158" s="11" t="s">
        <v>1154</v>
      </c>
      <c r="B1158" s="22" t="s">
        <v>1148</v>
      </c>
      <c r="C1158" s="22" t="s">
        <v>6</v>
      </c>
    </row>
    <row r="1159" spans="1:4" x14ac:dyDescent="0.2">
      <c r="A1159" s="12" t="s">
        <v>1154</v>
      </c>
      <c r="B1159" t="s">
        <v>1148</v>
      </c>
      <c r="C1159" t="s">
        <v>6</v>
      </c>
    </row>
    <row r="1160" spans="1:4" x14ac:dyDescent="0.2">
      <c r="A1160" s="11" t="s">
        <v>1154</v>
      </c>
      <c r="B1160" t="s">
        <v>1148</v>
      </c>
      <c r="C1160" t="s">
        <v>6</v>
      </c>
    </row>
    <row r="1161" spans="1:4" x14ac:dyDescent="0.2">
      <c r="A1161" s="7" t="s">
        <v>1155</v>
      </c>
      <c r="B1161" t="s">
        <v>1148</v>
      </c>
      <c r="C1161" t="s">
        <v>6</v>
      </c>
      <c r="D1161" t="s">
        <v>1149</v>
      </c>
    </row>
    <row r="1162" spans="1:4" x14ac:dyDescent="0.2">
      <c r="A1162" s="8" t="s">
        <v>1215</v>
      </c>
      <c r="B1162" t="s">
        <v>1148</v>
      </c>
      <c r="C1162" t="s">
        <v>6</v>
      </c>
    </row>
    <row r="1163" spans="1:4" x14ac:dyDescent="0.2">
      <c r="A1163" s="7" t="s">
        <v>339</v>
      </c>
      <c r="B1163" t="s">
        <v>165</v>
      </c>
      <c r="C1163" t="s">
        <v>45</v>
      </c>
      <c r="D1163" t="s">
        <v>20</v>
      </c>
    </row>
    <row r="1164" spans="1:4" x14ac:dyDescent="0.2">
      <c r="A1164" s="8" t="s">
        <v>787</v>
      </c>
      <c r="B1164" t="s">
        <v>781</v>
      </c>
      <c r="C1164" t="s">
        <v>45</v>
      </c>
    </row>
    <row r="1165" spans="1:4" x14ac:dyDescent="0.2">
      <c r="A1165" s="7" t="s">
        <v>618</v>
      </c>
      <c r="B1165" t="s">
        <v>600</v>
      </c>
      <c r="C1165" t="s">
        <v>45</v>
      </c>
    </row>
    <row r="1166" spans="1:4" x14ac:dyDescent="0.2">
      <c r="A1166" s="7" t="s">
        <v>735</v>
      </c>
      <c r="B1166" t="s">
        <v>639</v>
      </c>
      <c r="C1166" t="s">
        <v>45</v>
      </c>
    </row>
    <row r="1167" spans="1:4" x14ac:dyDescent="0.2">
      <c r="A1167" s="7" t="s">
        <v>340</v>
      </c>
      <c r="B1167" t="s">
        <v>165</v>
      </c>
      <c r="C1167" t="s">
        <v>45</v>
      </c>
      <c r="D1167" t="s">
        <v>20</v>
      </c>
    </row>
    <row r="1168" spans="1:4" x14ac:dyDescent="0.2">
      <c r="A1168" s="33" t="s">
        <v>1304</v>
      </c>
      <c r="B1168" t="s">
        <v>165</v>
      </c>
      <c r="C1168" t="s">
        <v>45</v>
      </c>
    </row>
    <row r="1169" spans="1:4" x14ac:dyDescent="0.2">
      <c r="A1169" s="33" t="s">
        <v>1637</v>
      </c>
      <c r="B1169" t="s">
        <v>956</v>
      </c>
      <c r="C1169" t="s">
        <v>45</v>
      </c>
    </row>
    <row r="1170" spans="1:4" x14ac:dyDescent="0.2">
      <c r="A1170" s="7" t="s">
        <v>1102</v>
      </c>
      <c r="B1170" t="s">
        <v>956</v>
      </c>
      <c r="C1170" t="s">
        <v>45</v>
      </c>
    </row>
    <row r="1171" spans="1:4" x14ac:dyDescent="0.2">
      <c r="A1171" s="33" t="s">
        <v>1354</v>
      </c>
      <c r="B1171" t="s">
        <v>165</v>
      </c>
      <c r="C1171" t="s">
        <v>45</v>
      </c>
    </row>
    <row r="1172" spans="1:4" x14ac:dyDescent="0.2">
      <c r="A1172" s="7" t="s">
        <v>557</v>
      </c>
      <c r="B1172" t="s">
        <v>514</v>
      </c>
      <c r="C1172" t="s">
        <v>6</v>
      </c>
    </row>
    <row r="1173" spans="1:4" x14ac:dyDescent="0.2">
      <c r="A1173" s="33" t="s">
        <v>1301</v>
      </c>
      <c r="B1173" t="s">
        <v>514</v>
      </c>
      <c r="C1173" t="s">
        <v>6</v>
      </c>
    </row>
    <row r="1174" spans="1:4" x14ac:dyDescent="0.2">
      <c r="A1174" s="7" t="s">
        <v>558</v>
      </c>
      <c r="B1174" t="s">
        <v>514</v>
      </c>
      <c r="C1174" t="s">
        <v>6</v>
      </c>
      <c r="D1174" t="s">
        <v>20</v>
      </c>
    </row>
    <row r="1175" spans="1:4" x14ac:dyDescent="0.2">
      <c r="A1175" s="7" t="s">
        <v>559</v>
      </c>
      <c r="B1175" t="s">
        <v>514</v>
      </c>
      <c r="C1175" t="s">
        <v>6</v>
      </c>
      <c r="D1175" t="s">
        <v>20</v>
      </c>
    </row>
    <row r="1176" spans="1:4" x14ac:dyDescent="0.2">
      <c r="A1176" s="7" t="s">
        <v>560</v>
      </c>
      <c r="B1176" t="s">
        <v>514</v>
      </c>
      <c r="C1176" t="s">
        <v>6</v>
      </c>
    </row>
    <row r="1177" spans="1:4" x14ac:dyDescent="0.2">
      <c r="A1177" s="7" t="s">
        <v>561</v>
      </c>
      <c r="B1177" t="s">
        <v>514</v>
      </c>
      <c r="C1177" t="s">
        <v>6</v>
      </c>
    </row>
    <row r="1178" spans="1:4" x14ac:dyDescent="0.2">
      <c r="A1178" s="7" t="s">
        <v>562</v>
      </c>
      <c r="B1178" t="s">
        <v>514</v>
      </c>
      <c r="C1178" t="s">
        <v>6</v>
      </c>
    </row>
    <row r="1179" spans="1:4" x14ac:dyDescent="0.2">
      <c r="A1179" s="8" t="s">
        <v>1156</v>
      </c>
      <c r="B1179" t="s">
        <v>1148</v>
      </c>
      <c r="C1179" t="s">
        <v>6</v>
      </c>
    </row>
    <row r="1180" spans="1:4" x14ac:dyDescent="0.2">
      <c r="A1180" s="7" t="s">
        <v>1157</v>
      </c>
      <c r="B1180" t="s">
        <v>1148</v>
      </c>
      <c r="C1180" t="s">
        <v>6</v>
      </c>
      <c r="D1180" t="s">
        <v>1149</v>
      </c>
    </row>
    <row r="1181" spans="1:4" x14ac:dyDescent="0.2">
      <c r="A1181" s="8" t="s">
        <v>341</v>
      </c>
      <c r="B1181" t="s">
        <v>165</v>
      </c>
      <c r="C1181" t="s">
        <v>45</v>
      </c>
    </row>
    <row r="1182" spans="1:4" x14ac:dyDescent="0.2">
      <c r="A1182" s="7" t="s">
        <v>342</v>
      </c>
      <c r="B1182" t="s">
        <v>165</v>
      </c>
      <c r="C1182" t="s">
        <v>45</v>
      </c>
    </row>
    <row r="1183" spans="1:4" x14ac:dyDescent="0.2">
      <c r="A1183" s="7" t="s">
        <v>930</v>
      </c>
      <c r="B1183" t="s">
        <v>901</v>
      </c>
      <c r="C1183" t="s">
        <v>45</v>
      </c>
      <c r="D1183" t="s">
        <v>20</v>
      </c>
    </row>
    <row r="1184" spans="1:4" x14ac:dyDescent="0.2">
      <c r="A1184" s="48" t="s">
        <v>1375</v>
      </c>
      <c r="B1184" t="s">
        <v>901</v>
      </c>
      <c r="C1184" t="s">
        <v>45</v>
      </c>
    </row>
    <row r="1185" spans="1:4" x14ac:dyDescent="0.2">
      <c r="A1185" s="7" t="s">
        <v>736</v>
      </c>
      <c r="B1185" t="s">
        <v>639</v>
      </c>
      <c r="C1185" t="s">
        <v>6</v>
      </c>
      <c r="D1185" t="s">
        <v>643</v>
      </c>
    </row>
    <row r="1186" spans="1:4" x14ac:dyDescent="0.2">
      <c r="A1186" s="8" t="s">
        <v>1103</v>
      </c>
      <c r="B1186" t="s">
        <v>956</v>
      </c>
      <c r="C1186" t="s">
        <v>45</v>
      </c>
    </row>
    <row r="1187" spans="1:4" x14ac:dyDescent="0.2">
      <c r="A1187" s="8" t="s">
        <v>343</v>
      </c>
      <c r="B1187" t="s">
        <v>165</v>
      </c>
      <c r="C1187" t="s">
        <v>45</v>
      </c>
    </row>
    <row r="1188" spans="1:4" x14ac:dyDescent="0.2">
      <c r="A1188" s="33" t="s">
        <v>1777</v>
      </c>
      <c r="B1188" t="s">
        <v>956</v>
      </c>
      <c r="C1188" t="s">
        <v>45</v>
      </c>
    </row>
    <row r="1189" spans="1:4" x14ac:dyDescent="0.2">
      <c r="A1189" s="8" t="s">
        <v>1104</v>
      </c>
      <c r="B1189" t="s">
        <v>956</v>
      </c>
      <c r="C1189" t="s">
        <v>45</v>
      </c>
    </row>
    <row r="1190" spans="1:4" x14ac:dyDescent="0.2">
      <c r="A1190" s="7" t="s">
        <v>846</v>
      </c>
      <c r="B1190" t="s">
        <v>835</v>
      </c>
      <c r="C1190" t="s">
        <v>45</v>
      </c>
      <c r="D1190" t="s">
        <v>20</v>
      </c>
    </row>
    <row r="1191" spans="1:4" x14ac:dyDescent="0.2">
      <c r="A1191" s="7" t="s">
        <v>138</v>
      </c>
      <c r="B1191" t="s">
        <v>98</v>
      </c>
      <c r="C1191" t="s">
        <v>45</v>
      </c>
    </row>
    <row r="1192" spans="1:4" x14ac:dyDescent="0.2">
      <c r="A1192" s="7" t="s">
        <v>344</v>
      </c>
      <c r="B1192" t="s">
        <v>165</v>
      </c>
      <c r="C1192" t="s">
        <v>45</v>
      </c>
      <c r="D1192" t="s">
        <v>20</v>
      </c>
    </row>
    <row r="1193" spans="1:4" x14ac:dyDescent="0.2">
      <c r="A1193" s="7" t="s">
        <v>478</v>
      </c>
      <c r="B1193" t="s">
        <v>469</v>
      </c>
      <c r="C1193" t="s">
        <v>45</v>
      </c>
    </row>
    <row r="1194" spans="1:4" x14ac:dyDescent="0.2">
      <c r="A1194" s="8" t="s">
        <v>139</v>
      </c>
      <c r="B1194" t="s">
        <v>98</v>
      </c>
      <c r="C1194" t="s">
        <v>45</v>
      </c>
    </row>
    <row r="1195" spans="1:4" x14ac:dyDescent="0.2">
      <c r="A1195" s="8" t="s">
        <v>140</v>
      </c>
      <c r="B1195" t="s">
        <v>98</v>
      </c>
      <c r="C1195" t="s">
        <v>45</v>
      </c>
    </row>
    <row r="1196" spans="1:4" x14ac:dyDescent="0.2">
      <c r="A1196" s="7" t="s">
        <v>141</v>
      </c>
      <c r="B1196" t="s">
        <v>98</v>
      </c>
      <c r="C1196" t="s">
        <v>6</v>
      </c>
      <c r="D1196" t="s">
        <v>20</v>
      </c>
    </row>
    <row r="1197" spans="1:4" x14ac:dyDescent="0.2">
      <c r="A1197" s="33" t="s">
        <v>1500</v>
      </c>
      <c r="B1197" t="s">
        <v>98</v>
      </c>
      <c r="C1197" t="s">
        <v>6</v>
      </c>
    </row>
    <row r="1198" spans="1:4" x14ac:dyDescent="0.2">
      <c r="A1198" s="7" t="s">
        <v>931</v>
      </c>
      <c r="B1198" t="s">
        <v>901</v>
      </c>
      <c r="C1198" t="s">
        <v>6</v>
      </c>
    </row>
    <row r="1199" spans="1:4" x14ac:dyDescent="0.2">
      <c r="A1199" s="7" t="s">
        <v>932</v>
      </c>
      <c r="B1199" t="s">
        <v>901</v>
      </c>
      <c r="C1199" t="s">
        <v>45</v>
      </c>
      <c r="D1199" t="s">
        <v>20</v>
      </c>
    </row>
    <row r="1200" spans="1:4" x14ac:dyDescent="0.2">
      <c r="A1200" s="33" t="s">
        <v>1350</v>
      </c>
      <c r="B1200" t="s">
        <v>901</v>
      </c>
      <c r="C1200" t="s">
        <v>45</v>
      </c>
    </row>
    <row r="1201" spans="1:4" x14ac:dyDescent="0.2">
      <c r="A1201" s="33" t="s">
        <v>1350</v>
      </c>
      <c r="B1201" t="s">
        <v>901</v>
      </c>
      <c r="C1201" t="s">
        <v>45</v>
      </c>
    </row>
    <row r="1202" spans="1:4" x14ac:dyDescent="0.2">
      <c r="A1202" s="7" t="s">
        <v>345</v>
      </c>
      <c r="B1202" t="s">
        <v>165</v>
      </c>
      <c r="C1202" t="s">
        <v>45</v>
      </c>
      <c r="D1202" t="s">
        <v>20</v>
      </c>
    </row>
    <row r="1203" spans="1:4" x14ac:dyDescent="0.2">
      <c r="A1203" s="15" t="s">
        <v>1105</v>
      </c>
      <c r="B1203" t="s">
        <v>956</v>
      </c>
      <c r="C1203" t="s">
        <v>45</v>
      </c>
    </row>
    <row r="1204" spans="1:4" x14ac:dyDescent="0.2">
      <c r="A1204" s="15" t="s">
        <v>1106</v>
      </c>
      <c r="B1204" t="s">
        <v>956</v>
      </c>
      <c r="C1204" t="s">
        <v>45</v>
      </c>
    </row>
    <row r="1205" spans="1:4" x14ac:dyDescent="0.2">
      <c r="A1205" s="15" t="s">
        <v>1107</v>
      </c>
      <c r="B1205" t="s">
        <v>956</v>
      </c>
      <c r="C1205" t="s">
        <v>45</v>
      </c>
    </row>
    <row r="1206" spans="1:4" x14ac:dyDescent="0.2">
      <c r="A1206" s="3" t="s">
        <v>1216</v>
      </c>
      <c r="B1206" t="s">
        <v>165</v>
      </c>
      <c r="C1206" t="s">
        <v>45</v>
      </c>
    </row>
    <row r="1207" spans="1:4" x14ac:dyDescent="0.2">
      <c r="A1207" t="s">
        <v>346</v>
      </c>
      <c r="B1207" t="s">
        <v>165</v>
      </c>
      <c r="C1207" t="s">
        <v>45</v>
      </c>
    </row>
    <row r="1208" spans="1:4" x14ac:dyDescent="0.2">
      <c r="A1208" t="s">
        <v>347</v>
      </c>
      <c r="B1208" t="s">
        <v>165</v>
      </c>
      <c r="C1208" t="s">
        <v>45</v>
      </c>
      <c r="D1208" t="s">
        <v>20</v>
      </c>
    </row>
    <row r="1209" spans="1:4" x14ac:dyDescent="0.2">
      <c r="A1209" s="28" t="s">
        <v>1443</v>
      </c>
      <c r="B1209" t="s">
        <v>165</v>
      </c>
      <c r="C1209" t="s">
        <v>45</v>
      </c>
    </row>
    <row r="1210" spans="1:4" x14ac:dyDescent="0.2">
      <c r="A1210" s="3" t="s">
        <v>348</v>
      </c>
      <c r="B1210" t="s">
        <v>165</v>
      </c>
      <c r="C1210" t="s">
        <v>45</v>
      </c>
    </row>
    <row r="1211" spans="1:4" x14ac:dyDescent="0.2">
      <c r="A1211" s="3" t="s">
        <v>737</v>
      </c>
      <c r="B1211" t="s">
        <v>639</v>
      </c>
      <c r="C1211" t="s">
        <v>45</v>
      </c>
    </row>
    <row r="1212" spans="1:4" x14ac:dyDescent="0.2">
      <c r="A1212" s="3" t="s">
        <v>1177</v>
      </c>
      <c r="B1212" t="s">
        <v>1170</v>
      </c>
      <c r="C1212" t="s">
        <v>45</v>
      </c>
    </row>
    <row r="1213" spans="1:4" x14ac:dyDescent="0.2">
      <c r="A1213" t="s">
        <v>1178</v>
      </c>
      <c r="B1213" t="s">
        <v>1170</v>
      </c>
      <c r="C1213" t="s">
        <v>45</v>
      </c>
    </row>
    <row r="1214" spans="1:4" x14ac:dyDescent="0.2">
      <c r="A1214" s="28" t="s">
        <v>1472</v>
      </c>
      <c r="B1214" t="s">
        <v>600</v>
      </c>
      <c r="C1214" t="s">
        <v>6</v>
      </c>
    </row>
    <row r="1215" spans="1:4" x14ac:dyDescent="0.2">
      <c r="A1215" s="3" t="s">
        <v>479</v>
      </c>
      <c r="B1215" t="s">
        <v>469</v>
      </c>
      <c r="C1215" t="s">
        <v>6</v>
      </c>
    </row>
    <row r="1216" spans="1:4" x14ac:dyDescent="0.2">
      <c r="A1216" s="10" t="s">
        <v>503</v>
      </c>
      <c r="B1216" s="10" t="s">
        <v>498</v>
      </c>
      <c r="C1216" t="s">
        <v>6</v>
      </c>
      <c r="D1216" t="s">
        <v>20</v>
      </c>
    </row>
    <row r="1217" spans="1:4" x14ac:dyDescent="0.2">
      <c r="A1217" s="3" t="s">
        <v>1217</v>
      </c>
      <c r="B1217" t="s">
        <v>828</v>
      </c>
      <c r="C1217" t="s">
        <v>6</v>
      </c>
    </row>
    <row r="1218" spans="1:4" x14ac:dyDescent="0.2">
      <c r="A1218" s="28" t="s">
        <v>1451</v>
      </c>
      <c r="B1218" t="s">
        <v>956</v>
      </c>
      <c r="C1218" t="s">
        <v>45</v>
      </c>
    </row>
    <row r="1219" spans="1:4" x14ac:dyDescent="0.2">
      <c r="A1219" t="s">
        <v>95</v>
      </c>
      <c r="B1219" t="s">
        <v>87</v>
      </c>
      <c r="C1219" t="s">
        <v>6</v>
      </c>
      <c r="D1219" t="s">
        <v>20</v>
      </c>
    </row>
    <row r="1220" spans="1:4" x14ac:dyDescent="0.2">
      <c r="A1220" t="s">
        <v>95</v>
      </c>
      <c r="B1220" t="s">
        <v>87</v>
      </c>
      <c r="C1220" t="s">
        <v>6</v>
      </c>
      <c r="D1220" s="6" t="s">
        <v>20</v>
      </c>
    </row>
    <row r="1221" spans="1:4" x14ac:dyDescent="0.2">
      <c r="A1221" t="s">
        <v>480</v>
      </c>
      <c r="B1221" t="s">
        <v>469</v>
      </c>
      <c r="C1221" t="s">
        <v>45</v>
      </c>
    </row>
    <row r="1222" spans="1:4" x14ac:dyDescent="0.2">
      <c r="A1222" s="3" t="s">
        <v>563</v>
      </c>
      <c r="B1222" t="s">
        <v>514</v>
      </c>
      <c r="C1222" t="s">
        <v>6</v>
      </c>
    </row>
    <row r="1223" spans="1:4" x14ac:dyDescent="0.2">
      <c r="A1223" t="s">
        <v>564</v>
      </c>
      <c r="B1223" t="s">
        <v>514</v>
      </c>
      <c r="C1223" t="s">
        <v>6</v>
      </c>
      <c r="D1223" t="s">
        <v>20</v>
      </c>
    </row>
    <row r="1224" spans="1:4" x14ac:dyDescent="0.2">
      <c r="A1224" t="s">
        <v>565</v>
      </c>
      <c r="B1224" t="s">
        <v>514</v>
      </c>
      <c r="C1224" t="s">
        <v>6</v>
      </c>
    </row>
    <row r="1225" spans="1:4" x14ac:dyDescent="0.2">
      <c r="A1225" s="28" t="s">
        <v>1635</v>
      </c>
      <c r="B1225" t="s">
        <v>956</v>
      </c>
      <c r="C1225" t="s">
        <v>45</v>
      </c>
    </row>
    <row r="1226" spans="1:4" x14ac:dyDescent="0.2">
      <c r="A1226" s="28" t="s">
        <v>1470</v>
      </c>
      <c r="B1226" t="s">
        <v>514</v>
      </c>
      <c r="C1226" t="s">
        <v>6</v>
      </c>
    </row>
    <row r="1227" spans="1:4" x14ac:dyDescent="0.2">
      <c r="A1227" s="28" t="s">
        <v>1470</v>
      </c>
      <c r="B1227" t="s">
        <v>514</v>
      </c>
      <c r="C1227" t="s">
        <v>6</v>
      </c>
    </row>
    <row r="1228" spans="1:4" x14ac:dyDescent="0.2">
      <c r="A1228" t="s">
        <v>566</v>
      </c>
      <c r="B1228" t="s">
        <v>514</v>
      </c>
      <c r="C1228" t="s">
        <v>6</v>
      </c>
      <c r="D1228" t="s">
        <v>20</v>
      </c>
    </row>
    <row r="1229" spans="1:4" x14ac:dyDescent="0.2">
      <c r="A1229" s="28" t="s">
        <v>1397</v>
      </c>
      <c r="B1229" t="s">
        <v>514</v>
      </c>
      <c r="C1229" t="s">
        <v>6</v>
      </c>
    </row>
    <row r="1230" spans="1:4" x14ac:dyDescent="0.2">
      <c r="A1230" t="s">
        <v>567</v>
      </c>
      <c r="B1230" t="s">
        <v>514</v>
      </c>
      <c r="C1230" t="s">
        <v>6</v>
      </c>
      <c r="D1230" t="s">
        <v>20</v>
      </c>
    </row>
    <row r="1231" spans="1:4" x14ac:dyDescent="0.2">
      <c r="A1231" s="28" t="s">
        <v>1445</v>
      </c>
      <c r="B1231" t="s">
        <v>514</v>
      </c>
      <c r="C1231" t="s">
        <v>6</v>
      </c>
    </row>
    <row r="1232" spans="1:4" x14ac:dyDescent="0.2">
      <c r="A1232" s="28" t="s">
        <v>1457</v>
      </c>
      <c r="B1232" t="s">
        <v>5</v>
      </c>
      <c r="C1232" t="s">
        <v>6</v>
      </c>
    </row>
    <row r="1233" spans="1:4" x14ac:dyDescent="0.2">
      <c r="A1233" t="s">
        <v>41</v>
      </c>
      <c r="B1233" t="s">
        <v>5</v>
      </c>
      <c r="C1233" t="s">
        <v>6</v>
      </c>
      <c r="D1233" t="s">
        <v>7</v>
      </c>
    </row>
    <row r="1234" spans="1:4" x14ac:dyDescent="0.2">
      <c r="A1234" s="28" t="s">
        <v>1305</v>
      </c>
      <c r="B1234" t="s">
        <v>956</v>
      </c>
      <c r="C1234" t="s">
        <v>45</v>
      </c>
    </row>
    <row r="1235" spans="1:4" x14ac:dyDescent="0.2">
      <c r="A1235" s="28" t="s">
        <v>1305</v>
      </c>
      <c r="B1235" t="s">
        <v>956</v>
      </c>
      <c r="C1235" t="s">
        <v>45</v>
      </c>
    </row>
    <row r="1236" spans="1:4" x14ac:dyDescent="0.2">
      <c r="A1236" s="28" t="s">
        <v>1778</v>
      </c>
      <c r="B1236" t="s">
        <v>956</v>
      </c>
      <c r="C1236" t="s">
        <v>45</v>
      </c>
    </row>
    <row r="1237" spans="1:4" x14ac:dyDescent="0.2">
      <c r="A1237" s="3" t="s">
        <v>1108</v>
      </c>
      <c r="B1237" t="s">
        <v>956</v>
      </c>
      <c r="C1237" t="s">
        <v>45</v>
      </c>
    </row>
    <row r="1238" spans="1:4" x14ac:dyDescent="0.2">
      <c r="A1238" s="3" t="s">
        <v>349</v>
      </c>
      <c r="B1238" t="s">
        <v>165</v>
      </c>
      <c r="C1238" t="s">
        <v>45</v>
      </c>
    </row>
    <row r="1239" spans="1:4" x14ac:dyDescent="0.2">
      <c r="A1239" t="s">
        <v>1109</v>
      </c>
      <c r="B1239" t="s">
        <v>956</v>
      </c>
      <c r="C1239" t="s">
        <v>45</v>
      </c>
      <c r="D1239" t="s">
        <v>1015</v>
      </c>
    </row>
    <row r="1240" spans="1:4" x14ac:dyDescent="0.2">
      <c r="A1240" t="s">
        <v>1109</v>
      </c>
      <c r="B1240" t="s">
        <v>956</v>
      </c>
      <c r="C1240" t="s">
        <v>45</v>
      </c>
      <c r="D1240" t="s">
        <v>1015</v>
      </c>
    </row>
    <row r="1241" spans="1:4" x14ac:dyDescent="0.2">
      <c r="A1241" t="s">
        <v>1109</v>
      </c>
      <c r="B1241" t="s">
        <v>956</v>
      </c>
      <c r="C1241" t="s">
        <v>45</v>
      </c>
      <c r="D1241" t="s">
        <v>1015</v>
      </c>
    </row>
    <row r="1242" spans="1:4" x14ac:dyDescent="0.2">
      <c r="A1242" s="3" t="s">
        <v>1110</v>
      </c>
      <c r="B1242" t="s">
        <v>956</v>
      </c>
      <c r="C1242" t="s">
        <v>45</v>
      </c>
    </row>
    <row r="1243" spans="1:4" x14ac:dyDescent="0.2">
      <c r="A1243" s="28" t="s">
        <v>1524</v>
      </c>
      <c r="B1243" t="s">
        <v>956</v>
      </c>
      <c r="C1243" t="s">
        <v>45</v>
      </c>
    </row>
    <row r="1244" spans="1:4" x14ac:dyDescent="0.2">
      <c r="A1244" s="3" t="s">
        <v>1111</v>
      </c>
      <c r="B1244" t="s">
        <v>956</v>
      </c>
      <c r="C1244" t="s">
        <v>45</v>
      </c>
    </row>
    <row r="1245" spans="1:4" x14ac:dyDescent="0.2">
      <c r="A1245" t="s">
        <v>820</v>
      </c>
      <c r="B1245" t="s">
        <v>810</v>
      </c>
      <c r="C1245" t="s">
        <v>6</v>
      </c>
      <c r="D1245" t="s">
        <v>20</v>
      </c>
    </row>
    <row r="1246" spans="1:4" x14ac:dyDescent="0.2">
      <c r="A1246" s="3" t="s">
        <v>481</v>
      </c>
      <c r="B1246" t="s">
        <v>469</v>
      </c>
      <c r="C1246" t="s">
        <v>6</v>
      </c>
    </row>
    <row r="1247" spans="1:4" x14ac:dyDescent="0.2">
      <c r="A1247" s="28" t="s">
        <v>1488</v>
      </c>
      <c r="B1247" t="s">
        <v>828</v>
      </c>
      <c r="C1247" t="s">
        <v>6</v>
      </c>
    </row>
    <row r="1248" spans="1:4" x14ac:dyDescent="0.2">
      <c r="A1248" t="s">
        <v>350</v>
      </c>
      <c r="B1248" t="s">
        <v>165</v>
      </c>
      <c r="C1248" t="s">
        <v>45</v>
      </c>
    </row>
    <row r="1249" spans="1:4" x14ac:dyDescent="0.2">
      <c r="A1249" t="s">
        <v>821</v>
      </c>
      <c r="B1249" t="s">
        <v>810</v>
      </c>
      <c r="C1249" t="s">
        <v>6</v>
      </c>
      <c r="D1249" t="s">
        <v>20</v>
      </c>
    </row>
    <row r="1250" spans="1:4" x14ac:dyDescent="0.2">
      <c r="A1250" t="s">
        <v>822</v>
      </c>
      <c r="B1250" t="s">
        <v>810</v>
      </c>
      <c r="C1250" t="s">
        <v>6</v>
      </c>
      <c r="D1250" t="s">
        <v>20</v>
      </c>
    </row>
    <row r="1251" spans="1:4" x14ac:dyDescent="0.2">
      <c r="A1251" t="s">
        <v>823</v>
      </c>
      <c r="B1251" t="s">
        <v>810</v>
      </c>
      <c r="C1251" t="s">
        <v>6</v>
      </c>
      <c r="D1251" t="s">
        <v>20</v>
      </c>
    </row>
    <row r="1252" spans="1:4" x14ac:dyDescent="0.2">
      <c r="A1252" t="s">
        <v>824</v>
      </c>
      <c r="B1252" t="s">
        <v>810</v>
      </c>
      <c r="C1252" t="s">
        <v>6</v>
      </c>
      <c r="D1252" t="s">
        <v>20</v>
      </c>
    </row>
    <row r="1253" spans="1:4" x14ac:dyDescent="0.2">
      <c r="A1253" s="28" t="s">
        <v>1433</v>
      </c>
      <c r="B1253" t="s">
        <v>5</v>
      </c>
      <c r="C1253" t="s">
        <v>6</v>
      </c>
    </row>
    <row r="1254" spans="1:4" x14ac:dyDescent="0.2">
      <c r="A1254" t="s">
        <v>351</v>
      </c>
      <c r="B1254" t="s">
        <v>165</v>
      </c>
      <c r="C1254" t="s">
        <v>45</v>
      </c>
      <c r="D1254" t="s">
        <v>20</v>
      </c>
    </row>
    <row r="1255" spans="1:4" x14ac:dyDescent="0.2">
      <c r="A1255" t="s">
        <v>81</v>
      </c>
      <c r="B1255" t="s">
        <v>79</v>
      </c>
      <c r="C1255" t="s">
        <v>45</v>
      </c>
    </row>
    <row r="1256" spans="1:4" x14ac:dyDescent="0.2">
      <c r="A1256" s="3" t="s">
        <v>801</v>
      </c>
      <c r="B1256" t="s">
        <v>796</v>
      </c>
      <c r="C1256" t="s">
        <v>45</v>
      </c>
    </row>
    <row r="1257" spans="1:4" x14ac:dyDescent="0.2">
      <c r="A1257" t="s">
        <v>482</v>
      </c>
      <c r="B1257" t="s">
        <v>469</v>
      </c>
      <c r="C1257" t="s">
        <v>45</v>
      </c>
    </row>
    <row r="1258" spans="1:4" x14ac:dyDescent="0.2">
      <c r="A1258" s="3" t="s">
        <v>42</v>
      </c>
      <c r="B1258" t="s">
        <v>5</v>
      </c>
      <c r="C1258" t="s">
        <v>6</v>
      </c>
    </row>
    <row r="1259" spans="1:4" x14ac:dyDescent="0.2">
      <c r="A1259" s="3" t="s">
        <v>43</v>
      </c>
      <c r="B1259" t="s">
        <v>5</v>
      </c>
      <c r="C1259" t="s">
        <v>6</v>
      </c>
    </row>
    <row r="1260" spans="1:4" x14ac:dyDescent="0.2">
      <c r="A1260" s="3" t="s">
        <v>44</v>
      </c>
      <c r="B1260" t="s">
        <v>5</v>
      </c>
      <c r="C1260" t="s">
        <v>45</v>
      </c>
    </row>
    <row r="1261" spans="1:4" x14ac:dyDescent="0.2">
      <c r="A1261" t="s">
        <v>568</v>
      </c>
      <c r="B1261" t="s">
        <v>514</v>
      </c>
      <c r="C1261" t="s">
        <v>45</v>
      </c>
    </row>
    <row r="1262" spans="1:4" x14ac:dyDescent="0.2">
      <c r="A1262" t="s">
        <v>569</v>
      </c>
      <c r="B1262" t="s">
        <v>514</v>
      </c>
      <c r="C1262" t="s">
        <v>45</v>
      </c>
    </row>
    <row r="1263" spans="1:4" x14ac:dyDescent="0.2">
      <c r="A1263" t="s">
        <v>1158</v>
      </c>
      <c r="B1263" t="s">
        <v>1148</v>
      </c>
      <c r="C1263" t="s">
        <v>6</v>
      </c>
    </row>
    <row r="1264" spans="1:4" x14ac:dyDescent="0.2">
      <c r="A1264" t="s">
        <v>897</v>
      </c>
      <c r="B1264" t="s">
        <v>891</v>
      </c>
      <c r="C1264" t="s">
        <v>45</v>
      </c>
      <c r="D1264" t="s">
        <v>898</v>
      </c>
    </row>
    <row r="1265" spans="1:4" x14ac:dyDescent="0.2">
      <c r="A1265" t="s">
        <v>463</v>
      </c>
      <c r="B1265" t="s">
        <v>464</v>
      </c>
      <c r="C1265" t="s">
        <v>6</v>
      </c>
      <c r="D1265" t="s">
        <v>465</v>
      </c>
    </row>
    <row r="1266" spans="1:4" x14ac:dyDescent="0.2">
      <c r="A1266" s="3" t="s">
        <v>1218</v>
      </c>
      <c r="B1266" t="s">
        <v>5</v>
      </c>
      <c r="C1266" t="s">
        <v>6</v>
      </c>
    </row>
    <row r="1267" spans="1:4" x14ac:dyDescent="0.2">
      <c r="A1267" t="s">
        <v>466</v>
      </c>
      <c r="B1267" t="s">
        <v>464</v>
      </c>
      <c r="C1267" t="s">
        <v>6</v>
      </c>
      <c r="D1267" t="s">
        <v>20</v>
      </c>
    </row>
    <row r="1268" spans="1:4" x14ac:dyDescent="0.2">
      <c r="A1268" s="5" t="s">
        <v>1159</v>
      </c>
      <c r="B1268" t="s">
        <v>1148</v>
      </c>
      <c r="C1268" t="s">
        <v>6</v>
      </c>
    </row>
    <row r="1269" spans="1:4" x14ac:dyDescent="0.2">
      <c r="A1269" s="6" t="s">
        <v>1160</v>
      </c>
      <c r="B1269" t="s">
        <v>1148</v>
      </c>
      <c r="C1269" t="s">
        <v>6</v>
      </c>
    </row>
    <row r="1270" spans="1:4" x14ac:dyDescent="0.2">
      <c r="A1270" s="6" t="s">
        <v>1161</v>
      </c>
      <c r="B1270" t="s">
        <v>1148</v>
      </c>
      <c r="C1270" t="s">
        <v>6</v>
      </c>
    </row>
    <row r="1271" spans="1:4" x14ac:dyDescent="0.2">
      <c r="A1271" s="5" t="s">
        <v>1162</v>
      </c>
      <c r="B1271" t="s">
        <v>1148</v>
      </c>
      <c r="C1271" t="s">
        <v>6</v>
      </c>
    </row>
    <row r="1272" spans="1:4" x14ac:dyDescent="0.2">
      <c r="A1272" s="6" t="s">
        <v>1163</v>
      </c>
      <c r="B1272" t="s">
        <v>1148</v>
      </c>
      <c r="C1272" t="s">
        <v>6</v>
      </c>
    </row>
    <row r="1273" spans="1:4" x14ac:dyDescent="0.2">
      <c r="A1273" t="s">
        <v>1112</v>
      </c>
      <c r="B1273" t="s">
        <v>956</v>
      </c>
      <c r="C1273" t="s">
        <v>45</v>
      </c>
    </row>
    <row r="1274" spans="1:4" x14ac:dyDescent="0.2">
      <c r="A1274" s="28" t="s">
        <v>1276</v>
      </c>
      <c r="B1274" t="s">
        <v>956</v>
      </c>
      <c r="C1274" t="s">
        <v>45</v>
      </c>
    </row>
    <row r="1275" spans="1:4" x14ac:dyDescent="0.2">
      <c r="A1275" s="28" t="s">
        <v>1276</v>
      </c>
      <c r="B1275" t="s">
        <v>956</v>
      </c>
      <c r="C1275" t="s">
        <v>45</v>
      </c>
    </row>
    <row r="1276" spans="1:4" x14ac:dyDescent="0.2">
      <c r="A1276" s="28" t="s">
        <v>1276</v>
      </c>
      <c r="B1276" t="s">
        <v>956</v>
      </c>
      <c r="C1276" t="s">
        <v>45</v>
      </c>
    </row>
    <row r="1277" spans="1:4" x14ac:dyDescent="0.2">
      <c r="A1277" s="28" t="s">
        <v>1276</v>
      </c>
      <c r="B1277" t="s">
        <v>956</v>
      </c>
      <c r="C1277" t="s">
        <v>45</v>
      </c>
    </row>
    <row r="1278" spans="1:4" x14ac:dyDescent="0.2">
      <c r="A1278" s="28" t="s">
        <v>1276</v>
      </c>
      <c r="B1278" t="s">
        <v>956</v>
      </c>
      <c r="C1278" t="s">
        <v>45</v>
      </c>
    </row>
    <row r="1279" spans="1:4" x14ac:dyDescent="0.2">
      <c r="A1279" s="28" t="s">
        <v>1276</v>
      </c>
      <c r="B1279" t="s">
        <v>956</v>
      </c>
      <c r="C1279" t="s">
        <v>45</v>
      </c>
    </row>
    <row r="1280" spans="1:4" x14ac:dyDescent="0.2">
      <c r="A1280" s="28" t="s">
        <v>1276</v>
      </c>
      <c r="B1280" t="s">
        <v>956</v>
      </c>
      <c r="C1280" t="s">
        <v>45</v>
      </c>
    </row>
    <row r="1281" spans="1:4" x14ac:dyDescent="0.2">
      <c r="A1281" s="28" t="s">
        <v>1276</v>
      </c>
      <c r="B1281" t="s">
        <v>956</v>
      </c>
      <c r="C1281" t="s">
        <v>45</v>
      </c>
    </row>
    <row r="1282" spans="1:4" x14ac:dyDescent="0.2">
      <c r="A1282" s="3" t="s">
        <v>352</v>
      </c>
      <c r="B1282" t="s">
        <v>165</v>
      </c>
      <c r="C1282" t="s">
        <v>45</v>
      </c>
    </row>
    <row r="1283" spans="1:4" x14ac:dyDescent="0.2">
      <c r="A1283" t="s">
        <v>46</v>
      </c>
      <c r="B1283" t="s">
        <v>5</v>
      </c>
      <c r="C1283" t="s">
        <v>6</v>
      </c>
    </row>
    <row r="1284" spans="1:4" x14ac:dyDescent="0.2">
      <c r="A1284" t="s">
        <v>47</v>
      </c>
      <c r="B1284" t="s">
        <v>5</v>
      </c>
      <c r="C1284" t="s">
        <v>6</v>
      </c>
    </row>
    <row r="1285" spans="1:4" x14ac:dyDescent="0.2">
      <c r="A1285" t="s">
        <v>48</v>
      </c>
      <c r="B1285" t="s">
        <v>5</v>
      </c>
      <c r="C1285" t="s">
        <v>6</v>
      </c>
      <c r="D1285" t="s">
        <v>7</v>
      </c>
    </row>
    <row r="1286" spans="1:4" x14ac:dyDescent="0.2">
      <c r="A1286" s="3" t="s">
        <v>49</v>
      </c>
      <c r="B1286" t="s">
        <v>5</v>
      </c>
      <c r="C1286" t="s">
        <v>6</v>
      </c>
    </row>
    <row r="1287" spans="1:4" x14ac:dyDescent="0.2">
      <c r="A1287" t="s">
        <v>50</v>
      </c>
      <c r="B1287" t="s">
        <v>5</v>
      </c>
      <c r="C1287" t="s">
        <v>6</v>
      </c>
      <c r="D1287" t="s">
        <v>7</v>
      </c>
    </row>
    <row r="1288" spans="1:4" x14ac:dyDescent="0.2">
      <c r="A1288" s="28" t="s">
        <v>1820</v>
      </c>
      <c r="B1288" t="s">
        <v>5</v>
      </c>
      <c r="C1288" t="s">
        <v>6</v>
      </c>
    </row>
    <row r="1289" spans="1:4" x14ac:dyDescent="0.2">
      <c r="A1289" t="s">
        <v>51</v>
      </c>
      <c r="B1289" t="s">
        <v>5</v>
      </c>
      <c r="C1289" t="s">
        <v>6</v>
      </c>
    </row>
    <row r="1290" spans="1:4" x14ac:dyDescent="0.2">
      <c r="A1290" s="28" t="s">
        <v>1691</v>
      </c>
      <c r="B1290" t="s">
        <v>5</v>
      </c>
      <c r="C1290" t="s">
        <v>6</v>
      </c>
    </row>
    <row r="1291" spans="1:4" x14ac:dyDescent="0.2">
      <c r="A1291" s="28" t="s">
        <v>1437</v>
      </c>
      <c r="B1291" t="s">
        <v>5</v>
      </c>
      <c r="C1291" t="s">
        <v>6</v>
      </c>
    </row>
    <row r="1292" spans="1:4" x14ac:dyDescent="0.2">
      <c r="A1292" s="28" t="s">
        <v>1437</v>
      </c>
      <c r="B1292" t="s">
        <v>5</v>
      </c>
      <c r="C1292" t="s">
        <v>6</v>
      </c>
    </row>
    <row r="1293" spans="1:4" x14ac:dyDescent="0.2">
      <c r="A1293" s="28" t="s">
        <v>1437</v>
      </c>
      <c r="B1293" t="s">
        <v>5</v>
      </c>
      <c r="C1293" t="s">
        <v>6</v>
      </c>
    </row>
    <row r="1294" spans="1:4" x14ac:dyDescent="0.2">
      <c r="A1294" s="28" t="s">
        <v>1437</v>
      </c>
      <c r="B1294" s="22" t="s">
        <v>5</v>
      </c>
      <c r="C1294" s="22" t="s">
        <v>6</v>
      </c>
    </row>
    <row r="1295" spans="1:4" x14ac:dyDescent="0.2">
      <c r="A1295" s="28" t="s">
        <v>1302</v>
      </c>
      <c r="B1295" s="22" t="s">
        <v>5</v>
      </c>
      <c r="C1295" s="22" t="s">
        <v>6</v>
      </c>
    </row>
    <row r="1296" spans="1:4" x14ac:dyDescent="0.2">
      <c r="A1296" s="28" t="s">
        <v>1490</v>
      </c>
      <c r="B1296" t="s">
        <v>5</v>
      </c>
      <c r="C1296" t="s">
        <v>6</v>
      </c>
    </row>
    <row r="1297" spans="1:4" x14ac:dyDescent="0.2">
      <c r="A1297" s="28" t="s">
        <v>1394</v>
      </c>
      <c r="B1297" s="22" t="s">
        <v>5</v>
      </c>
      <c r="C1297" s="22" t="s">
        <v>6</v>
      </c>
    </row>
    <row r="1298" spans="1:4" x14ac:dyDescent="0.2">
      <c r="A1298" t="s">
        <v>1113</v>
      </c>
      <c r="B1298" t="s">
        <v>956</v>
      </c>
      <c r="C1298" t="s">
        <v>45</v>
      </c>
    </row>
    <row r="1299" spans="1:4" x14ac:dyDescent="0.2">
      <c r="A1299" s="3" t="s">
        <v>483</v>
      </c>
      <c r="B1299" t="s">
        <v>469</v>
      </c>
      <c r="C1299" t="s">
        <v>45</v>
      </c>
    </row>
    <row r="1300" spans="1:4" x14ac:dyDescent="0.2">
      <c r="A1300" s="3" t="s">
        <v>1114</v>
      </c>
      <c r="B1300" t="s">
        <v>956</v>
      </c>
      <c r="C1300" t="s">
        <v>45</v>
      </c>
    </row>
    <row r="1301" spans="1:4" x14ac:dyDescent="0.2">
      <c r="A1301" s="28" t="s">
        <v>1625</v>
      </c>
      <c r="B1301" t="s">
        <v>956</v>
      </c>
      <c r="C1301" t="s">
        <v>45</v>
      </c>
    </row>
    <row r="1302" spans="1:4" x14ac:dyDescent="0.2">
      <c r="A1302" t="s">
        <v>142</v>
      </c>
      <c r="B1302" t="s">
        <v>98</v>
      </c>
      <c r="C1302" t="s">
        <v>6</v>
      </c>
      <c r="D1302" t="s">
        <v>102</v>
      </c>
    </row>
    <row r="1303" spans="1:4" x14ac:dyDescent="0.2">
      <c r="A1303" s="3" t="s">
        <v>1115</v>
      </c>
      <c r="B1303" t="s">
        <v>956</v>
      </c>
      <c r="C1303" t="s">
        <v>45</v>
      </c>
    </row>
    <row r="1304" spans="1:4" x14ac:dyDescent="0.2">
      <c r="A1304" s="28" t="s">
        <v>1426</v>
      </c>
      <c r="B1304" t="s">
        <v>956</v>
      </c>
      <c r="C1304" t="s">
        <v>45</v>
      </c>
    </row>
    <row r="1305" spans="1:4" x14ac:dyDescent="0.2">
      <c r="A1305" t="s">
        <v>1116</v>
      </c>
      <c r="B1305" t="s">
        <v>956</v>
      </c>
      <c r="C1305" t="s">
        <v>45</v>
      </c>
      <c r="D1305" t="s">
        <v>958</v>
      </c>
    </row>
    <row r="1306" spans="1:4" x14ac:dyDescent="0.2">
      <c r="A1306" t="s">
        <v>1117</v>
      </c>
      <c r="B1306" t="s">
        <v>956</v>
      </c>
      <c r="C1306" t="s">
        <v>45</v>
      </c>
      <c r="D1306" t="s">
        <v>958</v>
      </c>
    </row>
    <row r="1307" spans="1:4" x14ac:dyDescent="0.2">
      <c r="A1307" s="28" t="s">
        <v>1323</v>
      </c>
      <c r="B1307" t="s">
        <v>956</v>
      </c>
      <c r="C1307" t="s">
        <v>45</v>
      </c>
    </row>
    <row r="1308" spans="1:4" x14ac:dyDescent="0.2">
      <c r="A1308" t="s">
        <v>353</v>
      </c>
      <c r="B1308" t="s">
        <v>165</v>
      </c>
      <c r="C1308" t="s">
        <v>45</v>
      </c>
    </row>
    <row r="1309" spans="1:4" x14ac:dyDescent="0.2">
      <c r="A1309" t="s">
        <v>484</v>
      </c>
      <c r="B1309" t="s">
        <v>469</v>
      </c>
      <c r="C1309" t="s">
        <v>45</v>
      </c>
    </row>
    <row r="1310" spans="1:4" x14ac:dyDescent="0.2">
      <c r="A1310" t="s">
        <v>2549</v>
      </c>
    </row>
    <row r="1311" spans="1:4" x14ac:dyDescent="0.2">
      <c r="A1311" t="s">
        <v>485</v>
      </c>
      <c r="B1311" t="s">
        <v>469</v>
      </c>
      <c r="C1311" t="s">
        <v>45</v>
      </c>
    </row>
    <row r="1312" spans="1:4" x14ac:dyDescent="0.2">
      <c r="A1312" t="s">
        <v>570</v>
      </c>
      <c r="B1312" t="s">
        <v>514</v>
      </c>
      <c r="C1312" t="s">
        <v>6</v>
      </c>
    </row>
    <row r="1313" spans="1:4" x14ac:dyDescent="0.2">
      <c r="A1313" t="s">
        <v>571</v>
      </c>
      <c r="B1313" t="s">
        <v>514</v>
      </c>
      <c r="C1313" t="s">
        <v>6</v>
      </c>
      <c r="D1313" t="s">
        <v>20</v>
      </c>
    </row>
    <row r="1314" spans="1:4" x14ac:dyDescent="0.2">
      <c r="A1314" t="s">
        <v>1118</v>
      </c>
      <c r="B1314" s="16" t="s">
        <v>956</v>
      </c>
      <c r="C1314" s="16" t="s">
        <v>45</v>
      </c>
    </row>
    <row r="1315" spans="1:4" x14ac:dyDescent="0.2">
      <c r="A1315" s="65" t="s">
        <v>1257</v>
      </c>
    </row>
    <row r="1316" spans="1:4" x14ac:dyDescent="0.2">
      <c r="A1316" t="s">
        <v>738</v>
      </c>
      <c r="B1316" t="s">
        <v>639</v>
      </c>
      <c r="C1316" t="s">
        <v>6</v>
      </c>
      <c r="D1316" t="s">
        <v>20</v>
      </c>
    </row>
    <row r="1317" spans="1:4" x14ac:dyDescent="0.2">
      <c r="A1317" s="65" t="s">
        <v>1251</v>
      </c>
    </row>
    <row r="1318" spans="1:4" x14ac:dyDescent="0.2">
      <c r="A1318" t="s">
        <v>619</v>
      </c>
      <c r="B1318" t="s">
        <v>600</v>
      </c>
      <c r="C1318" t="s">
        <v>6</v>
      </c>
    </row>
    <row r="1319" spans="1:4" x14ac:dyDescent="0.2">
      <c r="A1319" t="s">
        <v>572</v>
      </c>
      <c r="B1319" t="s">
        <v>514</v>
      </c>
      <c r="C1319" t="s">
        <v>6</v>
      </c>
      <c r="D1319" t="s">
        <v>20</v>
      </c>
    </row>
    <row r="1320" spans="1:4" x14ac:dyDescent="0.2">
      <c r="A1320" s="5" t="s">
        <v>620</v>
      </c>
      <c r="B1320" t="s">
        <v>600</v>
      </c>
      <c r="C1320" t="s">
        <v>6</v>
      </c>
    </row>
    <row r="1321" spans="1:4" x14ac:dyDescent="0.2">
      <c r="A1321" s="6" t="s">
        <v>621</v>
      </c>
      <c r="B1321" t="s">
        <v>600</v>
      </c>
      <c r="C1321" t="s">
        <v>6</v>
      </c>
    </row>
    <row r="1322" spans="1:4" x14ac:dyDescent="0.2">
      <c r="A1322" s="5" t="s">
        <v>622</v>
      </c>
      <c r="B1322" t="s">
        <v>600</v>
      </c>
      <c r="C1322" t="s">
        <v>6</v>
      </c>
    </row>
    <row r="1323" spans="1:4" x14ac:dyDescent="0.2">
      <c r="A1323" s="3" t="s">
        <v>623</v>
      </c>
      <c r="B1323" t="s">
        <v>600</v>
      </c>
      <c r="C1323" t="s">
        <v>6</v>
      </c>
    </row>
    <row r="1324" spans="1:4" x14ac:dyDescent="0.2">
      <c r="A1324" s="6" t="s">
        <v>624</v>
      </c>
      <c r="B1324" t="s">
        <v>600</v>
      </c>
      <c r="C1324" t="s">
        <v>6</v>
      </c>
    </row>
    <row r="1325" spans="1:4" x14ac:dyDescent="0.2">
      <c r="A1325" s="6" t="s">
        <v>625</v>
      </c>
      <c r="B1325" s="22" t="s">
        <v>600</v>
      </c>
      <c r="C1325" s="22" t="s">
        <v>6</v>
      </c>
    </row>
    <row r="1326" spans="1:4" x14ac:dyDescent="0.2">
      <c r="A1326" s="3" t="s">
        <v>626</v>
      </c>
      <c r="B1326" s="22" t="s">
        <v>600</v>
      </c>
      <c r="C1326" s="22" t="s">
        <v>6</v>
      </c>
    </row>
    <row r="1327" spans="1:4" x14ac:dyDescent="0.2">
      <c r="A1327" s="28" t="s">
        <v>1739</v>
      </c>
      <c r="B1327" s="22" t="s">
        <v>956</v>
      </c>
      <c r="C1327" s="22" t="s">
        <v>45</v>
      </c>
    </row>
    <row r="1328" spans="1:4" x14ac:dyDescent="0.2">
      <c r="A1328" t="s">
        <v>1119</v>
      </c>
      <c r="B1328" s="22" t="s">
        <v>956</v>
      </c>
      <c r="C1328" s="22" t="s">
        <v>45</v>
      </c>
    </row>
    <row r="1329" spans="1:4" x14ac:dyDescent="0.2">
      <c r="A1329" t="s">
        <v>1120</v>
      </c>
      <c r="B1329" s="22" t="s">
        <v>956</v>
      </c>
      <c r="C1329" s="22" t="s">
        <v>45</v>
      </c>
      <c r="D1329" t="s">
        <v>1081</v>
      </c>
    </row>
    <row r="1330" spans="1:4" x14ac:dyDescent="0.2">
      <c r="A1330" s="28" t="s">
        <v>1486</v>
      </c>
      <c r="B1330" s="22" t="s">
        <v>593</v>
      </c>
      <c r="C1330" s="22" t="s">
        <v>45</v>
      </c>
    </row>
    <row r="1331" spans="1:4" x14ac:dyDescent="0.2">
      <c r="A1331" t="s">
        <v>627</v>
      </c>
      <c r="B1331" s="22" t="s">
        <v>600</v>
      </c>
      <c r="C1331" s="22" t="s">
        <v>6</v>
      </c>
      <c r="D1331" t="s">
        <v>628</v>
      </c>
    </row>
    <row r="1332" spans="1:4" x14ac:dyDescent="0.2">
      <c r="A1332" t="s">
        <v>739</v>
      </c>
      <c r="B1332" s="22" t="s">
        <v>639</v>
      </c>
      <c r="C1332" s="22" t="s">
        <v>6</v>
      </c>
      <c r="D1332" t="s">
        <v>643</v>
      </c>
    </row>
    <row r="1333" spans="1:4" x14ac:dyDescent="0.2">
      <c r="A1333" t="s">
        <v>573</v>
      </c>
      <c r="B1333" s="22" t="s">
        <v>514</v>
      </c>
      <c r="C1333" s="22" t="s">
        <v>6</v>
      </c>
      <c r="D1333" t="s">
        <v>20</v>
      </c>
    </row>
    <row r="1334" spans="1:4" x14ac:dyDescent="0.2">
      <c r="A1334" t="s">
        <v>740</v>
      </c>
      <c r="B1334" s="22" t="s">
        <v>639</v>
      </c>
      <c r="C1334" s="22" t="s">
        <v>6</v>
      </c>
      <c r="D1334" t="s">
        <v>741</v>
      </c>
    </row>
    <row r="1335" spans="1:4" x14ac:dyDescent="0.2">
      <c r="A1335" t="s">
        <v>143</v>
      </c>
      <c r="B1335" t="s">
        <v>98</v>
      </c>
      <c r="C1335" t="s">
        <v>45</v>
      </c>
      <c r="D1335" t="s">
        <v>102</v>
      </c>
    </row>
    <row r="1336" spans="1:4" x14ac:dyDescent="0.2">
      <c r="A1336" s="66" t="s">
        <v>1202</v>
      </c>
      <c r="B1336" t="s">
        <v>1185</v>
      </c>
    </row>
    <row r="1337" spans="1:4" x14ac:dyDescent="0.2">
      <c r="A1337" s="28" t="s">
        <v>1463</v>
      </c>
      <c r="B1337" t="s">
        <v>469</v>
      </c>
      <c r="C1337" t="s">
        <v>6</v>
      </c>
    </row>
    <row r="1338" spans="1:4" x14ac:dyDescent="0.2">
      <c r="A1338" s="28" t="s">
        <v>1632</v>
      </c>
      <c r="B1338" t="s">
        <v>600</v>
      </c>
      <c r="C1338" t="s">
        <v>6</v>
      </c>
    </row>
    <row r="1339" spans="1:4" x14ac:dyDescent="0.2">
      <c r="A1339" t="s">
        <v>742</v>
      </c>
      <c r="B1339" t="s">
        <v>639</v>
      </c>
      <c r="C1339" t="s">
        <v>45</v>
      </c>
    </row>
    <row r="1340" spans="1:4" x14ac:dyDescent="0.2">
      <c r="A1340" t="s">
        <v>629</v>
      </c>
      <c r="B1340" t="s">
        <v>600</v>
      </c>
      <c r="C1340" t="s">
        <v>6</v>
      </c>
    </row>
    <row r="1341" spans="1:4" x14ac:dyDescent="0.2">
      <c r="A1341" t="s">
        <v>144</v>
      </c>
      <c r="B1341" t="s">
        <v>98</v>
      </c>
      <c r="C1341" t="s">
        <v>45</v>
      </c>
      <c r="D1341" t="s">
        <v>102</v>
      </c>
    </row>
    <row r="1342" spans="1:4" x14ac:dyDescent="0.2">
      <c r="A1342" t="s">
        <v>2483</v>
      </c>
    </row>
    <row r="1343" spans="1:4" x14ac:dyDescent="0.2">
      <c r="A1343" t="s">
        <v>145</v>
      </c>
      <c r="B1343" t="s">
        <v>98</v>
      </c>
      <c r="C1343" t="s">
        <v>45</v>
      </c>
      <c r="D1343" t="s">
        <v>102</v>
      </c>
    </row>
    <row r="1344" spans="1:4" x14ac:dyDescent="0.2">
      <c r="A1344" t="s">
        <v>2467</v>
      </c>
    </row>
    <row r="1345" spans="1:4" x14ac:dyDescent="0.2">
      <c r="A1345" t="s">
        <v>2555</v>
      </c>
    </row>
    <row r="1346" spans="1:4" x14ac:dyDescent="0.2">
      <c r="A1346" t="s">
        <v>486</v>
      </c>
      <c r="B1346" t="s">
        <v>469</v>
      </c>
      <c r="C1346" t="s">
        <v>6</v>
      </c>
    </row>
    <row r="1347" spans="1:4" x14ac:dyDescent="0.2">
      <c r="A1347" s="28" t="s">
        <v>1431</v>
      </c>
      <c r="B1347" t="s">
        <v>469</v>
      </c>
      <c r="C1347" t="s">
        <v>6</v>
      </c>
    </row>
    <row r="1348" spans="1:4" x14ac:dyDescent="0.2">
      <c r="A1348" t="s">
        <v>2468</v>
      </c>
    </row>
    <row r="1349" spans="1:4" x14ac:dyDescent="0.2">
      <c r="A1349" t="s">
        <v>146</v>
      </c>
      <c r="B1349" t="s">
        <v>98</v>
      </c>
      <c r="C1349" t="s">
        <v>45</v>
      </c>
      <c r="D1349" t="s">
        <v>102</v>
      </c>
    </row>
    <row r="1350" spans="1:4" x14ac:dyDescent="0.2">
      <c r="A1350" t="s">
        <v>1121</v>
      </c>
      <c r="B1350" t="s">
        <v>956</v>
      </c>
      <c r="C1350" t="s">
        <v>45</v>
      </c>
      <c r="D1350" t="s">
        <v>958</v>
      </c>
    </row>
    <row r="1351" spans="1:4" x14ac:dyDescent="0.2">
      <c r="A1351" t="s">
        <v>354</v>
      </c>
      <c r="B1351" t="s">
        <v>165</v>
      </c>
      <c r="C1351" t="s">
        <v>45</v>
      </c>
      <c r="D1351" t="s">
        <v>20</v>
      </c>
    </row>
    <row r="1352" spans="1:4" x14ac:dyDescent="0.2">
      <c r="A1352" s="28" t="s">
        <v>1782</v>
      </c>
      <c r="B1352" t="s">
        <v>165</v>
      </c>
      <c r="C1352" t="s">
        <v>45</v>
      </c>
    </row>
    <row r="1353" spans="1:4" x14ac:dyDescent="0.2">
      <c r="A1353" t="s">
        <v>1164</v>
      </c>
      <c r="B1353" t="s">
        <v>1148</v>
      </c>
      <c r="C1353" t="s">
        <v>6</v>
      </c>
    </row>
    <row r="1354" spans="1:4" x14ac:dyDescent="0.2">
      <c r="A1354" s="28" t="s">
        <v>1669</v>
      </c>
      <c r="B1354" t="s">
        <v>1148</v>
      </c>
      <c r="C1354" t="s">
        <v>6</v>
      </c>
    </row>
    <row r="1355" spans="1:4" x14ac:dyDescent="0.2">
      <c r="A1355" t="s">
        <v>1165</v>
      </c>
      <c r="B1355" t="s">
        <v>1148</v>
      </c>
      <c r="C1355" t="s">
        <v>6</v>
      </c>
      <c r="D1355" t="s">
        <v>1166</v>
      </c>
    </row>
    <row r="1356" spans="1:4" x14ac:dyDescent="0.2">
      <c r="A1356" s="56" t="s">
        <v>52</v>
      </c>
      <c r="B1356" t="s">
        <v>5</v>
      </c>
      <c r="C1356" t="s">
        <v>6</v>
      </c>
    </row>
    <row r="1357" spans="1:4" x14ac:dyDescent="0.2">
      <c r="A1357" t="s">
        <v>933</v>
      </c>
      <c r="B1357" t="s">
        <v>901</v>
      </c>
      <c r="C1357" t="s">
        <v>45</v>
      </c>
    </row>
    <row r="1358" spans="1:4" x14ac:dyDescent="0.2">
      <c r="A1358" t="s">
        <v>934</v>
      </c>
      <c r="B1358" t="s">
        <v>901</v>
      </c>
      <c r="C1358" t="s">
        <v>45</v>
      </c>
      <c r="D1358" t="s">
        <v>20</v>
      </c>
    </row>
    <row r="1359" spans="1:4" x14ac:dyDescent="0.2">
      <c r="A1359" s="3" t="s">
        <v>355</v>
      </c>
      <c r="B1359" t="s">
        <v>165</v>
      </c>
      <c r="C1359" t="s">
        <v>45</v>
      </c>
    </row>
    <row r="1360" spans="1:4" x14ac:dyDescent="0.2">
      <c r="A1360" s="3" t="s">
        <v>356</v>
      </c>
      <c r="B1360" t="s">
        <v>165</v>
      </c>
      <c r="C1360" t="s">
        <v>45</v>
      </c>
    </row>
    <row r="1361" spans="1:4" x14ac:dyDescent="0.2">
      <c r="A1361" t="s">
        <v>357</v>
      </c>
      <c r="B1361" t="s">
        <v>165</v>
      </c>
      <c r="C1361" t="s">
        <v>45</v>
      </c>
      <c r="D1361" t="s">
        <v>20</v>
      </c>
    </row>
    <row r="1362" spans="1:4" x14ac:dyDescent="0.2">
      <c r="A1362" t="s">
        <v>358</v>
      </c>
      <c r="B1362" t="s">
        <v>165</v>
      </c>
      <c r="C1362" t="s">
        <v>45</v>
      </c>
      <c r="D1362" t="s">
        <v>20</v>
      </c>
    </row>
    <row r="1363" spans="1:4" x14ac:dyDescent="0.2">
      <c r="A1363" t="s">
        <v>359</v>
      </c>
      <c r="B1363" t="s">
        <v>165</v>
      </c>
      <c r="C1363" t="s">
        <v>45</v>
      </c>
      <c r="D1363" t="s">
        <v>20</v>
      </c>
    </row>
    <row r="1364" spans="1:4" x14ac:dyDescent="0.2">
      <c r="A1364" s="28" t="s">
        <v>1676</v>
      </c>
      <c r="B1364" t="s">
        <v>165</v>
      </c>
      <c r="C1364" t="s">
        <v>45</v>
      </c>
    </row>
    <row r="1365" spans="1:4" x14ac:dyDescent="0.2">
      <c r="A1365" t="s">
        <v>360</v>
      </c>
      <c r="B1365" t="s">
        <v>165</v>
      </c>
      <c r="C1365" t="s">
        <v>45</v>
      </c>
    </row>
    <row r="1366" spans="1:4" x14ac:dyDescent="0.2">
      <c r="A1366" s="3" t="s">
        <v>361</v>
      </c>
      <c r="B1366" t="s">
        <v>165</v>
      </c>
      <c r="C1366" t="s">
        <v>45</v>
      </c>
    </row>
    <row r="1367" spans="1:4" x14ac:dyDescent="0.2">
      <c r="A1367" s="28" t="s">
        <v>1757</v>
      </c>
      <c r="B1367" t="s">
        <v>165</v>
      </c>
      <c r="C1367" t="s">
        <v>45</v>
      </c>
    </row>
    <row r="1368" spans="1:4" x14ac:dyDescent="0.2">
      <c r="A1368" t="s">
        <v>362</v>
      </c>
      <c r="B1368" t="s">
        <v>165</v>
      </c>
      <c r="C1368" t="s">
        <v>45</v>
      </c>
      <c r="D1368" t="s">
        <v>20</v>
      </c>
    </row>
    <row r="1369" spans="1:4" x14ac:dyDescent="0.2">
      <c r="A1369" t="s">
        <v>831</v>
      </c>
      <c r="B1369" t="s">
        <v>828</v>
      </c>
      <c r="C1369" t="s">
        <v>6</v>
      </c>
      <c r="D1369" t="s">
        <v>829</v>
      </c>
    </row>
    <row r="1370" spans="1:4" x14ac:dyDescent="0.2">
      <c r="A1370" t="s">
        <v>363</v>
      </c>
      <c r="B1370" t="s">
        <v>165</v>
      </c>
      <c r="C1370" t="s">
        <v>45</v>
      </c>
      <c r="D1370" t="s">
        <v>20</v>
      </c>
    </row>
    <row r="1371" spans="1:4" x14ac:dyDescent="0.2">
      <c r="A1371" s="3" t="s">
        <v>630</v>
      </c>
      <c r="B1371" t="s">
        <v>600</v>
      </c>
      <c r="C1371" t="s">
        <v>6</v>
      </c>
    </row>
    <row r="1372" spans="1:4" x14ac:dyDescent="0.2">
      <c r="A1372" t="s">
        <v>364</v>
      </c>
      <c r="B1372" t="s">
        <v>165</v>
      </c>
      <c r="C1372" t="s">
        <v>45</v>
      </c>
      <c r="D1372" t="s">
        <v>20</v>
      </c>
    </row>
    <row r="1373" spans="1:4" x14ac:dyDescent="0.2">
      <c r="A1373" s="28" t="s">
        <v>1792</v>
      </c>
      <c r="B1373" t="s">
        <v>1170</v>
      </c>
      <c r="C1373" t="s">
        <v>45</v>
      </c>
    </row>
    <row r="1374" spans="1:4" x14ac:dyDescent="0.2">
      <c r="A1374" t="s">
        <v>365</v>
      </c>
      <c r="B1374" t="s">
        <v>165</v>
      </c>
      <c r="C1374" t="s">
        <v>45</v>
      </c>
      <c r="D1374" t="s">
        <v>20</v>
      </c>
    </row>
    <row r="1375" spans="1:4" x14ac:dyDescent="0.2">
      <c r="A1375" t="s">
        <v>366</v>
      </c>
      <c r="B1375" t="s">
        <v>165</v>
      </c>
      <c r="C1375" t="s">
        <v>45</v>
      </c>
    </row>
    <row r="1376" spans="1:4" x14ac:dyDescent="0.2">
      <c r="A1376" t="s">
        <v>631</v>
      </c>
      <c r="B1376" t="s">
        <v>600</v>
      </c>
      <c r="C1376" t="s">
        <v>6</v>
      </c>
      <c r="D1376" t="s">
        <v>20</v>
      </c>
    </row>
    <row r="1377" spans="1:4" x14ac:dyDescent="0.2">
      <c r="A1377" t="s">
        <v>367</v>
      </c>
      <c r="B1377" t="s">
        <v>165</v>
      </c>
      <c r="C1377" t="s">
        <v>45</v>
      </c>
    </row>
    <row r="1378" spans="1:4" x14ac:dyDescent="0.2">
      <c r="A1378" t="s">
        <v>368</v>
      </c>
      <c r="B1378" t="s">
        <v>165</v>
      </c>
      <c r="C1378" t="s">
        <v>45</v>
      </c>
      <c r="D1378" t="s">
        <v>20</v>
      </c>
    </row>
    <row r="1379" spans="1:4" x14ac:dyDescent="0.2">
      <c r="A1379" t="s">
        <v>368</v>
      </c>
      <c r="B1379" t="s">
        <v>165</v>
      </c>
      <c r="C1379" t="s">
        <v>45</v>
      </c>
      <c r="D1379" t="s">
        <v>20</v>
      </c>
    </row>
    <row r="1380" spans="1:4" x14ac:dyDescent="0.2">
      <c r="A1380" t="s">
        <v>574</v>
      </c>
      <c r="B1380" t="s">
        <v>514</v>
      </c>
      <c r="C1380" t="s">
        <v>6</v>
      </c>
      <c r="D1380" t="s">
        <v>20</v>
      </c>
    </row>
    <row r="1381" spans="1:4" x14ac:dyDescent="0.2">
      <c r="A1381" t="s">
        <v>369</v>
      </c>
      <c r="B1381" t="s">
        <v>165</v>
      </c>
      <c r="C1381" t="s">
        <v>45</v>
      </c>
      <c r="D1381" t="s">
        <v>20</v>
      </c>
    </row>
    <row r="1382" spans="1:4" x14ac:dyDescent="0.2">
      <c r="A1382" t="s">
        <v>370</v>
      </c>
      <c r="B1382" t="s">
        <v>165</v>
      </c>
      <c r="C1382" t="s">
        <v>45</v>
      </c>
      <c r="D1382" t="s">
        <v>20</v>
      </c>
    </row>
    <row r="1383" spans="1:4" x14ac:dyDescent="0.2">
      <c r="A1383" t="s">
        <v>371</v>
      </c>
      <c r="B1383" t="s">
        <v>165</v>
      </c>
      <c r="C1383" t="s">
        <v>45</v>
      </c>
      <c r="D1383" t="s">
        <v>20</v>
      </c>
    </row>
    <row r="1384" spans="1:4" x14ac:dyDescent="0.2">
      <c r="A1384" t="s">
        <v>372</v>
      </c>
      <c r="B1384" t="s">
        <v>165</v>
      </c>
      <c r="C1384" t="s">
        <v>45</v>
      </c>
      <c r="D1384" t="s">
        <v>20</v>
      </c>
    </row>
    <row r="1385" spans="1:4" x14ac:dyDescent="0.2">
      <c r="A1385" s="3" t="s">
        <v>373</v>
      </c>
      <c r="B1385" t="s">
        <v>165</v>
      </c>
      <c r="C1385" t="s">
        <v>45</v>
      </c>
    </row>
    <row r="1386" spans="1:4" x14ac:dyDescent="0.2">
      <c r="A1386" t="s">
        <v>374</v>
      </c>
      <c r="B1386" t="s">
        <v>165</v>
      </c>
      <c r="C1386" t="s">
        <v>45</v>
      </c>
      <c r="D1386" t="s">
        <v>20</v>
      </c>
    </row>
    <row r="1387" spans="1:4" x14ac:dyDescent="0.2">
      <c r="A1387" s="3" t="s">
        <v>375</v>
      </c>
      <c r="B1387" t="s">
        <v>165</v>
      </c>
      <c r="C1387" t="s">
        <v>45</v>
      </c>
    </row>
    <row r="1388" spans="1:4" x14ac:dyDescent="0.2">
      <c r="A1388" s="28" t="s">
        <v>1797</v>
      </c>
      <c r="B1388" t="s">
        <v>98</v>
      </c>
      <c r="C1388" t="s">
        <v>45</v>
      </c>
    </row>
    <row r="1389" spans="1:4" x14ac:dyDescent="0.2">
      <c r="A1389" t="s">
        <v>504</v>
      </c>
      <c r="B1389" t="s">
        <v>498</v>
      </c>
      <c r="C1389" t="s">
        <v>6</v>
      </c>
      <c r="D1389" t="s">
        <v>501</v>
      </c>
    </row>
    <row r="1390" spans="1:4" x14ac:dyDescent="0.2">
      <c r="A1390" t="s">
        <v>376</v>
      </c>
      <c r="B1390" t="s">
        <v>165</v>
      </c>
      <c r="C1390" t="s">
        <v>45</v>
      </c>
      <c r="D1390" t="s">
        <v>202</v>
      </c>
    </row>
    <row r="1391" spans="1:4" x14ac:dyDescent="0.2">
      <c r="A1391" t="s">
        <v>632</v>
      </c>
      <c r="B1391" t="s">
        <v>600</v>
      </c>
      <c r="C1391" t="s">
        <v>6</v>
      </c>
      <c r="D1391" t="s">
        <v>20</v>
      </c>
    </row>
    <row r="1392" spans="1:4" x14ac:dyDescent="0.2">
      <c r="A1392" t="s">
        <v>633</v>
      </c>
      <c r="B1392" t="s">
        <v>600</v>
      </c>
      <c r="C1392" t="s">
        <v>6</v>
      </c>
      <c r="D1392" t="s">
        <v>20</v>
      </c>
    </row>
    <row r="1393" spans="1:4" x14ac:dyDescent="0.2">
      <c r="A1393" t="s">
        <v>377</v>
      </c>
      <c r="B1393" t="s">
        <v>165</v>
      </c>
      <c r="C1393" t="s">
        <v>45</v>
      </c>
      <c r="D1393" t="s">
        <v>20</v>
      </c>
    </row>
    <row r="1394" spans="1:4" x14ac:dyDescent="0.2">
      <c r="A1394" t="s">
        <v>378</v>
      </c>
      <c r="B1394" t="s">
        <v>165</v>
      </c>
      <c r="C1394" t="s">
        <v>45</v>
      </c>
      <c r="D1394" t="s">
        <v>20</v>
      </c>
    </row>
    <row r="1395" spans="1:4" x14ac:dyDescent="0.2">
      <c r="A1395" t="s">
        <v>575</v>
      </c>
      <c r="B1395" t="s">
        <v>514</v>
      </c>
      <c r="C1395" t="s">
        <v>6</v>
      </c>
      <c r="D1395" t="s">
        <v>20</v>
      </c>
    </row>
    <row r="1396" spans="1:4" x14ac:dyDescent="0.2">
      <c r="A1396" t="s">
        <v>379</v>
      </c>
      <c r="B1396" t="s">
        <v>165</v>
      </c>
      <c r="C1396" t="s">
        <v>45</v>
      </c>
      <c r="D1396" t="s">
        <v>20</v>
      </c>
    </row>
    <row r="1397" spans="1:4" x14ac:dyDescent="0.2">
      <c r="A1397" t="s">
        <v>380</v>
      </c>
      <c r="B1397" t="s">
        <v>165</v>
      </c>
      <c r="C1397" t="s">
        <v>45</v>
      </c>
      <c r="D1397" t="s">
        <v>20</v>
      </c>
    </row>
    <row r="1398" spans="1:4" x14ac:dyDescent="0.2">
      <c r="A1398" t="s">
        <v>381</v>
      </c>
      <c r="B1398" t="s">
        <v>165</v>
      </c>
      <c r="C1398" t="s">
        <v>45</v>
      </c>
      <c r="D1398" t="s">
        <v>20</v>
      </c>
    </row>
    <row r="1399" spans="1:4" x14ac:dyDescent="0.2">
      <c r="A1399" t="s">
        <v>382</v>
      </c>
      <c r="B1399" t="s">
        <v>165</v>
      </c>
      <c r="C1399" t="s">
        <v>45</v>
      </c>
      <c r="D1399" t="s">
        <v>20</v>
      </c>
    </row>
    <row r="1400" spans="1:4" x14ac:dyDescent="0.2">
      <c r="A1400" t="s">
        <v>383</v>
      </c>
      <c r="B1400" t="s">
        <v>165</v>
      </c>
      <c r="C1400" t="s">
        <v>45</v>
      </c>
    </row>
    <row r="1401" spans="1:4" x14ac:dyDescent="0.2">
      <c r="A1401" t="s">
        <v>384</v>
      </c>
      <c r="B1401" t="s">
        <v>165</v>
      </c>
      <c r="C1401" t="s">
        <v>45</v>
      </c>
      <c r="D1401" t="s">
        <v>20</v>
      </c>
    </row>
    <row r="1402" spans="1:4" x14ac:dyDescent="0.2">
      <c r="A1402" t="s">
        <v>385</v>
      </c>
      <c r="B1402" t="s">
        <v>165</v>
      </c>
      <c r="C1402" t="s">
        <v>45</v>
      </c>
    </row>
    <row r="1403" spans="1:4" x14ac:dyDescent="0.2">
      <c r="A1403" t="s">
        <v>386</v>
      </c>
      <c r="B1403" t="s">
        <v>165</v>
      </c>
      <c r="C1403" t="s">
        <v>45</v>
      </c>
    </row>
    <row r="1404" spans="1:4" x14ac:dyDescent="0.2">
      <c r="A1404" t="s">
        <v>832</v>
      </c>
      <c r="B1404" t="s">
        <v>828</v>
      </c>
      <c r="C1404" t="s">
        <v>6</v>
      </c>
      <c r="D1404" t="s">
        <v>829</v>
      </c>
    </row>
    <row r="1405" spans="1:4" x14ac:dyDescent="0.2">
      <c r="A1405" t="s">
        <v>387</v>
      </c>
      <c r="B1405" t="s">
        <v>165</v>
      </c>
      <c r="C1405" t="s">
        <v>45</v>
      </c>
      <c r="D1405" t="s">
        <v>20</v>
      </c>
    </row>
    <row r="1406" spans="1:4" x14ac:dyDescent="0.2">
      <c r="A1406" t="s">
        <v>388</v>
      </c>
      <c r="B1406" t="s">
        <v>165</v>
      </c>
      <c r="C1406" t="s">
        <v>45</v>
      </c>
      <c r="D1406" t="s">
        <v>20</v>
      </c>
    </row>
    <row r="1407" spans="1:4" x14ac:dyDescent="0.2">
      <c r="A1407" t="s">
        <v>576</v>
      </c>
      <c r="B1407" t="s">
        <v>514</v>
      </c>
      <c r="C1407" t="s">
        <v>6</v>
      </c>
      <c r="D1407" t="s">
        <v>20</v>
      </c>
    </row>
    <row r="1408" spans="1:4" x14ac:dyDescent="0.2">
      <c r="A1408" t="s">
        <v>389</v>
      </c>
      <c r="B1408" t="s">
        <v>165</v>
      </c>
      <c r="C1408" t="s">
        <v>45</v>
      </c>
      <c r="D1408" t="s">
        <v>20</v>
      </c>
    </row>
    <row r="1409" spans="1:4" x14ac:dyDescent="0.2">
      <c r="A1409" s="28" t="s">
        <v>1809</v>
      </c>
      <c r="B1409" t="s">
        <v>956</v>
      </c>
      <c r="C1409" t="s">
        <v>45</v>
      </c>
    </row>
    <row r="1410" spans="1:4" x14ac:dyDescent="0.2">
      <c r="A1410" s="28" t="s">
        <v>1818</v>
      </c>
      <c r="B1410" t="s">
        <v>956</v>
      </c>
      <c r="C1410" t="s">
        <v>45</v>
      </c>
    </row>
    <row r="1411" spans="1:4" x14ac:dyDescent="0.2">
      <c r="A1411" t="s">
        <v>1122</v>
      </c>
      <c r="B1411" t="s">
        <v>956</v>
      </c>
      <c r="C1411" t="s">
        <v>6</v>
      </c>
      <c r="D1411" t="s">
        <v>1123</v>
      </c>
    </row>
    <row r="1412" spans="1:4" x14ac:dyDescent="0.2">
      <c r="A1412" t="s">
        <v>882</v>
      </c>
      <c r="B1412" t="s">
        <v>858</v>
      </c>
      <c r="C1412" t="s">
        <v>45</v>
      </c>
    </row>
    <row r="1413" spans="1:4" x14ac:dyDescent="0.2">
      <c r="A1413" s="3" t="s">
        <v>883</v>
      </c>
      <c r="B1413" t="s">
        <v>858</v>
      </c>
      <c r="C1413" t="s">
        <v>45</v>
      </c>
    </row>
    <row r="1414" spans="1:4" x14ac:dyDescent="0.2">
      <c r="A1414" t="s">
        <v>884</v>
      </c>
      <c r="B1414" t="s">
        <v>858</v>
      </c>
      <c r="C1414" t="s">
        <v>45</v>
      </c>
    </row>
    <row r="1415" spans="1:4" x14ac:dyDescent="0.2">
      <c r="A1415" s="3" t="s">
        <v>885</v>
      </c>
      <c r="B1415" t="s">
        <v>858</v>
      </c>
      <c r="C1415" t="s">
        <v>45</v>
      </c>
    </row>
    <row r="1416" spans="1:4" x14ac:dyDescent="0.2">
      <c r="A1416" s="3" t="s">
        <v>886</v>
      </c>
      <c r="B1416" t="s">
        <v>858</v>
      </c>
      <c r="C1416" t="s">
        <v>45</v>
      </c>
    </row>
    <row r="1417" spans="1:4" x14ac:dyDescent="0.2">
      <c r="A1417" s="3" t="s">
        <v>887</v>
      </c>
      <c r="B1417" t="s">
        <v>858</v>
      </c>
      <c r="C1417" t="s">
        <v>45</v>
      </c>
    </row>
    <row r="1418" spans="1:4" x14ac:dyDescent="0.2">
      <c r="A1418" t="s">
        <v>2472</v>
      </c>
    </row>
    <row r="1419" spans="1:4" x14ac:dyDescent="0.2">
      <c r="A1419" t="s">
        <v>2554</v>
      </c>
    </row>
    <row r="1420" spans="1:4" x14ac:dyDescent="0.2">
      <c r="A1420" t="s">
        <v>2541</v>
      </c>
    </row>
    <row r="1421" spans="1:4" x14ac:dyDescent="0.2">
      <c r="A1421" s="28" t="s">
        <v>1346</v>
      </c>
      <c r="B1421" t="s">
        <v>469</v>
      </c>
      <c r="C1421" t="s">
        <v>45</v>
      </c>
    </row>
    <row r="1422" spans="1:4" x14ac:dyDescent="0.2">
      <c r="A1422" s="28" t="s">
        <v>1498</v>
      </c>
      <c r="B1422" t="s">
        <v>5</v>
      </c>
      <c r="C1422" t="s">
        <v>6</v>
      </c>
    </row>
    <row r="1423" spans="1:4" x14ac:dyDescent="0.2">
      <c r="A1423" t="s">
        <v>487</v>
      </c>
      <c r="B1423" t="s">
        <v>469</v>
      </c>
      <c r="C1423" t="s">
        <v>56</v>
      </c>
    </row>
    <row r="1424" spans="1:4" x14ac:dyDescent="0.2">
      <c r="A1424" s="3" t="s">
        <v>390</v>
      </c>
      <c r="B1424" t="s">
        <v>165</v>
      </c>
      <c r="C1424" t="s">
        <v>45</v>
      </c>
    </row>
    <row r="1425" spans="1:4" x14ac:dyDescent="0.2">
      <c r="A1425" t="s">
        <v>391</v>
      </c>
      <c r="B1425" t="s">
        <v>165</v>
      </c>
      <c r="C1425" t="s">
        <v>45</v>
      </c>
      <c r="D1425" t="s">
        <v>20</v>
      </c>
    </row>
    <row r="1426" spans="1:4" x14ac:dyDescent="0.2">
      <c r="A1426" t="s">
        <v>392</v>
      </c>
      <c r="B1426" t="s">
        <v>165</v>
      </c>
      <c r="C1426" t="s">
        <v>45</v>
      </c>
      <c r="D1426" t="s">
        <v>20</v>
      </c>
    </row>
    <row r="1427" spans="1:4" x14ac:dyDescent="0.2">
      <c r="A1427" s="28" t="s">
        <v>1290</v>
      </c>
      <c r="B1427" t="s">
        <v>956</v>
      </c>
      <c r="C1427" t="s">
        <v>45</v>
      </c>
    </row>
    <row r="1428" spans="1:4" x14ac:dyDescent="0.2">
      <c r="A1428" t="s">
        <v>393</v>
      </c>
      <c r="B1428" t="s">
        <v>165</v>
      </c>
      <c r="C1428" t="s">
        <v>45</v>
      </c>
    </row>
    <row r="1429" spans="1:4" x14ac:dyDescent="0.2">
      <c r="A1429" t="s">
        <v>394</v>
      </c>
      <c r="B1429" t="s">
        <v>165</v>
      </c>
      <c r="C1429" t="s">
        <v>45</v>
      </c>
      <c r="D1429" t="s">
        <v>20</v>
      </c>
    </row>
    <row r="1430" spans="1:4" x14ac:dyDescent="0.2">
      <c r="A1430" t="s">
        <v>395</v>
      </c>
      <c r="B1430" t="s">
        <v>165</v>
      </c>
      <c r="C1430" t="s">
        <v>45</v>
      </c>
      <c r="D1430" t="s">
        <v>20</v>
      </c>
    </row>
    <row r="1431" spans="1:4" x14ac:dyDescent="0.2">
      <c r="A1431" t="s">
        <v>396</v>
      </c>
      <c r="B1431" t="s">
        <v>165</v>
      </c>
      <c r="C1431" t="s">
        <v>45</v>
      </c>
      <c r="D1431" t="s">
        <v>20</v>
      </c>
    </row>
    <row r="1432" spans="1:4" x14ac:dyDescent="0.2">
      <c r="A1432" t="s">
        <v>397</v>
      </c>
      <c r="B1432" t="s">
        <v>165</v>
      </c>
      <c r="C1432" t="s">
        <v>45</v>
      </c>
    </row>
    <row r="1433" spans="1:4" x14ac:dyDescent="0.2">
      <c r="A1433" t="s">
        <v>398</v>
      </c>
      <c r="B1433" t="s">
        <v>165</v>
      </c>
      <c r="C1433" t="s">
        <v>45</v>
      </c>
      <c r="D1433" t="s">
        <v>20</v>
      </c>
    </row>
    <row r="1434" spans="1:4" x14ac:dyDescent="0.2">
      <c r="A1434" t="s">
        <v>399</v>
      </c>
      <c r="B1434" t="s">
        <v>165</v>
      </c>
      <c r="C1434" t="s">
        <v>45</v>
      </c>
      <c r="D1434" t="s">
        <v>20</v>
      </c>
    </row>
    <row r="1435" spans="1:4" x14ac:dyDescent="0.2">
      <c r="A1435" t="s">
        <v>488</v>
      </c>
      <c r="B1435" t="s">
        <v>469</v>
      </c>
      <c r="C1435" t="s">
        <v>56</v>
      </c>
    </row>
    <row r="1436" spans="1:4" x14ac:dyDescent="0.2">
      <c r="A1436" t="s">
        <v>1179</v>
      </c>
      <c r="B1436" t="s">
        <v>1170</v>
      </c>
      <c r="C1436" t="s">
        <v>45</v>
      </c>
    </row>
    <row r="1437" spans="1:4" x14ac:dyDescent="0.2">
      <c r="A1437" s="28" t="s">
        <v>1597</v>
      </c>
      <c r="B1437" t="s">
        <v>1170</v>
      </c>
      <c r="C1437" t="s">
        <v>45</v>
      </c>
    </row>
    <row r="1438" spans="1:4" x14ac:dyDescent="0.2">
      <c r="A1438" t="s">
        <v>1180</v>
      </c>
      <c r="B1438" t="s">
        <v>1170</v>
      </c>
      <c r="C1438" t="s">
        <v>45</v>
      </c>
    </row>
    <row r="1439" spans="1:4" x14ac:dyDescent="0.2">
      <c r="A1439" t="s">
        <v>888</v>
      </c>
      <c r="B1439" t="s">
        <v>858</v>
      </c>
      <c r="C1439" t="s">
        <v>45</v>
      </c>
    </row>
    <row r="1440" spans="1:4" x14ac:dyDescent="0.2">
      <c r="A1440" s="28" t="s">
        <v>1484</v>
      </c>
      <c r="B1440" s="16" t="s">
        <v>165</v>
      </c>
      <c r="C1440" s="16" t="s">
        <v>45</v>
      </c>
    </row>
    <row r="1441" spans="1:4" x14ac:dyDescent="0.2">
      <c r="A1441" t="s">
        <v>743</v>
      </c>
      <c r="B1441" t="s">
        <v>639</v>
      </c>
      <c r="C1441" t="s">
        <v>6</v>
      </c>
    </row>
    <row r="1442" spans="1:4" x14ac:dyDescent="0.2">
      <c r="A1442" t="s">
        <v>744</v>
      </c>
      <c r="B1442" t="s">
        <v>639</v>
      </c>
      <c r="C1442" t="s">
        <v>6</v>
      </c>
    </row>
    <row r="1443" spans="1:4" x14ac:dyDescent="0.2">
      <c r="A1443" s="28" t="s">
        <v>1842</v>
      </c>
      <c r="B1443" t="s">
        <v>639</v>
      </c>
      <c r="C1443" t="s">
        <v>6</v>
      </c>
    </row>
    <row r="1444" spans="1:4" x14ac:dyDescent="0.2">
      <c r="A1444" s="28" t="s">
        <v>1299</v>
      </c>
      <c r="B1444" t="s">
        <v>469</v>
      </c>
      <c r="C1444" t="s">
        <v>45</v>
      </c>
    </row>
    <row r="1445" spans="1:4" x14ac:dyDescent="0.2">
      <c r="A1445" t="s">
        <v>400</v>
      </c>
      <c r="B1445" t="s">
        <v>165</v>
      </c>
      <c r="C1445" t="s">
        <v>45</v>
      </c>
    </row>
    <row r="1446" spans="1:4" x14ac:dyDescent="0.2">
      <c r="A1446" t="s">
        <v>401</v>
      </c>
      <c r="B1446" t="s">
        <v>165</v>
      </c>
      <c r="C1446" t="s">
        <v>45</v>
      </c>
      <c r="D1446" t="s">
        <v>20</v>
      </c>
    </row>
    <row r="1447" spans="1:4" x14ac:dyDescent="0.2">
      <c r="A1447" s="28" t="s">
        <v>1483</v>
      </c>
      <c r="B1447" s="22" t="s">
        <v>165</v>
      </c>
      <c r="C1447" s="22" t="s">
        <v>45</v>
      </c>
    </row>
    <row r="1448" spans="1:4" x14ac:dyDescent="0.2">
      <c r="A1448" s="3" t="s">
        <v>402</v>
      </c>
      <c r="B1448" t="s">
        <v>165</v>
      </c>
      <c r="C1448" t="s">
        <v>45</v>
      </c>
    </row>
    <row r="1449" spans="1:4" x14ac:dyDescent="0.2">
      <c r="A1449" s="28" t="s">
        <v>1291</v>
      </c>
      <c r="B1449" t="s">
        <v>956</v>
      </c>
      <c r="C1449" t="s">
        <v>45</v>
      </c>
    </row>
    <row r="1450" spans="1:4" x14ac:dyDescent="0.2">
      <c r="A1450" s="28" t="s">
        <v>1291</v>
      </c>
      <c r="B1450" t="s">
        <v>956</v>
      </c>
      <c r="C1450" t="s">
        <v>45</v>
      </c>
    </row>
    <row r="1451" spans="1:4" x14ac:dyDescent="0.2">
      <c r="A1451" t="s">
        <v>505</v>
      </c>
      <c r="B1451" t="s">
        <v>498</v>
      </c>
      <c r="C1451" t="s">
        <v>6</v>
      </c>
      <c r="D1451" t="s">
        <v>20</v>
      </c>
    </row>
    <row r="1452" spans="1:4" x14ac:dyDescent="0.2">
      <c r="A1452" t="s">
        <v>403</v>
      </c>
      <c r="B1452" t="s">
        <v>165</v>
      </c>
      <c r="C1452" t="s">
        <v>45</v>
      </c>
      <c r="D1452" t="s">
        <v>20</v>
      </c>
    </row>
    <row r="1453" spans="1:4" x14ac:dyDescent="0.2">
      <c r="A1453" s="28" t="s">
        <v>1508</v>
      </c>
      <c r="B1453" t="s">
        <v>469</v>
      </c>
      <c r="C1453" t="s">
        <v>6</v>
      </c>
    </row>
    <row r="1454" spans="1:4" x14ac:dyDescent="0.2">
      <c r="A1454" s="28" t="s">
        <v>1509</v>
      </c>
      <c r="B1454" t="s">
        <v>469</v>
      </c>
      <c r="C1454" t="s">
        <v>6</v>
      </c>
    </row>
    <row r="1455" spans="1:4" x14ac:dyDescent="0.2">
      <c r="A1455" s="28" t="s">
        <v>1509</v>
      </c>
      <c r="B1455" t="s">
        <v>469</v>
      </c>
      <c r="C1455" t="s">
        <v>6</v>
      </c>
    </row>
    <row r="1456" spans="1:4" x14ac:dyDescent="0.2">
      <c r="A1456" t="s">
        <v>404</v>
      </c>
      <c r="B1456" t="s">
        <v>165</v>
      </c>
      <c r="C1456" t="s">
        <v>45</v>
      </c>
    </row>
    <row r="1457" spans="1:4" x14ac:dyDescent="0.2">
      <c r="A1457" s="3" t="s">
        <v>1124</v>
      </c>
      <c r="B1457" t="s">
        <v>956</v>
      </c>
      <c r="C1457" t="s">
        <v>45</v>
      </c>
    </row>
    <row r="1458" spans="1:4" x14ac:dyDescent="0.2">
      <c r="A1458" s="56" t="s">
        <v>577</v>
      </c>
      <c r="B1458" t="s">
        <v>514</v>
      </c>
      <c r="C1458" t="s">
        <v>6</v>
      </c>
    </row>
    <row r="1459" spans="1:4" x14ac:dyDescent="0.2">
      <c r="A1459" s="28" t="s">
        <v>1736</v>
      </c>
      <c r="B1459" t="s">
        <v>5</v>
      </c>
      <c r="C1459" t="s">
        <v>6</v>
      </c>
    </row>
    <row r="1460" spans="1:4" x14ac:dyDescent="0.2">
      <c r="A1460" t="s">
        <v>53</v>
      </c>
      <c r="B1460" t="s">
        <v>5</v>
      </c>
      <c r="C1460" t="s">
        <v>6</v>
      </c>
    </row>
    <row r="1461" spans="1:4" x14ac:dyDescent="0.2">
      <c r="A1461" s="3" t="s">
        <v>1125</v>
      </c>
      <c r="B1461" s="16" t="s">
        <v>956</v>
      </c>
      <c r="C1461" s="16" t="s">
        <v>45</v>
      </c>
    </row>
    <row r="1462" spans="1:4" x14ac:dyDescent="0.2">
      <c r="A1462" t="s">
        <v>745</v>
      </c>
      <c r="B1462" t="s">
        <v>639</v>
      </c>
      <c r="C1462" t="s">
        <v>6</v>
      </c>
      <c r="D1462" t="s">
        <v>643</v>
      </c>
    </row>
    <row r="1463" spans="1:4" x14ac:dyDescent="0.2">
      <c r="A1463" t="s">
        <v>746</v>
      </c>
      <c r="B1463" t="s">
        <v>639</v>
      </c>
      <c r="C1463" t="s">
        <v>6</v>
      </c>
      <c r="D1463" t="s">
        <v>20</v>
      </c>
    </row>
    <row r="1464" spans="1:4" x14ac:dyDescent="0.2">
      <c r="A1464" t="s">
        <v>405</v>
      </c>
      <c r="B1464" t="s">
        <v>165</v>
      </c>
      <c r="C1464" t="s">
        <v>45</v>
      </c>
      <c r="D1464" t="s">
        <v>20</v>
      </c>
    </row>
    <row r="1465" spans="1:4" x14ac:dyDescent="0.2">
      <c r="A1465" s="3" t="s">
        <v>406</v>
      </c>
      <c r="B1465" t="s">
        <v>165</v>
      </c>
      <c r="C1465" t="s">
        <v>45</v>
      </c>
    </row>
    <row r="1466" spans="1:4" x14ac:dyDescent="0.2">
      <c r="A1466" t="s">
        <v>889</v>
      </c>
      <c r="B1466" t="s">
        <v>858</v>
      </c>
      <c r="C1466" t="s">
        <v>45</v>
      </c>
    </row>
    <row r="1467" spans="1:4" x14ac:dyDescent="0.2">
      <c r="A1467" s="3" t="s">
        <v>1167</v>
      </c>
      <c r="B1467" t="s">
        <v>1148</v>
      </c>
      <c r="C1467" t="s">
        <v>6</v>
      </c>
    </row>
    <row r="1468" spans="1:4" x14ac:dyDescent="0.2">
      <c r="A1468" t="s">
        <v>1168</v>
      </c>
      <c r="B1468" t="s">
        <v>1148</v>
      </c>
      <c r="C1468" t="s">
        <v>6</v>
      </c>
    </row>
    <row r="1469" spans="1:4" x14ac:dyDescent="0.2">
      <c r="A1469" s="28" t="s">
        <v>1460</v>
      </c>
      <c r="B1469" t="s">
        <v>165</v>
      </c>
      <c r="C1469" t="s">
        <v>45</v>
      </c>
    </row>
    <row r="1470" spans="1:4" x14ac:dyDescent="0.2">
      <c r="A1470" t="s">
        <v>407</v>
      </c>
      <c r="B1470" t="s">
        <v>165</v>
      </c>
      <c r="C1470" t="s">
        <v>45</v>
      </c>
    </row>
    <row r="1471" spans="1:4" x14ac:dyDescent="0.2">
      <c r="A1471" t="s">
        <v>747</v>
      </c>
      <c r="B1471" t="s">
        <v>639</v>
      </c>
      <c r="C1471" t="s">
        <v>6</v>
      </c>
    </row>
    <row r="1472" spans="1:4" x14ac:dyDescent="0.2">
      <c r="A1472" s="3" t="s">
        <v>748</v>
      </c>
      <c r="B1472" t="s">
        <v>639</v>
      </c>
      <c r="C1472" t="s">
        <v>6</v>
      </c>
    </row>
    <row r="1473" spans="1:4" x14ac:dyDescent="0.2">
      <c r="A1473" t="s">
        <v>408</v>
      </c>
      <c r="B1473" t="s">
        <v>165</v>
      </c>
      <c r="C1473" t="s">
        <v>45</v>
      </c>
    </row>
    <row r="1474" spans="1:4" x14ac:dyDescent="0.2">
      <c r="A1474" t="s">
        <v>578</v>
      </c>
      <c r="B1474" t="s">
        <v>514</v>
      </c>
      <c r="C1474" t="s">
        <v>45</v>
      </c>
    </row>
    <row r="1475" spans="1:4" x14ac:dyDescent="0.2">
      <c r="A1475" s="3" t="s">
        <v>1126</v>
      </c>
      <c r="B1475" s="16" t="s">
        <v>956</v>
      </c>
      <c r="C1475" s="16" t="s">
        <v>45</v>
      </c>
    </row>
    <row r="1476" spans="1:4" x14ac:dyDescent="0.2">
      <c r="A1476" t="s">
        <v>1127</v>
      </c>
      <c r="B1476" t="s">
        <v>956</v>
      </c>
      <c r="C1476" t="s">
        <v>45</v>
      </c>
    </row>
    <row r="1477" spans="1:4" x14ac:dyDescent="0.2">
      <c r="A1477" s="28" t="s">
        <v>1823</v>
      </c>
      <c r="B1477" t="s">
        <v>956</v>
      </c>
      <c r="C1477" t="s">
        <v>45</v>
      </c>
    </row>
    <row r="1478" spans="1:4" x14ac:dyDescent="0.2">
      <c r="A1478" t="s">
        <v>1128</v>
      </c>
      <c r="B1478" t="s">
        <v>956</v>
      </c>
      <c r="C1478" t="s">
        <v>45</v>
      </c>
    </row>
    <row r="1479" spans="1:4" x14ac:dyDescent="0.2">
      <c r="A1479" t="s">
        <v>899</v>
      </c>
      <c r="B1479" t="s">
        <v>891</v>
      </c>
      <c r="C1479" t="s">
        <v>45</v>
      </c>
      <c r="D1479" t="s">
        <v>892</v>
      </c>
    </row>
    <row r="1480" spans="1:4" x14ac:dyDescent="0.2">
      <c r="A1480" s="57" t="s">
        <v>802</v>
      </c>
      <c r="B1480" t="s">
        <v>796</v>
      </c>
      <c r="C1480" t="s">
        <v>45</v>
      </c>
    </row>
    <row r="1481" spans="1:4" x14ac:dyDescent="0.2">
      <c r="A1481" t="s">
        <v>54</v>
      </c>
      <c r="B1481" t="s">
        <v>5</v>
      </c>
      <c r="C1481" t="s">
        <v>6</v>
      </c>
    </row>
    <row r="1482" spans="1:4" x14ac:dyDescent="0.2">
      <c r="A1482" s="3" t="s">
        <v>55</v>
      </c>
      <c r="B1482" t="s">
        <v>5</v>
      </c>
      <c r="C1482" t="s">
        <v>56</v>
      </c>
    </row>
    <row r="1483" spans="1:4" x14ac:dyDescent="0.2">
      <c r="A1483" s="28" t="s">
        <v>1284</v>
      </c>
      <c r="B1483" t="s">
        <v>5</v>
      </c>
      <c r="C1483" t="s">
        <v>6</v>
      </c>
    </row>
    <row r="1484" spans="1:4" x14ac:dyDescent="0.2">
      <c r="A1484" s="28" t="s">
        <v>1284</v>
      </c>
      <c r="B1484" t="s">
        <v>5</v>
      </c>
      <c r="C1484" t="s">
        <v>6</v>
      </c>
    </row>
    <row r="1485" spans="1:4" x14ac:dyDescent="0.2">
      <c r="A1485" s="28" t="s">
        <v>1284</v>
      </c>
      <c r="B1485" t="s">
        <v>5</v>
      </c>
      <c r="C1485" t="s">
        <v>6</v>
      </c>
    </row>
    <row r="1486" spans="1:4" x14ac:dyDescent="0.2">
      <c r="A1486" s="28" t="s">
        <v>1284</v>
      </c>
      <c r="B1486" t="s">
        <v>5</v>
      </c>
      <c r="C1486" t="s">
        <v>6</v>
      </c>
    </row>
    <row r="1487" spans="1:4" x14ac:dyDescent="0.2">
      <c r="A1487" s="28" t="s">
        <v>1284</v>
      </c>
      <c r="B1487" t="s">
        <v>5</v>
      </c>
      <c r="C1487" t="s">
        <v>6</v>
      </c>
    </row>
    <row r="1488" spans="1:4" x14ac:dyDescent="0.2">
      <c r="A1488" s="28" t="s">
        <v>1284</v>
      </c>
      <c r="B1488" t="s">
        <v>5</v>
      </c>
      <c r="C1488" t="s">
        <v>6</v>
      </c>
    </row>
    <row r="1489" spans="1:4" x14ac:dyDescent="0.2">
      <c r="A1489" s="28" t="s">
        <v>1284</v>
      </c>
      <c r="B1489" t="s">
        <v>5</v>
      </c>
      <c r="C1489" t="s">
        <v>6</v>
      </c>
    </row>
    <row r="1490" spans="1:4" x14ac:dyDescent="0.2">
      <c r="A1490" s="28" t="s">
        <v>1284</v>
      </c>
      <c r="B1490" t="s">
        <v>5</v>
      </c>
      <c r="C1490" t="s">
        <v>6</v>
      </c>
    </row>
    <row r="1491" spans="1:4" x14ac:dyDescent="0.2">
      <c r="A1491" s="28" t="s">
        <v>1284</v>
      </c>
      <c r="B1491" t="s">
        <v>5</v>
      </c>
      <c r="C1491" t="s">
        <v>6</v>
      </c>
    </row>
    <row r="1492" spans="1:4" x14ac:dyDescent="0.2">
      <c r="A1492" t="s">
        <v>57</v>
      </c>
      <c r="B1492" t="s">
        <v>5</v>
      </c>
      <c r="C1492" t="s">
        <v>6</v>
      </c>
      <c r="D1492" t="s">
        <v>20</v>
      </c>
    </row>
    <row r="1493" spans="1:4" x14ac:dyDescent="0.2">
      <c r="A1493" t="s">
        <v>634</v>
      </c>
      <c r="B1493" t="s">
        <v>5</v>
      </c>
      <c r="C1493" t="s">
        <v>6</v>
      </c>
    </row>
    <row r="1494" spans="1:4" x14ac:dyDescent="0.2">
      <c r="A1494" s="28" t="s">
        <v>1750</v>
      </c>
      <c r="B1494" t="s">
        <v>5</v>
      </c>
      <c r="C1494" t="s">
        <v>6</v>
      </c>
    </row>
    <row r="1495" spans="1:4" x14ac:dyDescent="0.2">
      <c r="A1495" s="28" t="s">
        <v>1386</v>
      </c>
      <c r="B1495" t="s">
        <v>956</v>
      </c>
      <c r="C1495" t="s">
        <v>6</v>
      </c>
    </row>
    <row r="1496" spans="1:4" x14ac:dyDescent="0.2">
      <c r="A1496" s="28" t="s">
        <v>1402</v>
      </c>
      <c r="B1496" t="s">
        <v>165</v>
      </c>
      <c r="C1496" t="s">
        <v>45</v>
      </c>
    </row>
    <row r="1497" spans="1:4" x14ac:dyDescent="0.2">
      <c r="A1497" t="s">
        <v>2528</v>
      </c>
    </row>
    <row r="1498" spans="1:4" x14ac:dyDescent="0.2">
      <c r="A1498" t="s">
        <v>409</v>
      </c>
      <c r="B1498" t="s">
        <v>165</v>
      </c>
      <c r="C1498" t="s">
        <v>45</v>
      </c>
    </row>
    <row r="1499" spans="1:4" x14ac:dyDescent="0.2">
      <c r="A1499" s="28" t="s">
        <v>1531</v>
      </c>
      <c r="B1499" t="s">
        <v>639</v>
      </c>
      <c r="C1499" t="s">
        <v>6</v>
      </c>
    </row>
    <row r="1500" spans="1:4" x14ac:dyDescent="0.2">
      <c r="A1500" s="28" t="s">
        <v>1404</v>
      </c>
      <c r="B1500" t="s">
        <v>901</v>
      </c>
      <c r="C1500" t="s">
        <v>45</v>
      </c>
    </row>
    <row r="1501" spans="1:4" x14ac:dyDescent="0.2">
      <c r="A1501" s="28" t="s">
        <v>1404</v>
      </c>
      <c r="B1501" t="s">
        <v>901</v>
      </c>
      <c r="C1501" t="s">
        <v>45</v>
      </c>
    </row>
    <row r="1502" spans="1:4" x14ac:dyDescent="0.2">
      <c r="A1502" s="28" t="s">
        <v>1404</v>
      </c>
      <c r="B1502" t="s">
        <v>901</v>
      </c>
      <c r="C1502" t="s">
        <v>45</v>
      </c>
    </row>
    <row r="1503" spans="1:4" x14ac:dyDescent="0.2">
      <c r="A1503" s="28" t="s">
        <v>1404</v>
      </c>
      <c r="B1503" t="s">
        <v>901</v>
      </c>
      <c r="C1503" t="s">
        <v>45</v>
      </c>
    </row>
    <row r="1504" spans="1:4" x14ac:dyDescent="0.2">
      <c r="A1504" t="s">
        <v>410</v>
      </c>
      <c r="B1504" t="s">
        <v>165</v>
      </c>
      <c r="C1504" t="s">
        <v>45</v>
      </c>
      <c r="D1504" t="s">
        <v>20</v>
      </c>
    </row>
    <row r="1505" spans="1:4" x14ac:dyDescent="0.2">
      <c r="A1505" s="28" t="s">
        <v>1491</v>
      </c>
      <c r="B1505" t="s">
        <v>165</v>
      </c>
      <c r="C1505" t="s">
        <v>45</v>
      </c>
    </row>
    <row r="1506" spans="1:4" x14ac:dyDescent="0.2">
      <c r="A1506" t="s">
        <v>749</v>
      </c>
      <c r="B1506" t="s">
        <v>639</v>
      </c>
      <c r="C1506" t="s">
        <v>6</v>
      </c>
    </row>
    <row r="1507" spans="1:4" x14ac:dyDescent="0.2">
      <c r="A1507" s="3" t="s">
        <v>750</v>
      </c>
      <c r="B1507" t="s">
        <v>639</v>
      </c>
      <c r="C1507" t="s">
        <v>6</v>
      </c>
    </row>
    <row r="1508" spans="1:4" x14ac:dyDescent="0.2">
      <c r="A1508" s="3" t="s">
        <v>751</v>
      </c>
      <c r="B1508" t="s">
        <v>639</v>
      </c>
      <c r="C1508" t="s">
        <v>56</v>
      </c>
    </row>
    <row r="1509" spans="1:4" x14ac:dyDescent="0.2">
      <c r="A1509" s="3" t="s">
        <v>752</v>
      </c>
      <c r="B1509" t="s">
        <v>639</v>
      </c>
      <c r="C1509" t="s">
        <v>6</v>
      </c>
    </row>
    <row r="1510" spans="1:4" x14ac:dyDescent="0.2">
      <c r="A1510" s="28" t="s">
        <v>1806</v>
      </c>
      <c r="B1510" t="s">
        <v>639</v>
      </c>
      <c r="C1510" t="s">
        <v>6</v>
      </c>
    </row>
    <row r="1511" spans="1:4" x14ac:dyDescent="0.2">
      <c r="A1511" t="s">
        <v>753</v>
      </c>
      <c r="B1511" t="s">
        <v>639</v>
      </c>
      <c r="C1511" t="s">
        <v>6</v>
      </c>
      <c r="D1511" t="s">
        <v>20</v>
      </c>
    </row>
    <row r="1512" spans="1:4" x14ac:dyDescent="0.2">
      <c r="A1512" t="s">
        <v>754</v>
      </c>
      <c r="B1512" t="s">
        <v>639</v>
      </c>
      <c r="C1512" t="s">
        <v>6</v>
      </c>
      <c r="D1512" t="s">
        <v>20</v>
      </c>
    </row>
    <row r="1513" spans="1:4" x14ac:dyDescent="0.2">
      <c r="A1513" s="28" t="s">
        <v>1711</v>
      </c>
      <c r="B1513" t="s">
        <v>639</v>
      </c>
      <c r="C1513" t="s">
        <v>6</v>
      </c>
    </row>
    <row r="1514" spans="1:4" x14ac:dyDescent="0.2">
      <c r="A1514" t="s">
        <v>411</v>
      </c>
      <c r="B1514" t="s">
        <v>165</v>
      </c>
      <c r="C1514" t="s">
        <v>45</v>
      </c>
      <c r="D1514" t="s">
        <v>412</v>
      </c>
    </row>
    <row r="1515" spans="1:4" x14ac:dyDescent="0.2">
      <c r="A1515" t="s">
        <v>2452</v>
      </c>
    </row>
    <row r="1516" spans="1:4" x14ac:dyDescent="0.2">
      <c r="A1516" s="28" t="s">
        <v>1837</v>
      </c>
      <c r="B1516" t="s">
        <v>639</v>
      </c>
      <c r="C1516" t="s">
        <v>6</v>
      </c>
    </row>
    <row r="1517" spans="1:4" x14ac:dyDescent="0.2">
      <c r="A1517" s="3" t="s">
        <v>935</v>
      </c>
      <c r="B1517" t="s">
        <v>901</v>
      </c>
      <c r="C1517" t="s">
        <v>45</v>
      </c>
    </row>
    <row r="1518" spans="1:4" x14ac:dyDescent="0.2">
      <c r="A1518" s="28" t="s">
        <v>1287</v>
      </c>
      <c r="B1518" t="s">
        <v>956</v>
      </c>
      <c r="C1518" t="s">
        <v>45</v>
      </c>
    </row>
    <row r="1519" spans="1:4" x14ac:dyDescent="0.2">
      <c r="A1519" t="s">
        <v>489</v>
      </c>
      <c r="B1519" t="s">
        <v>469</v>
      </c>
      <c r="C1519" t="s">
        <v>45</v>
      </c>
    </row>
    <row r="1520" spans="1:4" x14ac:dyDescent="0.2">
      <c r="A1520" s="5" t="s">
        <v>85</v>
      </c>
      <c r="B1520" t="s">
        <v>83</v>
      </c>
      <c r="C1520" t="s">
        <v>6</v>
      </c>
    </row>
    <row r="1521" spans="1:4" x14ac:dyDescent="0.2">
      <c r="A1521" s="3" t="s">
        <v>855</v>
      </c>
      <c r="B1521" t="s">
        <v>848</v>
      </c>
      <c r="C1521" t="s">
        <v>6</v>
      </c>
    </row>
    <row r="1522" spans="1:4" x14ac:dyDescent="0.2">
      <c r="A1522" s="3" t="s">
        <v>579</v>
      </c>
      <c r="B1522" t="s">
        <v>514</v>
      </c>
      <c r="C1522" t="s">
        <v>56</v>
      </c>
    </row>
    <row r="1523" spans="1:4" x14ac:dyDescent="0.2">
      <c r="A1523" t="s">
        <v>413</v>
      </c>
      <c r="B1523" t="s">
        <v>165</v>
      </c>
      <c r="C1523" t="s">
        <v>45</v>
      </c>
      <c r="D1523" t="s">
        <v>20</v>
      </c>
    </row>
    <row r="1524" spans="1:4" x14ac:dyDescent="0.2">
      <c r="A1524" t="s">
        <v>414</v>
      </c>
      <c r="B1524" t="s">
        <v>165</v>
      </c>
      <c r="C1524" t="s">
        <v>45</v>
      </c>
    </row>
    <row r="1525" spans="1:4" x14ac:dyDescent="0.2">
      <c r="A1525" t="s">
        <v>415</v>
      </c>
      <c r="B1525" t="s">
        <v>165</v>
      </c>
      <c r="C1525" t="s">
        <v>45</v>
      </c>
      <c r="D1525" t="s">
        <v>20</v>
      </c>
    </row>
    <row r="1526" spans="1:4" x14ac:dyDescent="0.2">
      <c r="A1526" s="28" t="s">
        <v>1297</v>
      </c>
      <c r="B1526" t="s">
        <v>956</v>
      </c>
      <c r="C1526" t="s">
        <v>45</v>
      </c>
    </row>
    <row r="1527" spans="1:4" x14ac:dyDescent="0.2">
      <c r="A1527" s="28" t="s">
        <v>1285</v>
      </c>
      <c r="B1527" t="s">
        <v>956</v>
      </c>
      <c r="C1527" t="s">
        <v>45</v>
      </c>
    </row>
    <row r="1528" spans="1:4" x14ac:dyDescent="0.2">
      <c r="A1528" t="s">
        <v>490</v>
      </c>
      <c r="B1528" t="s">
        <v>469</v>
      </c>
      <c r="C1528" t="s">
        <v>45</v>
      </c>
    </row>
    <row r="1529" spans="1:4" x14ac:dyDescent="0.2">
      <c r="A1529" s="28" t="s">
        <v>1756</v>
      </c>
      <c r="B1529" t="s">
        <v>469</v>
      </c>
      <c r="C1529" t="s">
        <v>45</v>
      </c>
    </row>
    <row r="1530" spans="1:4" x14ac:dyDescent="0.2">
      <c r="A1530" s="28" t="s">
        <v>1672</v>
      </c>
      <c r="B1530" t="s">
        <v>469</v>
      </c>
      <c r="C1530" t="s">
        <v>45</v>
      </c>
    </row>
    <row r="1531" spans="1:4" x14ac:dyDescent="0.2">
      <c r="A1531" t="s">
        <v>416</v>
      </c>
      <c r="B1531" t="s">
        <v>165</v>
      </c>
      <c r="C1531" t="s">
        <v>45</v>
      </c>
      <c r="D1531" t="s">
        <v>20</v>
      </c>
    </row>
    <row r="1532" spans="1:4" x14ac:dyDescent="0.2">
      <c r="A1532" t="s">
        <v>417</v>
      </c>
      <c r="B1532" t="s">
        <v>165</v>
      </c>
      <c r="C1532" t="s">
        <v>45</v>
      </c>
      <c r="D1532" t="s">
        <v>20</v>
      </c>
    </row>
    <row r="1533" spans="1:4" x14ac:dyDescent="0.2">
      <c r="A1533" t="s">
        <v>803</v>
      </c>
      <c r="B1533" t="s">
        <v>796</v>
      </c>
      <c r="C1533" t="s">
        <v>45</v>
      </c>
      <c r="D1533" t="s">
        <v>804</v>
      </c>
    </row>
    <row r="1534" spans="1:4" x14ac:dyDescent="0.2">
      <c r="A1534" t="s">
        <v>805</v>
      </c>
      <c r="B1534" t="s">
        <v>796</v>
      </c>
      <c r="C1534" t="s">
        <v>45</v>
      </c>
      <c r="D1534" t="s">
        <v>804</v>
      </c>
    </row>
    <row r="1535" spans="1:4" x14ac:dyDescent="0.2">
      <c r="A1535" t="s">
        <v>936</v>
      </c>
      <c r="B1535" t="s">
        <v>901</v>
      </c>
      <c r="C1535" t="s">
        <v>45</v>
      </c>
    </row>
    <row r="1536" spans="1:4" x14ac:dyDescent="0.2">
      <c r="A1536" s="3" t="s">
        <v>1222</v>
      </c>
      <c r="B1536" t="s">
        <v>469</v>
      </c>
      <c r="C1536" t="s">
        <v>45</v>
      </c>
    </row>
    <row r="1537" spans="1:4" x14ac:dyDescent="0.2">
      <c r="A1537" s="3" t="s">
        <v>580</v>
      </c>
      <c r="B1537" t="s">
        <v>514</v>
      </c>
      <c r="C1537" t="s">
        <v>45</v>
      </c>
    </row>
    <row r="1538" spans="1:4" x14ac:dyDescent="0.2">
      <c r="A1538" s="28" t="s">
        <v>1653</v>
      </c>
      <c r="B1538" t="s">
        <v>514</v>
      </c>
      <c r="C1538" t="s">
        <v>45</v>
      </c>
    </row>
    <row r="1539" spans="1:4" x14ac:dyDescent="0.2">
      <c r="A1539" t="s">
        <v>418</v>
      </c>
      <c r="B1539" t="s">
        <v>165</v>
      </c>
      <c r="C1539" t="s">
        <v>6</v>
      </c>
      <c r="D1539" t="s">
        <v>419</v>
      </c>
    </row>
    <row r="1540" spans="1:4" x14ac:dyDescent="0.2">
      <c r="A1540" t="s">
        <v>581</v>
      </c>
      <c r="B1540" t="s">
        <v>514</v>
      </c>
      <c r="C1540" t="s">
        <v>6</v>
      </c>
      <c r="D1540" t="s">
        <v>20</v>
      </c>
    </row>
    <row r="1541" spans="1:4" x14ac:dyDescent="0.2">
      <c r="A1541" s="28" t="s">
        <v>1441</v>
      </c>
      <c r="B1541" t="s">
        <v>514</v>
      </c>
      <c r="C1541" t="s">
        <v>6</v>
      </c>
    </row>
    <row r="1542" spans="1:4" x14ac:dyDescent="0.2">
      <c r="A1542" s="28" t="s">
        <v>1440</v>
      </c>
      <c r="B1542" t="s">
        <v>956</v>
      </c>
      <c r="C1542" t="s">
        <v>45</v>
      </c>
    </row>
    <row r="1543" spans="1:4" x14ac:dyDescent="0.2">
      <c r="A1543" s="5" t="s">
        <v>788</v>
      </c>
      <c r="B1543" t="s">
        <v>781</v>
      </c>
      <c r="C1543" t="s">
        <v>6</v>
      </c>
    </row>
    <row r="1544" spans="1:4" x14ac:dyDescent="0.2">
      <c r="A1544" s="6" t="s">
        <v>788</v>
      </c>
      <c r="B1544" t="s">
        <v>781</v>
      </c>
      <c r="C1544" t="s">
        <v>6</v>
      </c>
    </row>
    <row r="1545" spans="1:4" x14ac:dyDescent="0.2">
      <c r="A1545" s="5" t="s">
        <v>788</v>
      </c>
      <c r="B1545" t="s">
        <v>781</v>
      </c>
      <c r="C1545" t="s">
        <v>6</v>
      </c>
    </row>
    <row r="1546" spans="1:4" x14ac:dyDescent="0.2">
      <c r="A1546" s="6" t="s">
        <v>788</v>
      </c>
      <c r="B1546" t="s">
        <v>781</v>
      </c>
      <c r="C1546" t="s">
        <v>6</v>
      </c>
    </row>
    <row r="1547" spans="1:4" x14ac:dyDescent="0.2">
      <c r="A1547" s="5" t="s">
        <v>788</v>
      </c>
      <c r="B1547" t="s">
        <v>781</v>
      </c>
      <c r="C1547" t="s">
        <v>6</v>
      </c>
    </row>
    <row r="1548" spans="1:4" x14ac:dyDescent="0.2">
      <c r="A1548" s="3" t="s">
        <v>789</v>
      </c>
      <c r="B1548" t="s">
        <v>781</v>
      </c>
      <c r="C1548" t="s">
        <v>6</v>
      </c>
    </row>
    <row r="1549" spans="1:4" x14ac:dyDescent="0.2">
      <c r="A1549" s="3" t="s">
        <v>1223</v>
      </c>
      <c r="B1549" t="s">
        <v>858</v>
      </c>
      <c r="C1549" t="s">
        <v>45</v>
      </c>
    </row>
    <row r="1550" spans="1:4" x14ac:dyDescent="0.2">
      <c r="A1550" s="28" t="s">
        <v>1345</v>
      </c>
      <c r="B1550" t="s">
        <v>600</v>
      </c>
      <c r="C1550" t="s">
        <v>6</v>
      </c>
    </row>
    <row r="1551" spans="1:4" x14ac:dyDescent="0.2">
      <c r="A1551" s="3" t="s">
        <v>420</v>
      </c>
      <c r="B1551" t="s">
        <v>165</v>
      </c>
      <c r="C1551" t="s">
        <v>45</v>
      </c>
    </row>
    <row r="1552" spans="1:4" x14ac:dyDescent="0.2">
      <c r="A1552" s="28" t="s">
        <v>1310</v>
      </c>
      <c r="B1552" t="s">
        <v>165</v>
      </c>
      <c r="C1552" t="s">
        <v>45</v>
      </c>
    </row>
    <row r="1553" spans="1:4" x14ac:dyDescent="0.2">
      <c r="A1553" t="s">
        <v>421</v>
      </c>
      <c r="B1553" t="s">
        <v>165</v>
      </c>
      <c r="C1553" t="s">
        <v>45</v>
      </c>
      <c r="D1553" t="s">
        <v>20</v>
      </c>
    </row>
    <row r="1554" spans="1:4" x14ac:dyDescent="0.2">
      <c r="A1554" t="s">
        <v>422</v>
      </c>
      <c r="B1554" t="s">
        <v>165</v>
      </c>
      <c r="C1554" t="s">
        <v>45</v>
      </c>
    </row>
    <row r="1555" spans="1:4" x14ac:dyDescent="0.2">
      <c r="A1555" t="s">
        <v>423</v>
      </c>
      <c r="B1555" t="s">
        <v>165</v>
      </c>
      <c r="C1555" t="s">
        <v>45</v>
      </c>
    </row>
    <row r="1556" spans="1:4" x14ac:dyDescent="0.2">
      <c r="A1556" t="s">
        <v>424</v>
      </c>
      <c r="B1556" t="s">
        <v>165</v>
      </c>
      <c r="C1556" t="s">
        <v>45</v>
      </c>
      <c r="D1556" t="s">
        <v>20</v>
      </c>
    </row>
    <row r="1557" spans="1:4" x14ac:dyDescent="0.2">
      <c r="A1557" t="s">
        <v>425</v>
      </c>
      <c r="B1557" t="s">
        <v>165</v>
      </c>
      <c r="C1557" t="s">
        <v>45</v>
      </c>
      <c r="D1557" t="s">
        <v>20</v>
      </c>
    </row>
    <row r="1558" spans="1:4" x14ac:dyDescent="0.2">
      <c r="A1558" t="s">
        <v>426</v>
      </c>
      <c r="B1558" t="s">
        <v>165</v>
      </c>
      <c r="C1558" t="s">
        <v>45</v>
      </c>
    </row>
    <row r="1559" spans="1:4" x14ac:dyDescent="0.2">
      <c r="A1559" t="s">
        <v>427</v>
      </c>
      <c r="B1559" t="s">
        <v>165</v>
      </c>
      <c r="C1559" t="s">
        <v>45</v>
      </c>
      <c r="D1559" t="s">
        <v>20</v>
      </c>
    </row>
    <row r="1560" spans="1:4" x14ac:dyDescent="0.2">
      <c r="A1560" s="3" t="s">
        <v>428</v>
      </c>
      <c r="B1560" t="s">
        <v>165</v>
      </c>
      <c r="C1560" t="s">
        <v>45</v>
      </c>
    </row>
    <row r="1561" spans="1:4" x14ac:dyDescent="0.2">
      <c r="A1561" t="s">
        <v>429</v>
      </c>
      <c r="B1561" t="s">
        <v>165</v>
      </c>
      <c r="C1561" t="s">
        <v>45</v>
      </c>
    </row>
    <row r="1562" spans="1:4" x14ac:dyDescent="0.2">
      <c r="A1562" t="s">
        <v>430</v>
      </c>
      <c r="B1562" t="s">
        <v>165</v>
      </c>
      <c r="C1562" t="s">
        <v>45</v>
      </c>
      <c r="D1562" t="s">
        <v>20</v>
      </c>
    </row>
    <row r="1563" spans="1:4" x14ac:dyDescent="0.2">
      <c r="A1563" t="s">
        <v>431</v>
      </c>
      <c r="B1563" t="s">
        <v>165</v>
      </c>
      <c r="C1563" t="s">
        <v>45</v>
      </c>
    </row>
    <row r="1564" spans="1:4" x14ac:dyDescent="0.2">
      <c r="A1564" t="s">
        <v>432</v>
      </c>
      <c r="B1564" s="22" t="s">
        <v>165</v>
      </c>
      <c r="C1564" s="22" t="s">
        <v>45</v>
      </c>
      <c r="D1564" t="s">
        <v>20</v>
      </c>
    </row>
    <row r="1565" spans="1:4" x14ac:dyDescent="0.2">
      <c r="A1565" s="28" t="s">
        <v>1320</v>
      </c>
      <c r="B1565" t="s">
        <v>165</v>
      </c>
      <c r="C1565" t="s">
        <v>45</v>
      </c>
    </row>
    <row r="1566" spans="1:4" x14ac:dyDescent="0.2">
      <c r="A1566" s="28" t="s">
        <v>1399</v>
      </c>
      <c r="B1566" t="s">
        <v>165</v>
      </c>
      <c r="C1566" t="s">
        <v>45</v>
      </c>
    </row>
    <row r="1567" spans="1:4" x14ac:dyDescent="0.2">
      <c r="A1567" t="s">
        <v>433</v>
      </c>
      <c r="B1567" t="s">
        <v>165</v>
      </c>
      <c r="C1567" t="s">
        <v>45</v>
      </c>
      <c r="D1567" t="s">
        <v>20</v>
      </c>
    </row>
    <row r="1568" spans="1:4" x14ac:dyDescent="0.2">
      <c r="A1568" t="s">
        <v>434</v>
      </c>
      <c r="B1568" t="s">
        <v>165</v>
      </c>
      <c r="C1568" t="s">
        <v>45</v>
      </c>
      <c r="D1568" t="s">
        <v>20</v>
      </c>
    </row>
    <row r="1569" spans="1:4" x14ac:dyDescent="0.2">
      <c r="A1569" t="s">
        <v>435</v>
      </c>
      <c r="B1569" t="s">
        <v>165</v>
      </c>
      <c r="C1569" t="s">
        <v>45</v>
      </c>
    </row>
    <row r="1570" spans="1:4" x14ac:dyDescent="0.2">
      <c r="A1570" s="28" t="s">
        <v>1434</v>
      </c>
      <c r="B1570" t="s">
        <v>165</v>
      </c>
      <c r="C1570" t="s">
        <v>45</v>
      </c>
    </row>
    <row r="1571" spans="1:4" x14ac:dyDescent="0.2">
      <c r="A1571" s="28" t="s">
        <v>1259</v>
      </c>
      <c r="B1571" t="s">
        <v>165</v>
      </c>
      <c r="C1571" t="s">
        <v>45</v>
      </c>
    </row>
    <row r="1572" spans="1:4" x14ac:dyDescent="0.2">
      <c r="A1572" s="28" t="s">
        <v>1564</v>
      </c>
      <c r="B1572" t="s">
        <v>165</v>
      </c>
      <c r="C1572" t="s">
        <v>45</v>
      </c>
    </row>
    <row r="1573" spans="1:4" x14ac:dyDescent="0.2">
      <c r="A1573" s="28" t="s">
        <v>1317</v>
      </c>
      <c r="B1573" t="s">
        <v>165</v>
      </c>
      <c r="C1573" t="s">
        <v>45</v>
      </c>
    </row>
    <row r="1574" spans="1:4" x14ac:dyDescent="0.2">
      <c r="A1574" t="s">
        <v>436</v>
      </c>
      <c r="B1574" t="s">
        <v>165</v>
      </c>
      <c r="C1574" t="s">
        <v>45</v>
      </c>
    </row>
    <row r="1575" spans="1:4" x14ac:dyDescent="0.2">
      <c r="A1575" t="s">
        <v>437</v>
      </c>
      <c r="B1575" t="s">
        <v>165</v>
      </c>
      <c r="C1575" t="s">
        <v>45</v>
      </c>
      <c r="D1575" t="s">
        <v>20</v>
      </c>
    </row>
    <row r="1576" spans="1:4" x14ac:dyDescent="0.2">
      <c r="A1576" s="28" t="s">
        <v>1607</v>
      </c>
      <c r="B1576" t="s">
        <v>165</v>
      </c>
      <c r="C1576" t="s">
        <v>45</v>
      </c>
    </row>
    <row r="1577" spans="1:4" x14ac:dyDescent="0.2">
      <c r="A1577" s="28" t="s">
        <v>1607</v>
      </c>
      <c r="B1577" t="s">
        <v>165</v>
      </c>
      <c r="C1577" t="s">
        <v>45</v>
      </c>
    </row>
    <row r="1578" spans="1:4" x14ac:dyDescent="0.2">
      <c r="A1578" s="28" t="s">
        <v>1607</v>
      </c>
      <c r="B1578" t="s">
        <v>165</v>
      </c>
      <c r="C1578" t="s">
        <v>45</v>
      </c>
    </row>
    <row r="1579" spans="1:4" x14ac:dyDescent="0.2">
      <c r="A1579" t="s">
        <v>438</v>
      </c>
      <c r="B1579" t="s">
        <v>165</v>
      </c>
      <c r="C1579" t="s">
        <v>45</v>
      </c>
      <c r="D1579" t="s">
        <v>20</v>
      </c>
    </row>
    <row r="1580" spans="1:4" x14ac:dyDescent="0.2">
      <c r="A1580" t="s">
        <v>439</v>
      </c>
      <c r="B1580" t="s">
        <v>165</v>
      </c>
      <c r="C1580" t="s">
        <v>45</v>
      </c>
      <c r="D1580" t="s">
        <v>20</v>
      </c>
    </row>
    <row r="1581" spans="1:4" x14ac:dyDescent="0.2">
      <c r="A1581" t="s">
        <v>440</v>
      </c>
      <c r="B1581" t="s">
        <v>165</v>
      </c>
      <c r="C1581" t="s">
        <v>45</v>
      </c>
    </row>
    <row r="1582" spans="1:4" x14ac:dyDescent="0.2">
      <c r="A1582" t="s">
        <v>441</v>
      </c>
      <c r="B1582" t="s">
        <v>165</v>
      </c>
      <c r="C1582" t="s">
        <v>45</v>
      </c>
      <c r="D1582" t="s">
        <v>20</v>
      </c>
    </row>
    <row r="1583" spans="1:4" x14ac:dyDescent="0.2">
      <c r="A1583" t="s">
        <v>442</v>
      </c>
      <c r="B1583" t="s">
        <v>165</v>
      </c>
      <c r="C1583" t="s">
        <v>45</v>
      </c>
      <c r="D1583" t="s">
        <v>20</v>
      </c>
    </row>
    <row r="1584" spans="1:4" x14ac:dyDescent="0.2">
      <c r="A1584" t="s">
        <v>443</v>
      </c>
      <c r="B1584" t="s">
        <v>165</v>
      </c>
      <c r="C1584" t="s">
        <v>45</v>
      </c>
      <c r="D1584" t="s">
        <v>20</v>
      </c>
    </row>
    <row r="1585" spans="1:4" x14ac:dyDescent="0.2">
      <c r="A1585" t="s">
        <v>444</v>
      </c>
      <c r="B1585" t="s">
        <v>165</v>
      </c>
      <c r="C1585" t="s">
        <v>45</v>
      </c>
      <c r="D1585" t="s">
        <v>20</v>
      </c>
    </row>
    <row r="1586" spans="1:4" x14ac:dyDescent="0.2">
      <c r="A1586" t="s">
        <v>445</v>
      </c>
      <c r="B1586" t="s">
        <v>165</v>
      </c>
      <c r="C1586" t="s">
        <v>45</v>
      </c>
    </row>
    <row r="1587" spans="1:4" x14ac:dyDescent="0.2">
      <c r="A1587" s="3" t="s">
        <v>446</v>
      </c>
      <c r="B1587" t="s">
        <v>165</v>
      </c>
      <c r="C1587" t="s">
        <v>45</v>
      </c>
    </row>
    <row r="1588" spans="1:4" x14ac:dyDescent="0.2">
      <c r="A1588" t="s">
        <v>447</v>
      </c>
      <c r="B1588" t="s">
        <v>165</v>
      </c>
      <c r="C1588" t="s">
        <v>45</v>
      </c>
      <c r="D1588" t="s">
        <v>20</v>
      </c>
    </row>
    <row r="1589" spans="1:4" x14ac:dyDescent="0.2">
      <c r="A1589" s="28" t="s">
        <v>1718</v>
      </c>
      <c r="B1589" t="s">
        <v>165</v>
      </c>
      <c r="C1589" t="s">
        <v>45</v>
      </c>
    </row>
    <row r="1590" spans="1:4" x14ac:dyDescent="0.2">
      <c r="A1590" t="s">
        <v>448</v>
      </c>
      <c r="B1590" t="s">
        <v>165</v>
      </c>
      <c r="C1590" t="s">
        <v>45</v>
      </c>
      <c r="D1590" t="s">
        <v>20</v>
      </c>
    </row>
    <row r="1591" spans="1:4" x14ac:dyDescent="0.2">
      <c r="A1591" t="s">
        <v>449</v>
      </c>
      <c r="B1591" t="s">
        <v>165</v>
      </c>
      <c r="C1591" t="s">
        <v>45</v>
      </c>
    </row>
    <row r="1592" spans="1:4" x14ac:dyDescent="0.2">
      <c r="A1592" t="s">
        <v>450</v>
      </c>
      <c r="B1592" t="s">
        <v>165</v>
      </c>
      <c r="C1592" t="s">
        <v>45</v>
      </c>
      <c r="D1592" t="s">
        <v>20</v>
      </c>
    </row>
    <row r="1593" spans="1:4" x14ac:dyDescent="0.2">
      <c r="A1593" s="28" t="s">
        <v>1724</v>
      </c>
      <c r="B1593" t="s">
        <v>165</v>
      </c>
      <c r="C1593" t="s">
        <v>45</v>
      </c>
    </row>
    <row r="1594" spans="1:4" x14ac:dyDescent="0.2">
      <c r="A1594" s="28" t="s">
        <v>1700</v>
      </c>
      <c r="B1594" t="s">
        <v>165</v>
      </c>
      <c r="C1594" t="s">
        <v>45</v>
      </c>
    </row>
    <row r="1595" spans="1:4" x14ac:dyDescent="0.2">
      <c r="A1595" s="28" t="s">
        <v>1673</v>
      </c>
      <c r="B1595" t="s">
        <v>165</v>
      </c>
      <c r="C1595" t="s">
        <v>45</v>
      </c>
    </row>
    <row r="1596" spans="1:4" x14ac:dyDescent="0.2">
      <c r="A1596" t="s">
        <v>451</v>
      </c>
      <c r="B1596" t="s">
        <v>165</v>
      </c>
      <c r="C1596" t="s">
        <v>45</v>
      </c>
      <c r="D1596" t="s">
        <v>20</v>
      </c>
    </row>
    <row r="1597" spans="1:4" x14ac:dyDescent="0.2">
      <c r="A1597" t="s">
        <v>452</v>
      </c>
      <c r="B1597" t="s">
        <v>165</v>
      </c>
      <c r="C1597" t="s">
        <v>45</v>
      </c>
      <c r="D1597" t="s">
        <v>20</v>
      </c>
    </row>
    <row r="1598" spans="1:4" x14ac:dyDescent="0.2">
      <c r="A1598" t="s">
        <v>1129</v>
      </c>
      <c r="B1598" t="s">
        <v>956</v>
      </c>
      <c r="C1598" t="s">
        <v>45</v>
      </c>
    </row>
    <row r="1599" spans="1:4" x14ac:dyDescent="0.2">
      <c r="A1599" s="28" t="s">
        <v>1816</v>
      </c>
      <c r="B1599" t="s">
        <v>956</v>
      </c>
      <c r="C1599" t="s">
        <v>45</v>
      </c>
    </row>
    <row r="1600" spans="1:4" x14ac:dyDescent="0.2">
      <c r="A1600" t="s">
        <v>1130</v>
      </c>
      <c r="B1600" s="16" t="s">
        <v>956</v>
      </c>
      <c r="C1600" s="16" t="s">
        <v>45</v>
      </c>
    </row>
    <row r="1601" spans="1:4" x14ac:dyDescent="0.2">
      <c r="A1601" s="28" t="s">
        <v>1535</v>
      </c>
      <c r="B1601" t="s">
        <v>639</v>
      </c>
      <c r="C1601" t="s">
        <v>6</v>
      </c>
    </row>
    <row r="1602" spans="1:4" x14ac:dyDescent="0.2">
      <c r="A1602" t="s">
        <v>755</v>
      </c>
      <c r="B1602" t="s">
        <v>639</v>
      </c>
      <c r="C1602" t="s">
        <v>6</v>
      </c>
      <c r="D1602" t="s">
        <v>20</v>
      </c>
    </row>
    <row r="1603" spans="1:4" x14ac:dyDescent="0.2">
      <c r="A1603" t="s">
        <v>756</v>
      </c>
      <c r="B1603" t="s">
        <v>639</v>
      </c>
      <c r="C1603" t="s">
        <v>6</v>
      </c>
      <c r="D1603" t="s">
        <v>20</v>
      </c>
    </row>
    <row r="1604" spans="1:4" x14ac:dyDescent="0.2">
      <c r="A1604" s="3" t="s">
        <v>1224</v>
      </c>
      <c r="B1604" t="s">
        <v>512</v>
      </c>
      <c r="C1604" t="s">
        <v>45</v>
      </c>
    </row>
    <row r="1605" spans="1:4" x14ac:dyDescent="0.2">
      <c r="A1605" s="3" t="s">
        <v>58</v>
      </c>
      <c r="B1605" t="s">
        <v>5</v>
      </c>
      <c r="C1605" t="s">
        <v>6</v>
      </c>
    </row>
    <row r="1606" spans="1:4" x14ac:dyDescent="0.2">
      <c r="A1606" s="28" t="s">
        <v>1487</v>
      </c>
      <c r="B1606" t="s">
        <v>5</v>
      </c>
      <c r="C1606" t="s">
        <v>45</v>
      </c>
    </row>
    <row r="1607" spans="1:4" x14ac:dyDescent="0.2">
      <c r="A1607" s="28" t="s">
        <v>1487</v>
      </c>
      <c r="B1607" t="s">
        <v>5</v>
      </c>
      <c r="C1607" t="s">
        <v>45</v>
      </c>
    </row>
    <row r="1608" spans="1:4" x14ac:dyDescent="0.2">
      <c r="A1608" s="28" t="s">
        <v>1487</v>
      </c>
      <c r="B1608" t="s">
        <v>5</v>
      </c>
      <c r="C1608" t="s">
        <v>45</v>
      </c>
    </row>
    <row r="1609" spans="1:4" x14ac:dyDescent="0.2">
      <c r="A1609" t="s">
        <v>954</v>
      </c>
      <c r="B1609" t="s">
        <v>952</v>
      </c>
      <c r="C1609" t="s">
        <v>6</v>
      </c>
      <c r="D1609" t="s">
        <v>953</v>
      </c>
    </row>
    <row r="1610" spans="1:4" x14ac:dyDescent="0.2">
      <c r="A1610" t="s">
        <v>806</v>
      </c>
      <c r="B1610" t="s">
        <v>807</v>
      </c>
      <c r="C1610" t="s">
        <v>6</v>
      </c>
    </row>
    <row r="1611" spans="1:4" x14ac:dyDescent="0.2">
      <c r="A1611" s="6" t="s">
        <v>808</v>
      </c>
      <c r="B1611" t="s">
        <v>807</v>
      </c>
      <c r="C1611" t="s">
        <v>6</v>
      </c>
    </row>
    <row r="1612" spans="1:4" x14ac:dyDescent="0.2">
      <c r="A1612" s="6" t="s">
        <v>808</v>
      </c>
      <c r="B1612" t="s">
        <v>807</v>
      </c>
      <c r="C1612" t="s">
        <v>6</v>
      </c>
    </row>
    <row r="1613" spans="1:4" x14ac:dyDescent="0.2">
      <c r="A1613" s="6" t="s">
        <v>808</v>
      </c>
      <c r="B1613" t="s">
        <v>807</v>
      </c>
      <c r="C1613" t="s">
        <v>6</v>
      </c>
    </row>
    <row r="1614" spans="1:4" x14ac:dyDescent="0.2">
      <c r="A1614" s="5" t="s">
        <v>808</v>
      </c>
      <c r="B1614" t="s">
        <v>807</v>
      </c>
      <c r="C1614" t="s">
        <v>6</v>
      </c>
    </row>
    <row r="1615" spans="1:4" x14ac:dyDescent="0.2">
      <c r="A1615" s="6" t="s">
        <v>808</v>
      </c>
      <c r="B1615" t="s">
        <v>807</v>
      </c>
      <c r="C1615" t="s">
        <v>6</v>
      </c>
    </row>
    <row r="1616" spans="1:4" x14ac:dyDescent="0.2">
      <c r="A1616" s="28" t="s">
        <v>1436</v>
      </c>
      <c r="B1616" t="s">
        <v>469</v>
      </c>
      <c r="C1616" t="s">
        <v>45</v>
      </c>
    </row>
    <row r="1617" spans="1:3" x14ac:dyDescent="0.2">
      <c r="A1617" s="28" t="s">
        <v>1436</v>
      </c>
      <c r="B1617" t="s">
        <v>469</v>
      </c>
      <c r="C1617" t="s">
        <v>45</v>
      </c>
    </row>
    <row r="1618" spans="1:3" x14ac:dyDescent="0.2">
      <c r="A1618" s="28" t="s">
        <v>1733</v>
      </c>
      <c r="B1618" t="s">
        <v>639</v>
      </c>
      <c r="C1618" t="s">
        <v>6</v>
      </c>
    </row>
    <row r="1619" spans="1:3" x14ac:dyDescent="0.2">
      <c r="A1619" t="s">
        <v>757</v>
      </c>
      <c r="B1619" t="s">
        <v>639</v>
      </c>
      <c r="C1619" t="s">
        <v>6</v>
      </c>
    </row>
    <row r="1620" spans="1:3" x14ac:dyDescent="0.2">
      <c r="A1620" t="s">
        <v>1146</v>
      </c>
      <c r="B1620" t="s">
        <v>1144</v>
      </c>
      <c r="C1620" t="s">
        <v>6</v>
      </c>
    </row>
    <row r="1621" spans="1:3" x14ac:dyDescent="0.2">
      <c r="A1621" s="28" t="s">
        <v>1471</v>
      </c>
      <c r="B1621" t="s">
        <v>5</v>
      </c>
      <c r="C1621" t="s">
        <v>6</v>
      </c>
    </row>
    <row r="1622" spans="1:3" x14ac:dyDescent="0.2">
      <c r="A1622" s="28" t="s">
        <v>1471</v>
      </c>
      <c r="B1622" t="s">
        <v>5</v>
      </c>
      <c r="C1622" t="s">
        <v>6</v>
      </c>
    </row>
    <row r="1623" spans="1:3" x14ac:dyDescent="0.2">
      <c r="A1623" s="28" t="s">
        <v>1471</v>
      </c>
      <c r="B1623" t="s">
        <v>5</v>
      </c>
      <c r="C1623" t="s">
        <v>6</v>
      </c>
    </row>
    <row r="1624" spans="1:3" x14ac:dyDescent="0.2">
      <c r="A1624" s="28" t="s">
        <v>1430</v>
      </c>
      <c r="B1624" t="s">
        <v>5</v>
      </c>
      <c r="C1624" t="s">
        <v>6</v>
      </c>
    </row>
    <row r="1625" spans="1:3" x14ac:dyDescent="0.2">
      <c r="A1625" s="28" t="s">
        <v>1430</v>
      </c>
      <c r="B1625" t="s">
        <v>5</v>
      </c>
      <c r="C1625" t="s">
        <v>6</v>
      </c>
    </row>
    <row r="1626" spans="1:3" x14ac:dyDescent="0.2">
      <c r="A1626" s="28" t="s">
        <v>1430</v>
      </c>
      <c r="B1626" t="s">
        <v>5</v>
      </c>
      <c r="C1626" t="s">
        <v>6</v>
      </c>
    </row>
    <row r="1627" spans="1:3" x14ac:dyDescent="0.2">
      <c r="A1627" s="28" t="s">
        <v>1430</v>
      </c>
      <c r="B1627" t="s">
        <v>5</v>
      </c>
      <c r="C1627" t="s">
        <v>6</v>
      </c>
    </row>
    <row r="1628" spans="1:3" x14ac:dyDescent="0.2">
      <c r="A1628" s="28" t="s">
        <v>1430</v>
      </c>
      <c r="B1628" t="s">
        <v>5</v>
      </c>
      <c r="C1628" t="s">
        <v>6</v>
      </c>
    </row>
    <row r="1629" spans="1:3" x14ac:dyDescent="0.2">
      <c r="A1629" s="28" t="s">
        <v>1398</v>
      </c>
      <c r="B1629" t="s">
        <v>5</v>
      </c>
      <c r="C1629" t="s">
        <v>6</v>
      </c>
    </row>
    <row r="1630" spans="1:3" x14ac:dyDescent="0.2">
      <c r="A1630" s="28" t="s">
        <v>1303</v>
      </c>
      <c r="B1630" t="s">
        <v>5</v>
      </c>
      <c r="C1630" t="s">
        <v>6</v>
      </c>
    </row>
    <row r="1631" spans="1:3" x14ac:dyDescent="0.2">
      <c r="A1631" s="28" t="s">
        <v>1303</v>
      </c>
      <c r="B1631" t="s">
        <v>5</v>
      </c>
      <c r="C1631" t="s">
        <v>6</v>
      </c>
    </row>
    <row r="1632" spans="1:3" x14ac:dyDescent="0.2">
      <c r="A1632" t="s">
        <v>491</v>
      </c>
      <c r="B1632" t="s">
        <v>469</v>
      </c>
      <c r="C1632" t="s">
        <v>45</v>
      </c>
    </row>
    <row r="1633" spans="1:4" x14ac:dyDescent="0.2">
      <c r="A1633" t="s">
        <v>506</v>
      </c>
      <c r="B1633" t="s">
        <v>498</v>
      </c>
      <c r="C1633" t="s">
        <v>6</v>
      </c>
    </row>
    <row r="1634" spans="1:4" x14ac:dyDescent="0.2">
      <c r="A1634" t="s">
        <v>147</v>
      </c>
      <c r="B1634" t="s">
        <v>98</v>
      </c>
      <c r="C1634" t="s">
        <v>45</v>
      </c>
      <c r="D1634" t="s">
        <v>102</v>
      </c>
    </row>
    <row r="1635" spans="1:4" x14ac:dyDescent="0.2">
      <c r="A1635" s="28" t="s">
        <v>1544</v>
      </c>
      <c r="B1635" t="s">
        <v>639</v>
      </c>
      <c r="C1635" t="s">
        <v>6</v>
      </c>
    </row>
    <row r="1636" spans="1:4" x14ac:dyDescent="0.2">
      <c r="A1636" t="s">
        <v>947</v>
      </c>
      <c r="B1636" t="s">
        <v>77</v>
      </c>
      <c r="C1636" t="s">
        <v>6</v>
      </c>
    </row>
    <row r="1637" spans="1:4" x14ac:dyDescent="0.2">
      <c r="A1637" s="6" t="s">
        <v>161</v>
      </c>
      <c r="B1637" s="6" t="s">
        <v>154</v>
      </c>
      <c r="C1637" t="s">
        <v>6</v>
      </c>
    </row>
    <row r="1638" spans="1:4" x14ac:dyDescent="0.2">
      <c r="A1638" s="6" t="s">
        <v>161</v>
      </c>
      <c r="B1638" s="6" t="s">
        <v>154</v>
      </c>
      <c r="C1638" t="s">
        <v>6</v>
      </c>
    </row>
    <row r="1639" spans="1:4" x14ac:dyDescent="0.2">
      <c r="A1639" s="6" t="s">
        <v>161</v>
      </c>
      <c r="B1639" s="6" t="s">
        <v>154</v>
      </c>
      <c r="C1639" t="s">
        <v>6</v>
      </c>
    </row>
    <row r="1640" spans="1:4" x14ac:dyDescent="0.2">
      <c r="A1640" s="6" t="s">
        <v>161</v>
      </c>
      <c r="B1640" s="6" t="s">
        <v>154</v>
      </c>
      <c r="C1640" t="s">
        <v>6</v>
      </c>
    </row>
    <row r="1641" spans="1:4" x14ac:dyDescent="0.2">
      <c r="A1641" s="6" t="s">
        <v>161</v>
      </c>
      <c r="B1641" s="6" t="s">
        <v>154</v>
      </c>
      <c r="C1641" t="s">
        <v>6</v>
      </c>
    </row>
    <row r="1642" spans="1:4" x14ac:dyDescent="0.2">
      <c r="A1642" t="s">
        <v>162</v>
      </c>
      <c r="B1642" t="s">
        <v>154</v>
      </c>
      <c r="C1642" t="s">
        <v>6</v>
      </c>
      <c r="D1642" t="s">
        <v>160</v>
      </c>
    </row>
    <row r="1643" spans="1:4" x14ac:dyDescent="0.2">
      <c r="A1643" t="s">
        <v>163</v>
      </c>
      <c r="B1643" t="s">
        <v>154</v>
      </c>
      <c r="C1643" t="s">
        <v>6</v>
      </c>
      <c r="D1643" t="s">
        <v>160</v>
      </c>
    </row>
    <row r="1644" spans="1:4" x14ac:dyDescent="0.2">
      <c r="A1644" s="6" t="s">
        <v>948</v>
      </c>
      <c r="B1644" t="s">
        <v>77</v>
      </c>
      <c r="C1644" t="s">
        <v>6</v>
      </c>
    </row>
    <row r="1645" spans="1:4" x14ac:dyDescent="0.2">
      <c r="A1645" s="6" t="s">
        <v>948</v>
      </c>
      <c r="B1645" t="s">
        <v>77</v>
      </c>
      <c r="C1645" t="s">
        <v>6</v>
      </c>
    </row>
    <row r="1646" spans="1:4" x14ac:dyDescent="0.2">
      <c r="A1646" s="5" t="s">
        <v>948</v>
      </c>
      <c r="B1646" t="s">
        <v>77</v>
      </c>
      <c r="C1646" t="s">
        <v>6</v>
      </c>
    </row>
    <row r="1647" spans="1:4" x14ac:dyDescent="0.2">
      <c r="A1647" s="6" t="s">
        <v>948</v>
      </c>
      <c r="B1647" t="s">
        <v>77</v>
      </c>
      <c r="C1647" t="s">
        <v>6</v>
      </c>
    </row>
    <row r="1648" spans="1:4" x14ac:dyDescent="0.2">
      <c r="A1648" s="5" t="s">
        <v>948</v>
      </c>
      <c r="B1648" t="s">
        <v>77</v>
      </c>
      <c r="C1648" t="s">
        <v>6</v>
      </c>
    </row>
    <row r="1649" spans="1:4" x14ac:dyDescent="0.2">
      <c r="A1649" s="5" t="s">
        <v>948</v>
      </c>
      <c r="B1649" t="s">
        <v>77</v>
      </c>
      <c r="C1649" t="s">
        <v>6</v>
      </c>
    </row>
    <row r="1650" spans="1:4" x14ac:dyDescent="0.2">
      <c r="A1650" s="5" t="s">
        <v>948</v>
      </c>
      <c r="B1650" t="s">
        <v>77</v>
      </c>
      <c r="C1650" t="s">
        <v>6</v>
      </c>
    </row>
    <row r="1651" spans="1:4" x14ac:dyDescent="0.2">
      <c r="A1651" s="5" t="s">
        <v>948</v>
      </c>
      <c r="B1651" t="s">
        <v>77</v>
      </c>
      <c r="C1651" t="s">
        <v>6</v>
      </c>
    </row>
    <row r="1652" spans="1:4" x14ac:dyDescent="0.2">
      <c r="A1652" s="5" t="s">
        <v>948</v>
      </c>
      <c r="B1652" t="s">
        <v>77</v>
      </c>
      <c r="C1652" t="s">
        <v>6</v>
      </c>
    </row>
    <row r="1653" spans="1:4" x14ac:dyDescent="0.2">
      <c r="A1653" s="5" t="s">
        <v>948</v>
      </c>
      <c r="B1653" t="s">
        <v>77</v>
      </c>
      <c r="C1653" t="s">
        <v>6</v>
      </c>
    </row>
    <row r="1654" spans="1:4" x14ac:dyDescent="0.2">
      <c r="A1654" s="5" t="s">
        <v>948</v>
      </c>
      <c r="B1654" t="s">
        <v>77</v>
      </c>
      <c r="C1654" t="s">
        <v>6</v>
      </c>
    </row>
    <row r="1655" spans="1:4" x14ac:dyDescent="0.2">
      <c r="A1655" s="6" t="s">
        <v>948</v>
      </c>
      <c r="B1655" t="s">
        <v>77</v>
      </c>
      <c r="C1655" t="s">
        <v>6</v>
      </c>
    </row>
    <row r="1656" spans="1:4" x14ac:dyDescent="0.2">
      <c r="A1656" s="5" t="s">
        <v>948</v>
      </c>
      <c r="B1656" t="s">
        <v>77</v>
      </c>
      <c r="C1656" t="s">
        <v>6</v>
      </c>
    </row>
    <row r="1657" spans="1:4" x14ac:dyDescent="0.2">
      <c r="A1657" s="6" t="s">
        <v>948</v>
      </c>
      <c r="B1657" t="s">
        <v>77</v>
      </c>
      <c r="C1657" t="s">
        <v>6</v>
      </c>
    </row>
    <row r="1658" spans="1:4" x14ac:dyDescent="0.2">
      <c r="A1658" s="6" t="s">
        <v>949</v>
      </c>
      <c r="B1658" t="s">
        <v>77</v>
      </c>
      <c r="C1658" t="s">
        <v>6</v>
      </c>
    </row>
    <row r="1659" spans="1:4" x14ac:dyDescent="0.2">
      <c r="A1659" t="s">
        <v>790</v>
      </c>
      <c r="B1659" t="s">
        <v>781</v>
      </c>
      <c r="C1659" t="s">
        <v>6</v>
      </c>
    </row>
    <row r="1660" spans="1:4" x14ac:dyDescent="0.2">
      <c r="A1660" t="s">
        <v>791</v>
      </c>
      <c r="B1660" t="s">
        <v>781</v>
      </c>
      <c r="C1660" t="s">
        <v>6</v>
      </c>
    </row>
    <row r="1661" spans="1:4" x14ac:dyDescent="0.2">
      <c r="A1661" t="s">
        <v>792</v>
      </c>
      <c r="B1661" t="s">
        <v>781</v>
      </c>
      <c r="C1661" t="s">
        <v>6</v>
      </c>
      <c r="D1661" t="s">
        <v>20</v>
      </c>
    </row>
    <row r="1662" spans="1:4" x14ac:dyDescent="0.2">
      <c r="A1662" t="s">
        <v>492</v>
      </c>
      <c r="B1662" t="s">
        <v>77</v>
      </c>
      <c r="C1662" t="s">
        <v>6</v>
      </c>
    </row>
    <row r="1663" spans="1:4" x14ac:dyDescent="0.2">
      <c r="A1663" t="s">
        <v>950</v>
      </c>
      <c r="B1663" t="s">
        <v>77</v>
      </c>
      <c r="C1663" t="s">
        <v>6</v>
      </c>
    </row>
    <row r="1664" spans="1:4" x14ac:dyDescent="0.2">
      <c r="A1664" t="s">
        <v>493</v>
      </c>
      <c r="B1664" t="s">
        <v>469</v>
      </c>
      <c r="C1664" t="s">
        <v>6</v>
      </c>
    </row>
    <row r="1665" spans="1:4" x14ac:dyDescent="0.2">
      <c r="A1665" t="s">
        <v>453</v>
      </c>
      <c r="B1665" t="s">
        <v>165</v>
      </c>
      <c r="C1665" t="s">
        <v>45</v>
      </c>
      <c r="D1665" t="s">
        <v>20</v>
      </c>
    </row>
    <row r="1666" spans="1:4" x14ac:dyDescent="0.2">
      <c r="A1666" t="s">
        <v>494</v>
      </c>
      <c r="B1666" t="s">
        <v>469</v>
      </c>
      <c r="C1666" t="s">
        <v>6</v>
      </c>
    </row>
    <row r="1667" spans="1:4" x14ac:dyDescent="0.2">
      <c r="A1667" s="3" t="s">
        <v>495</v>
      </c>
      <c r="B1667" t="s">
        <v>469</v>
      </c>
      <c r="C1667" t="s">
        <v>6</v>
      </c>
    </row>
    <row r="1668" spans="1:4" x14ac:dyDescent="0.2">
      <c r="A1668" t="s">
        <v>582</v>
      </c>
      <c r="B1668" t="s">
        <v>514</v>
      </c>
      <c r="C1668" t="s">
        <v>6</v>
      </c>
      <c r="D1668" t="s">
        <v>20</v>
      </c>
    </row>
    <row r="1669" spans="1:4" x14ac:dyDescent="0.2">
      <c r="A1669" s="28" t="s">
        <v>1405</v>
      </c>
      <c r="B1669" t="s">
        <v>165</v>
      </c>
      <c r="C1669" t="s">
        <v>45</v>
      </c>
    </row>
    <row r="1670" spans="1:4" x14ac:dyDescent="0.2">
      <c r="A1670" s="28" t="s">
        <v>1405</v>
      </c>
      <c r="B1670" t="s">
        <v>165</v>
      </c>
      <c r="C1670" t="s">
        <v>45</v>
      </c>
    </row>
    <row r="1671" spans="1:4" x14ac:dyDescent="0.2">
      <c r="A1671" s="28" t="s">
        <v>1405</v>
      </c>
      <c r="B1671" t="s">
        <v>165</v>
      </c>
      <c r="C1671" t="s">
        <v>45</v>
      </c>
    </row>
    <row r="1672" spans="1:4" x14ac:dyDescent="0.2">
      <c r="A1672" s="28" t="s">
        <v>1405</v>
      </c>
      <c r="B1672" t="s">
        <v>165</v>
      </c>
      <c r="C1672" t="s">
        <v>45</v>
      </c>
    </row>
    <row r="1673" spans="1:4" x14ac:dyDescent="0.2">
      <c r="A1673" s="28" t="s">
        <v>1405</v>
      </c>
      <c r="B1673" t="s">
        <v>165</v>
      </c>
      <c r="C1673" t="s">
        <v>45</v>
      </c>
    </row>
    <row r="1674" spans="1:4" x14ac:dyDescent="0.2">
      <c r="A1674" s="28" t="s">
        <v>1405</v>
      </c>
      <c r="B1674" t="s">
        <v>165</v>
      </c>
      <c r="C1674" t="s">
        <v>45</v>
      </c>
    </row>
    <row r="1675" spans="1:4" x14ac:dyDescent="0.2">
      <c r="A1675" s="28" t="s">
        <v>1405</v>
      </c>
      <c r="B1675" t="s">
        <v>165</v>
      </c>
      <c r="C1675" t="s">
        <v>45</v>
      </c>
    </row>
    <row r="1676" spans="1:4" x14ac:dyDescent="0.2">
      <c r="A1676" s="28" t="s">
        <v>1405</v>
      </c>
      <c r="B1676" t="s">
        <v>165</v>
      </c>
      <c r="C1676" t="s">
        <v>45</v>
      </c>
    </row>
    <row r="1677" spans="1:4" x14ac:dyDescent="0.2">
      <c r="A1677" s="28" t="s">
        <v>1405</v>
      </c>
      <c r="B1677" t="s">
        <v>165</v>
      </c>
      <c r="C1677" t="s">
        <v>45</v>
      </c>
    </row>
    <row r="1678" spans="1:4" x14ac:dyDescent="0.2">
      <c r="A1678" s="28" t="s">
        <v>1405</v>
      </c>
      <c r="B1678" t="s">
        <v>165</v>
      </c>
      <c r="C1678" t="s">
        <v>45</v>
      </c>
    </row>
    <row r="1679" spans="1:4" x14ac:dyDescent="0.2">
      <c r="A1679" s="3" t="s">
        <v>635</v>
      </c>
      <c r="B1679" t="s">
        <v>600</v>
      </c>
      <c r="C1679" t="s">
        <v>6</v>
      </c>
    </row>
    <row r="1680" spans="1:4" x14ac:dyDescent="0.2">
      <c r="A1680" s="3" t="s">
        <v>59</v>
      </c>
      <c r="B1680" t="s">
        <v>5</v>
      </c>
      <c r="C1680" t="s">
        <v>6</v>
      </c>
    </row>
    <row r="1681" spans="1:4" x14ac:dyDescent="0.2">
      <c r="A1681" t="s">
        <v>825</v>
      </c>
      <c r="B1681" t="s">
        <v>810</v>
      </c>
      <c r="C1681" t="s">
        <v>6</v>
      </c>
      <c r="D1681" t="s">
        <v>20</v>
      </c>
    </row>
    <row r="1682" spans="1:4" x14ac:dyDescent="0.2">
      <c r="A1682" t="s">
        <v>826</v>
      </c>
      <c r="B1682" t="s">
        <v>810</v>
      </c>
      <c r="C1682" t="s">
        <v>6</v>
      </c>
      <c r="D1682" t="s">
        <v>20</v>
      </c>
    </row>
    <row r="1683" spans="1:4" x14ac:dyDescent="0.2">
      <c r="A1683" t="s">
        <v>496</v>
      </c>
      <c r="B1683" t="s">
        <v>469</v>
      </c>
      <c r="C1683" t="s">
        <v>6</v>
      </c>
    </row>
    <row r="1684" spans="1:4" x14ac:dyDescent="0.2">
      <c r="A1684" t="s">
        <v>1131</v>
      </c>
      <c r="B1684" t="s">
        <v>956</v>
      </c>
      <c r="C1684" t="s">
        <v>56</v>
      </c>
    </row>
    <row r="1685" spans="1:4" x14ac:dyDescent="0.2">
      <c r="A1685" s="28" t="s">
        <v>1446</v>
      </c>
      <c r="B1685" t="s">
        <v>5</v>
      </c>
      <c r="C1685" t="s">
        <v>6</v>
      </c>
    </row>
    <row r="1686" spans="1:4" x14ac:dyDescent="0.2">
      <c r="A1686" s="28" t="s">
        <v>1446</v>
      </c>
      <c r="B1686" t="s">
        <v>5</v>
      </c>
      <c r="C1686" t="s">
        <v>6</v>
      </c>
    </row>
    <row r="1687" spans="1:4" x14ac:dyDescent="0.2">
      <c r="A1687" s="28" t="s">
        <v>1446</v>
      </c>
      <c r="B1687" t="s">
        <v>5</v>
      </c>
      <c r="C1687" t="s">
        <v>6</v>
      </c>
    </row>
    <row r="1688" spans="1:4" x14ac:dyDescent="0.2">
      <c r="A1688" t="s">
        <v>583</v>
      </c>
      <c r="B1688" t="s">
        <v>514</v>
      </c>
      <c r="C1688" t="s">
        <v>6</v>
      </c>
    </row>
    <row r="1689" spans="1:4" x14ac:dyDescent="0.2">
      <c r="A1689" s="28" t="s">
        <v>1652</v>
      </c>
      <c r="B1689" t="s">
        <v>514</v>
      </c>
      <c r="C1689" t="s">
        <v>6</v>
      </c>
    </row>
    <row r="1690" spans="1:4" x14ac:dyDescent="0.2">
      <c r="A1690" t="s">
        <v>584</v>
      </c>
      <c r="B1690" t="s">
        <v>514</v>
      </c>
      <c r="C1690" t="s">
        <v>6</v>
      </c>
      <c r="D1690" t="s">
        <v>20</v>
      </c>
    </row>
    <row r="1691" spans="1:4" x14ac:dyDescent="0.2">
      <c r="A1691" t="s">
        <v>833</v>
      </c>
      <c r="B1691" t="s">
        <v>828</v>
      </c>
      <c r="C1691" t="s">
        <v>6</v>
      </c>
      <c r="D1691" t="s">
        <v>829</v>
      </c>
    </row>
    <row r="1692" spans="1:4" x14ac:dyDescent="0.2">
      <c r="A1692" s="3" t="s">
        <v>1132</v>
      </c>
      <c r="B1692" t="s">
        <v>956</v>
      </c>
      <c r="C1692" t="s">
        <v>45</v>
      </c>
    </row>
    <row r="1693" spans="1:4" x14ac:dyDescent="0.2">
      <c r="A1693" s="28" t="s">
        <v>1640</v>
      </c>
      <c r="B1693" t="s">
        <v>956</v>
      </c>
      <c r="C1693" t="s">
        <v>45</v>
      </c>
    </row>
    <row r="1694" spans="1:4" x14ac:dyDescent="0.2">
      <c r="A1694" s="28" t="s">
        <v>1640</v>
      </c>
      <c r="B1694" t="s">
        <v>956</v>
      </c>
      <c r="C1694" t="s">
        <v>45</v>
      </c>
    </row>
    <row r="1695" spans="1:4" x14ac:dyDescent="0.2">
      <c r="A1695" t="s">
        <v>148</v>
      </c>
      <c r="B1695" t="s">
        <v>98</v>
      </c>
      <c r="C1695" t="s">
        <v>6</v>
      </c>
    </row>
    <row r="1696" spans="1:4" x14ac:dyDescent="0.2">
      <c r="A1696" s="28" t="s">
        <v>1663</v>
      </c>
      <c r="B1696" t="s">
        <v>98</v>
      </c>
      <c r="C1696" t="s">
        <v>6</v>
      </c>
    </row>
    <row r="1697" spans="1:3" x14ac:dyDescent="0.2">
      <c r="A1697" t="s">
        <v>454</v>
      </c>
      <c r="B1697" t="s">
        <v>165</v>
      </c>
      <c r="C1697" t="s">
        <v>45</v>
      </c>
    </row>
    <row r="1698" spans="1:3" x14ac:dyDescent="0.2">
      <c r="A1698" s="5" t="s">
        <v>767</v>
      </c>
      <c r="B1698" t="s">
        <v>768</v>
      </c>
      <c r="C1698" t="s">
        <v>45</v>
      </c>
    </row>
    <row r="1699" spans="1:3" x14ac:dyDescent="0.2">
      <c r="A1699" s="6" t="s">
        <v>769</v>
      </c>
      <c r="B1699" t="s">
        <v>768</v>
      </c>
      <c r="C1699" t="s">
        <v>45</v>
      </c>
    </row>
    <row r="1700" spans="1:3" x14ac:dyDescent="0.2">
      <c r="A1700" s="6" t="s">
        <v>509</v>
      </c>
      <c r="B1700" t="s">
        <v>508</v>
      </c>
      <c r="C1700" t="s">
        <v>45</v>
      </c>
    </row>
    <row r="1701" spans="1:3" x14ac:dyDescent="0.2">
      <c r="A1701" s="5" t="s">
        <v>770</v>
      </c>
      <c r="B1701" t="s">
        <v>768</v>
      </c>
      <c r="C1701" t="s">
        <v>45</v>
      </c>
    </row>
    <row r="1702" spans="1:3" x14ac:dyDescent="0.2">
      <c r="A1702" s="6" t="s">
        <v>771</v>
      </c>
      <c r="B1702" t="s">
        <v>768</v>
      </c>
      <c r="C1702" t="s">
        <v>45</v>
      </c>
    </row>
    <row r="1703" spans="1:3" x14ac:dyDescent="0.2">
      <c r="A1703" s="5" t="s">
        <v>772</v>
      </c>
      <c r="B1703" t="s">
        <v>768</v>
      </c>
      <c r="C1703" t="s">
        <v>45</v>
      </c>
    </row>
    <row r="1704" spans="1:3" x14ac:dyDescent="0.2">
      <c r="A1704" s="6" t="s">
        <v>773</v>
      </c>
      <c r="B1704" t="s">
        <v>768</v>
      </c>
      <c r="C1704" t="s">
        <v>45</v>
      </c>
    </row>
    <row r="1705" spans="1:3" x14ac:dyDescent="0.2">
      <c r="A1705" s="6" t="s">
        <v>774</v>
      </c>
      <c r="B1705" t="s">
        <v>768</v>
      </c>
      <c r="C1705" t="s">
        <v>45</v>
      </c>
    </row>
    <row r="1706" spans="1:3" x14ac:dyDescent="0.2">
      <c r="A1706" s="6" t="s">
        <v>775</v>
      </c>
      <c r="B1706" t="s">
        <v>768</v>
      </c>
      <c r="C1706" t="s">
        <v>45</v>
      </c>
    </row>
    <row r="1707" spans="1:3" x14ac:dyDescent="0.2">
      <c r="A1707" s="6" t="s">
        <v>510</v>
      </c>
      <c r="B1707" t="s">
        <v>508</v>
      </c>
      <c r="C1707" t="s">
        <v>45</v>
      </c>
    </row>
    <row r="1708" spans="1:3" x14ac:dyDescent="0.2">
      <c r="A1708" s="6" t="s">
        <v>776</v>
      </c>
      <c r="B1708" t="s">
        <v>768</v>
      </c>
      <c r="C1708" t="s">
        <v>45</v>
      </c>
    </row>
    <row r="1709" spans="1:3" x14ac:dyDescent="0.2">
      <c r="A1709" s="5" t="s">
        <v>777</v>
      </c>
      <c r="B1709" t="s">
        <v>768</v>
      </c>
      <c r="C1709" t="s">
        <v>45</v>
      </c>
    </row>
    <row r="1710" spans="1:3" x14ac:dyDescent="0.2">
      <c r="A1710" t="s">
        <v>2506</v>
      </c>
    </row>
    <row r="1711" spans="1:3" x14ac:dyDescent="0.2">
      <c r="A1711" t="s">
        <v>2478</v>
      </c>
    </row>
    <row r="1712" spans="1:3" x14ac:dyDescent="0.2">
      <c r="A1712" s="66" t="s">
        <v>1208</v>
      </c>
      <c r="B1712" t="s">
        <v>1185</v>
      </c>
    </row>
    <row r="1713" spans="1:4" x14ac:dyDescent="0.2">
      <c r="A1713" t="s">
        <v>2520</v>
      </c>
    </row>
    <row r="1714" spans="1:4" x14ac:dyDescent="0.2">
      <c r="A1714" s="3" t="s">
        <v>758</v>
      </c>
      <c r="B1714" t="s">
        <v>639</v>
      </c>
      <c r="C1714" t="s">
        <v>56</v>
      </c>
    </row>
    <row r="1715" spans="1:4" x14ac:dyDescent="0.2">
      <c r="A1715" s="66" t="s">
        <v>1209</v>
      </c>
      <c r="B1715" t="s">
        <v>1185</v>
      </c>
    </row>
    <row r="1716" spans="1:4" x14ac:dyDescent="0.2">
      <c r="A1716" t="s">
        <v>2526</v>
      </c>
    </row>
    <row r="1717" spans="1:4" x14ac:dyDescent="0.2">
      <c r="A1717" t="s">
        <v>2510</v>
      </c>
    </row>
    <row r="1718" spans="1:4" x14ac:dyDescent="0.2">
      <c r="A1718" s="3" t="s">
        <v>1211</v>
      </c>
      <c r="B1718" t="s">
        <v>1185</v>
      </c>
    </row>
    <row r="1719" spans="1:4" x14ac:dyDescent="0.2">
      <c r="A1719" t="s">
        <v>2536</v>
      </c>
    </row>
    <row r="1720" spans="1:4" x14ac:dyDescent="0.2">
      <c r="A1720" t="s">
        <v>2453</v>
      </c>
    </row>
    <row r="1721" spans="1:4" x14ac:dyDescent="0.2">
      <c r="A1721" s="3" t="s">
        <v>455</v>
      </c>
      <c r="B1721" t="s">
        <v>165</v>
      </c>
      <c r="C1721" t="s">
        <v>45</v>
      </c>
    </row>
    <row r="1722" spans="1:4" x14ac:dyDescent="0.2">
      <c r="A1722" s="28" t="s">
        <v>1312</v>
      </c>
      <c r="B1722" t="s">
        <v>165</v>
      </c>
      <c r="C1722" t="s">
        <v>45</v>
      </c>
    </row>
    <row r="1723" spans="1:4" x14ac:dyDescent="0.2">
      <c r="A1723" s="28" t="s">
        <v>1312</v>
      </c>
      <c r="B1723" t="s">
        <v>165</v>
      </c>
      <c r="C1723" t="s">
        <v>45</v>
      </c>
    </row>
    <row r="1724" spans="1:4" x14ac:dyDescent="0.2">
      <c r="A1724" t="s">
        <v>149</v>
      </c>
      <c r="B1724" t="s">
        <v>98</v>
      </c>
      <c r="C1724" t="s">
        <v>45</v>
      </c>
    </row>
    <row r="1725" spans="1:4" x14ac:dyDescent="0.2">
      <c r="A1725" t="s">
        <v>636</v>
      </c>
      <c r="B1725" t="s">
        <v>600</v>
      </c>
      <c r="C1725" t="s">
        <v>6</v>
      </c>
      <c r="D1725" t="s">
        <v>609</v>
      </c>
    </row>
    <row r="1726" spans="1:4" x14ac:dyDescent="0.2">
      <c r="A1726" t="s">
        <v>636</v>
      </c>
      <c r="B1726" t="s">
        <v>600</v>
      </c>
      <c r="C1726" t="s">
        <v>6</v>
      </c>
      <c r="D1726" t="s">
        <v>20</v>
      </c>
    </row>
    <row r="1727" spans="1:4" x14ac:dyDescent="0.2">
      <c r="A1727" s="3" t="s">
        <v>456</v>
      </c>
      <c r="B1727" t="s">
        <v>165</v>
      </c>
      <c r="C1727" t="s">
        <v>45</v>
      </c>
    </row>
    <row r="1728" spans="1:4" x14ac:dyDescent="0.2">
      <c r="A1728" t="s">
        <v>1225</v>
      </c>
      <c r="B1728" t="s">
        <v>165</v>
      </c>
      <c r="C1728" t="s">
        <v>45</v>
      </c>
    </row>
    <row r="1729" spans="1:4" x14ac:dyDescent="0.2">
      <c r="A1729" t="s">
        <v>457</v>
      </c>
      <c r="B1729" t="s">
        <v>165</v>
      </c>
      <c r="C1729" t="s">
        <v>45</v>
      </c>
    </row>
    <row r="1730" spans="1:4" x14ac:dyDescent="0.2">
      <c r="A1730" s="28" t="s">
        <v>1499</v>
      </c>
      <c r="B1730" t="s">
        <v>956</v>
      </c>
      <c r="C1730" t="s">
        <v>45</v>
      </c>
    </row>
    <row r="1731" spans="1:4" x14ac:dyDescent="0.2">
      <c r="A1731" s="3" t="s">
        <v>1133</v>
      </c>
      <c r="B1731" t="s">
        <v>956</v>
      </c>
      <c r="C1731" t="s">
        <v>6</v>
      </c>
    </row>
    <row r="1732" spans="1:4" x14ac:dyDescent="0.2">
      <c r="A1732" t="s">
        <v>60</v>
      </c>
      <c r="B1732" t="s">
        <v>5</v>
      </c>
      <c r="C1732" t="s">
        <v>6</v>
      </c>
    </row>
    <row r="1733" spans="1:4" x14ac:dyDescent="0.2">
      <c r="A1733" t="s">
        <v>61</v>
      </c>
      <c r="B1733" t="s">
        <v>5</v>
      </c>
      <c r="C1733" t="s">
        <v>6</v>
      </c>
      <c r="D1733" t="s">
        <v>20</v>
      </c>
    </row>
    <row r="1734" spans="1:4" x14ac:dyDescent="0.2">
      <c r="A1734" s="10" t="s">
        <v>1134</v>
      </c>
      <c r="B1734" s="10" t="s">
        <v>956</v>
      </c>
      <c r="C1734" t="s">
        <v>45</v>
      </c>
      <c r="D1734" t="s">
        <v>958</v>
      </c>
    </row>
    <row r="1735" spans="1:4" x14ac:dyDescent="0.2">
      <c r="A1735" t="s">
        <v>62</v>
      </c>
      <c r="B1735" t="s">
        <v>5</v>
      </c>
      <c r="C1735" t="s">
        <v>6</v>
      </c>
      <c r="D1735" t="s">
        <v>20</v>
      </c>
    </row>
    <row r="1736" spans="1:4" x14ac:dyDescent="0.2">
      <c r="A1736" s="3" t="s">
        <v>1135</v>
      </c>
      <c r="B1736" t="s">
        <v>956</v>
      </c>
      <c r="C1736" t="s">
        <v>45</v>
      </c>
    </row>
    <row r="1737" spans="1:4" x14ac:dyDescent="0.2">
      <c r="A1737" s="3" t="s">
        <v>1136</v>
      </c>
      <c r="B1737" t="s">
        <v>956</v>
      </c>
      <c r="C1737" t="s">
        <v>45</v>
      </c>
    </row>
    <row r="1738" spans="1:4" x14ac:dyDescent="0.2">
      <c r="A1738" t="s">
        <v>63</v>
      </c>
      <c r="B1738" t="s">
        <v>5</v>
      </c>
      <c r="C1738" t="s">
        <v>6</v>
      </c>
      <c r="D1738" t="s">
        <v>20</v>
      </c>
    </row>
    <row r="1739" spans="1:4" x14ac:dyDescent="0.2">
      <c r="A1739" s="3" t="s">
        <v>856</v>
      </c>
      <c r="B1739" t="s">
        <v>848</v>
      </c>
      <c r="C1739" t="s">
        <v>6</v>
      </c>
    </row>
    <row r="1740" spans="1:4" x14ac:dyDescent="0.2">
      <c r="A1740" s="3" t="s">
        <v>1137</v>
      </c>
      <c r="B1740" t="s">
        <v>956</v>
      </c>
      <c r="C1740" t="s">
        <v>45</v>
      </c>
    </row>
    <row r="1741" spans="1:4" x14ac:dyDescent="0.2">
      <c r="A1741" s="3" t="s">
        <v>1138</v>
      </c>
      <c r="B1741" t="s">
        <v>956</v>
      </c>
      <c r="C1741" t="s">
        <v>45</v>
      </c>
    </row>
    <row r="1742" spans="1:4" x14ac:dyDescent="0.2">
      <c r="A1742" t="s">
        <v>458</v>
      </c>
      <c r="B1742" t="s">
        <v>165</v>
      </c>
      <c r="C1742" t="s">
        <v>45</v>
      </c>
      <c r="D1742" t="s">
        <v>20</v>
      </c>
    </row>
    <row r="1743" spans="1:4" x14ac:dyDescent="0.2">
      <c r="A1743" t="s">
        <v>759</v>
      </c>
      <c r="B1743" t="s">
        <v>639</v>
      </c>
      <c r="C1743" t="s">
        <v>6</v>
      </c>
    </row>
    <row r="1744" spans="1:4" x14ac:dyDescent="0.2">
      <c r="A1744" t="s">
        <v>459</v>
      </c>
      <c r="B1744" t="s">
        <v>165</v>
      </c>
      <c r="C1744" t="s">
        <v>45</v>
      </c>
    </row>
    <row r="1745" spans="1:4" x14ac:dyDescent="0.2">
      <c r="A1745" s="28" t="s">
        <v>1497</v>
      </c>
      <c r="B1745" t="s">
        <v>165</v>
      </c>
      <c r="C1745" t="s">
        <v>45</v>
      </c>
    </row>
    <row r="1746" spans="1:4" x14ac:dyDescent="0.2">
      <c r="A1746" s="28" t="s">
        <v>1497</v>
      </c>
      <c r="B1746" t="s">
        <v>165</v>
      </c>
      <c r="C1746" t="s">
        <v>45</v>
      </c>
    </row>
    <row r="1747" spans="1:4" x14ac:dyDescent="0.2">
      <c r="A1747" s="28" t="s">
        <v>1497</v>
      </c>
      <c r="B1747" t="s">
        <v>165</v>
      </c>
      <c r="C1747" t="s">
        <v>45</v>
      </c>
    </row>
    <row r="1748" spans="1:4" x14ac:dyDescent="0.2">
      <c r="A1748" t="s">
        <v>760</v>
      </c>
      <c r="B1748" t="s">
        <v>639</v>
      </c>
      <c r="C1748" t="s">
        <v>6</v>
      </c>
    </row>
    <row r="1749" spans="1:4" x14ac:dyDescent="0.2">
      <c r="A1749" t="s">
        <v>585</v>
      </c>
      <c r="B1749" t="s">
        <v>514</v>
      </c>
      <c r="C1749" t="s">
        <v>6</v>
      </c>
      <c r="D1749" t="s">
        <v>515</v>
      </c>
    </row>
    <row r="1750" spans="1:4" x14ac:dyDescent="0.2">
      <c r="A1750" t="s">
        <v>586</v>
      </c>
      <c r="B1750" t="s">
        <v>514</v>
      </c>
      <c r="C1750" t="s">
        <v>56</v>
      </c>
    </row>
    <row r="1751" spans="1:4" x14ac:dyDescent="0.2">
      <c r="A1751" t="s">
        <v>587</v>
      </c>
      <c r="B1751" t="s">
        <v>514</v>
      </c>
      <c r="C1751" t="s">
        <v>6</v>
      </c>
      <c r="D1751" t="s">
        <v>20</v>
      </c>
    </row>
    <row r="1752" spans="1:4" x14ac:dyDescent="0.2">
      <c r="A1752" t="s">
        <v>588</v>
      </c>
      <c r="B1752" t="s">
        <v>514</v>
      </c>
      <c r="C1752" t="s">
        <v>6</v>
      </c>
      <c r="D1752" t="s">
        <v>20</v>
      </c>
    </row>
    <row r="1753" spans="1:4" x14ac:dyDescent="0.2">
      <c r="A1753" t="s">
        <v>589</v>
      </c>
      <c r="B1753" t="s">
        <v>514</v>
      </c>
      <c r="C1753" t="s">
        <v>6</v>
      </c>
      <c r="D1753" t="s">
        <v>20</v>
      </c>
    </row>
    <row r="1754" spans="1:4" x14ac:dyDescent="0.2">
      <c r="A1754" t="s">
        <v>590</v>
      </c>
      <c r="B1754" t="s">
        <v>514</v>
      </c>
      <c r="C1754" t="s">
        <v>6</v>
      </c>
      <c r="D1754" t="s">
        <v>20</v>
      </c>
    </row>
    <row r="1755" spans="1:4" x14ac:dyDescent="0.2">
      <c r="A1755" t="s">
        <v>591</v>
      </c>
      <c r="B1755" t="s">
        <v>514</v>
      </c>
      <c r="C1755" t="s">
        <v>6</v>
      </c>
    </row>
    <row r="1756" spans="1:4" x14ac:dyDescent="0.2">
      <c r="A1756" t="s">
        <v>761</v>
      </c>
      <c r="B1756" t="s">
        <v>639</v>
      </c>
      <c r="C1756" t="s">
        <v>6</v>
      </c>
    </row>
    <row r="1757" spans="1:4" x14ac:dyDescent="0.2">
      <c r="A1757" s="28" t="s">
        <v>1599</v>
      </c>
      <c r="B1757" t="s">
        <v>639</v>
      </c>
      <c r="C1757" t="s">
        <v>6</v>
      </c>
    </row>
    <row r="1758" spans="1:4" x14ac:dyDescent="0.2">
      <c r="A1758" t="s">
        <v>762</v>
      </c>
      <c r="B1758" t="s">
        <v>639</v>
      </c>
      <c r="C1758" t="s">
        <v>6</v>
      </c>
    </row>
    <row r="1759" spans="1:4" x14ac:dyDescent="0.2">
      <c r="A1759" t="s">
        <v>2546</v>
      </c>
    </row>
    <row r="1760" spans="1:4" x14ac:dyDescent="0.2">
      <c r="A1760" t="s">
        <v>1181</v>
      </c>
      <c r="B1760" t="s">
        <v>1170</v>
      </c>
      <c r="C1760" t="s">
        <v>45</v>
      </c>
    </row>
    <row r="1761" spans="1:4" x14ac:dyDescent="0.2">
      <c r="A1761" s="3" t="s">
        <v>1182</v>
      </c>
      <c r="B1761" t="s">
        <v>1170</v>
      </c>
      <c r="C1761" t="s">
        <v>45</v>
      </c>
    </row>
    <row r="1762" spans="1:4" x14ac:dyDescent="0.2">
      <c r="A1762" s="5" t="s">
        <v>1183</v>
      </c>
      <c r="B1762" t="s">
        <v>1170</v>
      </c>
      <c r="C1762" t="s">
        <v>45</v>
      </c>
    </row>
    <row r="1763" spans="1:4" x14ac:dyDescent="0.2">
      <c r="A1763" s="6" t="s">
        <v>1183</v>
      </c>
      <c r="B1763" t="s">
        <v>1170</v>
      </c>
      <c r="C1763" t="s">
        <v>45</v>
      </c>
    </row>
    <row r="1764" spans="1:4" x14ac:dyDescent="0.2">
      <c r="A1764" t="s">
        <v>64</v>
      </c>
      <c r="B1764" t="s">
        <v>5</v>
      </c>
      <c r="C1764" t="s">
        <v>6</v>
      </c>
    </row>
    <row r="1765" spans="1:4" x14ac:dyDescent="0.2">
      <c r="A1765" t="s">
        <v>65</v>
      </c>
      <c r="B1765" t="s">
        <v>5</v>
      </c>
      <c r="C1765" t="s">
        <v>6</v>
      </c>
      <c r="D1765" t="s">
        <v>20</v>
      </c>
    </row>
    <row r="1766" spans="1:4" x14ac:dyDescent="0.2">
      <c r="A1766" t="s">
        <v>66</v>
      </c>
      <c r="B1766" t="s">
        <v>5</v>
      </c>
      <c r="C1766" t="s">
        <v>6</v>
      </c>
      <c r="D1766" t="s">
        <v>20</v>
      </c>
    </row>
    <row r="1767" spans="1:4" x14ac:dyDescent="0.2">
      <c r="A1767" s="28" t="s">
        <v>1648</v>
      </c>
      <c r="B1767" t="s">
        <v>5</v>
      </c>
      <c r="C1767" t="s">
        <v>6</v>
      </c>
    </row>
    <row r="1768" spans="1:4" x14ac:dyDescent="0.2">
      <c r="A1768" s="28" t="s">
        <v>1518</v>
      </c>
      <c r="B1768" t="s">
        <v>514</v>
      </c>
      <c r="C1768" t="s">
        <v>6</v>
      </c>
    </row>
    <row r="1769" spans="1:4" x14ac:dyDescent="0.2">
      <c r="A1769" s="28" t="s">
        <v>1581</v>
      </c>
      <c r="B1769" t="s">
        <v>514</v>
      </c>
      <c r="C1769" t="s">
        <v>6</v>
      </c>
    </row>
    <row r="1770" spans="1:4" x14ac:dyDescent="0.2">
      <c r="A1770" s="28" t="s">
        <v>1581</v>
      </c>
      <c r="B1770" t="s">
        <v>514</v>
      </c>
      <c r="C1770" t="s">
        <v>6</v>
      </c>
    </row>
    <row r="1771" spans="1:4" x14ac:dyDescent="0.2">
      <c r="A1771" s="3" t="s">
        <v>763</v>
      </c>
      <c r="B1771" t="s">
        <v>639</v>
      </c>
      <c r="C1771" t="s">
        <v>6</v>
      </c>
    </row>
    <row r="1772" spans="1:4" x14ac:dyDescent="0.2">
      <c r="A1772" t="s">
        <v>150</v>
      </c>
      <c r="B1772" t="s">
        <v>98</v>
      </c>
      <c r="C1772" t="s">
        <v>6</v>
      </c>
      <c r="D1772" t="s">
        <v>102</v>
      </c>
    </row>
    <row r="1773" spans="1:4" x14ac:dyDescent="0.2">
      <c r="A1773" t="s">
        <v>96</v>
      </c>
      <c r="B1773" t="s">
        <v>87</v>
      </c>
      <c r="C1773" t="s">
        <v>6</v>
      </c>
    </row>
    <row r="1774" spans="1:4" x14ac:dyDescent="0.2">
      <c r="A1774" s="31" t="s">
        <v>1798</v>
      </c>
      <c r="B1774" t="s">
        <v>87</v>
      </c>
      <c r="C1774" t="s">
        <v>6</v>
      </c>
    </row>
    <row r="1775" spans="1:4" x14ac:dyDescent="0.2">
      <c r="A1775" t="s">
        <v>151</v>
      </c>
      <c r="B1775" t="s">
        <v>98</v>
      </c>
      <c r="C1775" t="s">
        <v>45</v>
      </c>
    </row>
    <row r="1776" spans="1:4" x14ac:dyDescent="0.2">
      <c r="A1776" s="31" t="s">
        <v>1615</v>
      </c>
      <c r="B1776" t="s">
        <v>469</v>
      </c>
      <c r="C1776" t="s">
        <v>6</v>
      </c>
    </row>
    <row r="1777" spans="1:4" x14ac:dyDescent="0.2">
      <c r="A1777" t="s">
        <v>460</v>
      </c>
      <c r="B1777" t="s">
        <v>165</v>
      </c>
      <c r="C1777" t="s">
        <v>45</v>
      </c>
    </row>
    <row r="1778" spans="1:4" x14ac:dyDescent="0.2">
      <c r="A1778" t="s">
        <v>467</v>
      </c>
      <c r="B1778" t="s">
        <v>464</v>
      </c>
      <c r="C1778" t="s">
        <v>6</v>
      </c>
      <c r="D1778" t="s">
        <v>20</v>
      </c>
    </row>
    <row r="1779" spans="1:4" x14ac:dyDescent="0.2">
      <c r="A1779" t="s">
        <v>152</v>
      </c>
      <c r="B1779" t="s">
        <v>98</v>
      </c>
      <c r="C1779" t="s">
        <v>45</v>
      </c>
      <c r="D1779" t="s">
        <v>102</v>
      </c>
    </row>
    <row r="1780" spans="1:4" x14ac:dyDescent="0.2">
      <c r="A1780" t="s">
        <v>461</v>
      </c>
      <c r="B1780" t="s">
        <v>165</v>
      </c>
      <c r="C1780" t="s">
        <v>45</v>
      </c>
    </row>
    <row r="1781" spans="1:4" x14ac:dyDescent="0.2">
      <c r="A1781" s="28" t="s">
        <v>1776</v>
      </c>
      <c r="B1781" t="s">
        <v>956</v>
      </c>
      <c r="C1781" t="s">
        <v>45</v>
      </c>
    </row>
    <row r="1782" spans="1:4" x14ac:dyDescent="0.2">
      <c r="A1782" s="3" t="s">
        <v>1139</v>
      </c>
      <c r="B1782" s="16" t="s">
        <v>956</v>
      </c>
      <c r="C1782" s="16" t="s">
        <v>45</v>
      </c>
    </row>
    <row r="1783" spans="1:4" x14ac:dyDescent="0.2">
      <c r="A1783" s="3" t="s">
        <v>1140</v>
      </c>
      <c r="B1783" t="s">
        <v>956</v>
      </c>
      <c r="C1783" t="s">
        <v>45</v>
      </c>
    </row>
    <row r="1784" spans="1:4" x14ac:dyDescent="0.2">
      <c r="A1784" s="28" t="s">
        <v>1735</v>
      </c>
      <c r="B1784" t="s">
        <v>165</v>
      </c>
      <c r="C1784" t="s">
        <v>45</v>
      </c>
    </row>
    <row r="1785" spans="1:4" x14ac:dyDescent="0.2">
      <c r="A1785" t="s">
        <v>1141</v>
      </c>
      <c r="B1785" t="s">
        <v>956</v>
      </c>
      <c r="C1785" t="s">
        <v>45</v>
      </c>
    </row>
    <row r="1786" spans="1:4" x14ac:dyDescent="0.2">
      <c r="A1786" t="s">
        <v>764</v>
      </c>
      <c r="B1786" t="s">
        <v>639</v>
      </c>
      <c r="C1786" t="s">
        <v>45</v>
      </c>
    </row>
    <row r="1787" spans="1:4" x14ac:dyDescent="0.2">
      <c r="A1787" s="5" t="s">
        <v>765</v>
      </c>
      <c r="B1787" s="13" t="s">
        <v>639</v>
      </c>
      <c r="C1787" t="s">
        <v>6</v>
      </c>
    </row>
    <row r="1788" spans="1:4" x14ac:dyDescent="0.2">
      <c r="A1788" s="6" t="s">
        <v>766</v>
      </c>
      <c r="B1788" s="13" t="s">
        <v>639</v>
      </c>
      <c r="C1788" t="s">
        <v>6</v>
      </c>
    </row>
    <row r="1789" spans="1:4" x14ac:dyDescent="0.2">
      <c r="A1789" s="3" t="s">
        <v>637</v>
      </c>
      <c r="B1789" t="s">
        <v>600</v>
      </c>
      <c r="C1789" t="s">
        <v>6</v>
      </c>
    </row>
    <row r="1790" spans="1:4" x14ac:dyDescent="0.2">
      <c r="A1790" t="s">
        <v>462</v>
      </c>
      <c r="B1790" t="s">
        <v>165</v>
      </c>
      <c r="C1790" t="s">
        <v>45</v>
      </c>
    </row>
    <row r="1791" spans="1:4" x14ac:dyDescent="0.2">
      <c r="A1791" t="s">
        <v>1142</v>
      </c>
      <c r="B1791" t="s">
        <v>956</v>
      </c>
      <c r="C1791" t="s">
        <v>45</v>
      </c>
    </row>
    <row r="1792" spans="1:4" x14ac:dyDescent="0.2">
      <c r="A1792" s="28" t="s">
        <v>1628</v>
      </c>
      <c r="B1792" t="s">
        <v>514</v>
      </c>
      <c r="C1792" t="s">
        <v>6</v>
      </c>
    </row>
    <row r="1793" spans="1:3" x14ac:dyDescent="0.2">
      <c r="A1793" s="65" t="s">
        <v>1745</v>
      </c>
    </row>
    <row r="1794" spans="1:3" x14ac:dyDescent="0.2">
      <c r="A1794" t="s">
        <v>2482</v>
      </c>
    </row>
    <row r="1795" spans="1:3" x14ac:dyDescent="0.2">
      <c r="A1795" t="s">
        <v>2462</v>
      </c>
      <c r="B1795" t="s">
        <v>165</v>
      </c>
      <c r="C1795" t="s">
        <v>45</v>
      </c>
    </row>
    <row r="1796" spans="1:3" x14ac:dyDescent="0.2">
      <c r="A1796" t="s">
        <v>2493</v>
      </c>
    </row>
    <row r="1797" spans="1:3" x14ac:dyDescent="0.2">
      <c r="A1797" s="65" t="s">
        <v>1852</v>
      </c>
      <c r="B1797" s="67"/>
      <c r="C1797" s="67"/>
    </row>
    <row r="1798" spans="1:3" x14ac:dyDescent="0.2">
      <c r="A1798" t="s">
        <v>2455</v>
      </c>
      <c r="B1798" t="s">
        <v>956</v>
      </c>
      <c r="C1798" t="s">
        <v>45</v>
      </c>
    </row>
    <row r="1799" spans="1:3" x14ac:dyDescent="0.2">
      <c r="A1799" t="s">
        <v>2457</v>
      </c>
      <c r="B1799" t="s">
        <v>956</v>
      </c>
      <c r="C1799" t="s">
        <v>45</v>
      </c>
    </row>
    <row r="1800" spans="1:3" x14ac:dyDescent="0.2">
      <c r="A1800" t="s">
        <v>2458</v>
      </c>
      <c r="B1800" t="s">
        <v>956</v>
      </c>
      <c r="C1800" t="s">
        <v>45</v>
      </c>
    </row>
    <row r="1801" spans="1:3" x14ac:dyDescent="0.2">
      <c r="A1801" t="s">
        <v>2459</v>
      </c>
      <c r="B1801" t="s">
        <v>956</v>
      </c>
      <c r="C1801" t="s">
        <v>45</v>
      </c>
    </row>
    <row r="1802" spans="1:3" x14ac:dyDescent="0.2">
      <c r="A1802" t="s">
        <v>2460</v>
      </c>
      <c r="B1802" t="s">
        <v>956</v>
      </c>
      <c r="C1802" t="s">
        <v>45</v>
      </c>
    </row>
    <row r="1803" spans="1:3" x14ac:dyDescent="0.2">
      <c r="A1803" t="s">
        <v>2471</v>
      </c>
    </row>
    <row r="1804" spans="1:3" x14ac:dyDescent="0.2">
      <c r="A1804" t="s">
        <v>2527</v>
      </c>
    </row>
    <row r="1805" spans="1:3" x14ac:dyDescent="0.2">
      <c r="A1805" s="65" t="s">
        <v>1610</v>
      </c>
    </row>
    <row r="1806" spans="1:3" x14ac:dyDescent="0.2">
      <c r="A1806" s="65" t="s">
        <v>1381</v>
      </c>
    </row>
    <row r="1807" spans="1:3" x14ac:dyDescent="0.2">
      <c r="A1807" t="s">
        <v>2484</v>
      </c>
    </row>
    <row r="1808" spans="1:3" x14ac:dyDescent="0.2">
      <c r="A1808" t="s">
        <v>2532</v>
      </c>
    </row>
    <row r="1809" spans="1:3" x14ac:dyDescent="0.2">
      <c r="A1809" t="s">
        <v>2477</v>
      </c>
    </row>
    <row r="1810" spans="1:3" x14ac:dyDescent="0.2">
      <c r="A1810" t="s">
        <v>2503</v>
      </c>
    </row>
    <row r="1811" spans="1:3" x14ac:dyDescent="0.2">
      <c r="A1811" t="s">
        <v>2530</v>
      </c>
    </row>
    <row r="1812" spans="1:3" x14ac:dyDescent="0.2">
      <c r="A1812" t="s">
        <v>2516</v>
      </c>
    </row>
    <row r="1813" spans="1:3" x14ac:dyDescent="0.2">
      <c r="A1813" t="s">
        <v>2470</v>
      </c>
    </row>
    <row r="1814" spans="1:3" x14ac:dyDescent="0.2">
      <c r="A1814" s="67" t="s">
        <v>1212</v>
      </c>
      <c r="B1814" t="s">
        <v>1185</v>
      </c>
    </row>
    <row r="1815" spans="1:3" x14ac:dyDescent="0.2">
      <c r="A1815" s="65" t="s">
        <v>1668</v>
      </c>
    </row>
    <row r="1816" spans="1:3" x14ac:dyDescent="0.2">
      <c r="A1816" s="65" t="s">
        <v>1360</v>
      </c>
      <c r="B1816" s="67"/>
      <c r="C1816" s="67"/>
    </row>
    <row r="1817" spans="1:3" x14ac:dyDescent="0.2">
      <c r="A1817" t="s">
        <v>2485</v>
      </c>
    </row>
    <row r="1818" spans="1:3" x14ac:dyDescent="0.2">
      <c r="A1818" t="s">
        <v>2550</v>
      </c>
    </row>
    <row r="1819" spans="1:3" x14ac:dyDescent="0.2">
      <c r="A1819" t="s">
        <v>2473</v>
      </c>
    </row>
    <row r="1820" spans="1:3" x14ac:dyDescent="0.2">
      <c r="A1820" t="s">
        <v>2547</v>
      </c>
    </row>
    <row r="1821" spans="1:3" x14ac:dyDescent="0.2">
      <c r="A1821" t="s">
        <v>2557</v>
      </c>
    </row>
    <row r="1822" spans="1:3" x14ac:dyDescent="0.2">
      <c r="A1822" t="s">
        <v>2497</v>
      </c>
    </row>
    <row r="1823" spans="1:3" x14ac:dyDescent="0.2">
      <c r="A1823" t="s">
        <v>2489</v>
      </c>
    </row>
    <row r="1824" spans="1:3" x14ac:dyDescent="0.2">
      <c r="A1824" s="67" t="s">
        <v>1213</v>
      </c>
      <c r="B1824" t="s">
        <v>1185</v>
      </c>
    </row>
    <row r="1825" spans="1:2" x14ac:dyDescent="0.2">
      <c r="A1825" t="s">
        <v>2476</v>
      </c>
    </row>
    <row r="1826" spans="1:2" x14ac:dyDescent="0.2">
      <c r="A1826" t="s">
        <v>2517</v>
      </c>
    </row>
    <row r="1827" spans="1:2" x14ac:dyDescent="0.2">
      <c r="A1827" t="s">
        <v>2518</v>
      </c>
    </row>
    <row r="1828" spans="1:2" x14ac:dyDescent="0.2">
      <c r="A1828" t="s">
        <v>2537</v>
      </c>
    </row>
    <row r="1829" spans="1:2" x14ac:dyDescent="0.2">
      <c r="A1829" t="s">
        <v>2551</v>
      </c>
    </row>
    <row r="1830" spans="1:2" x14ac:dyDescent="0.2">
      <c r="A1830" t="s">
        <v>2534</v>
      </c>
    </row>
    <row r="1831" spans="1:2" x14ac:dyDescent="0.2">
      <c r="A1831" t="s">
        <v>2494</v>
      </c>
    </row>
    <row r="1832" spans="1:2" x14ac:dyDescent="0.2">
      <c r="A1832" t="s">
        <v>2456</v>
      </c>
    </row>
    <row r="1833" spans="1:2" x14ac:dyDescent="0.2">
      <c r="A1833" t="s">
        <v>2507</v>
      </c>
    </row>
    <row r="1834" spans="1:2" x14ac:dyDescent="0.2">
      <c r="A1834" s="3" t="s">
        <v>1219</v>
      </c>
      <c r="B1834" t="s">
        <v>1185</v>
      </c>
    </row>
    <row r="1835" spans="1:2" x14ac:dyDescent="0.2">
      <c r="A1835" t="s">
        <v>2479</v>
      </c>
    </row>
    <row r="1836" spans="1:2" x14ac:dyDescent="0.2">
      <c r="A1836" s="28" t="s">
        <v>1439</v>
      </c>
    </row>
    <row r="1837" spans="1:2" x14ac:dyDescent="0.2">
      <c r="A1837" t="s">
        <v>1220</v>
      </c>
      <c r="B1837" t="s">
        <v>1185</v>
      </c>
    </row>
    <row r="1838" spans="1:2" x14ac:dyDescent="0.2">
      <c r="A1838" t="s">
        <v>2475</v>
      </c>
    </row>
    <row r="1839" spans="1:2" x14ac:dyDescent="0.2">
      <c r="A1839" t="s">
        <v>2538</v>
      </c>
    </row>
    <row r="1840" spans="1:2" x14ac:dyDescent="0.2">
      <c r="A1840" t="s">
        <v>2463</v>
      </c>
    </row>
    <row r="1841" spans="1:1" x14ac:dyDescent="0.2">
      <c r="A1841" s="28" t="s">
        <v>1612</v>
      </c>
    </row>
    <row r="1842" spans="1:1" x14ac:dyDescent="0.2">
      <c r="A1842" t="s">
        <v>2480</v>
      </c>
    </row>
    <row r="1843" spans="1:1" x14ac:dyDescent="0.2">
      <c r="A1843" t="s">
        <v>2500</v>
      </c>
    </row>
    <row r="1844" spans="1:1" x14ac:dyDescent="0.2">
      <c r="A1844" s="28" t="s">
        <v>1705</v>
      </c>
    </row>
    <row r="1845" spans="1:1" x14ac:dyDescent="0.2">
      <c r="A1845" s="28" t="s">
        <v>1622</v>
      </c>
    </row>
    <row r="1846" spans="1:1" x14ac:dyDescent="0.2">
      <c r="A1846" s="28" t="s">
        <v>1708</v>
      </c>
    </row>
    <row r="1847" spans="1:1" x14ac:dyDescent="0.2">
      <c r="A1847" s="53" t="s">
        <v>1421</v>
      </c>
    </row>
    <row r="1848" spans="1:1" x14ac:dyDescent="0.2">
      <c r="A1848" t="s">
        <v>2514</v>
      </c>
    </row>
    <row r="1849" spans="1:1" x14ac:dyDescent="0.2">
      <c r="A1849" t="s">
        <v>2488</v>
      </c>
    </row>
    <row r="1850" spans="1:1" x14ac:dyDescent="0.2">
      <c r="A1850" t="s">
        <v>2486</v>
      </c>
    </row>
    <row r="1851" spans="1:1" x14ac:dyDescent="0.2">
      <c r="A1851" t="s">
        <v>2521</v>
      </c>
    </row>
    <row r="1852" spans="1:1" x14ac:dyDescent="0.2">
      <c r="A1852" t="s">
        <v>2539</v>
      </c>
    </row>
    <row r="1853" spans="1:1" x14ac:dyDescent="0.2">
      <c r="A1853" t="s">
        <v>2545</v>
      </c>
    </row>
    <row r="1854" spans="1:1" x14ac:dyDescent="0.2">
      <c r="A1854" s="28" t="s">
        <v>1400</v>
      </c>
    </row>
    <row r="1855" spans="1:1" x14ac:dyDescent="0.2">
      <c r="A1855" s="28" t="s">
        <v>1351</v>
      </c>
    </row>
    <row r="1856" spans="1:1" x14ac:dyDescent="0.2">
      <c r="A1856" s="31" t="s">
        <v>1834</v>
      </c>
    </row>
    <row r="1857" spans="1:1" x14ac:dyDescent="0.2">
      <c r="A1857" t="s">
        <v>2519</v>
      </c>
    </row>
    <row r="1858" spans="1:1" x14ac:dyDescent="0.2">
      <c r="A1858" s="28" t="s">
        <v>1419</v>
      </c>
    </row>
    <row r="1859" spans="1:1" x14ac:dyDescent="0.2">
      <c r="A1859" t="s">
        <v>2490</v>
      </c>
    </row>
    <row r="1860" spans="1:1" x14ac:dyDescent="0.2">
      <c r="A1860" t="s">
        <v>2469</v>
      </c>
    </row>
    <row r="1861" spans="1:1" x14ac:dyDescent="0.2">
      <c r="A1861" s="3" t="s">
        <v>1221</v>
      </c>
    </row>
    <row r="1862" spans="1:1" x14ac:dyDescent="0.2">
      <c r="A1862" t="s">
        <v>2556</v>
      </c>
    </row>
    <row r="1863" spans="1:1" x14ac:dyDescent="0.2">
      <c r="A1863" t="s">
        <v>2454</v>
      </c>
    </row>
    <row r="1864" spans="1:1" x14ac:dyDescent="0.2">
      <c r="A1864" t="s">
        <v>2548</v>
      </c>
    </row>
    <row r="1865" spans="1:1" x14ac:dyDescent="0.2">
      <c r="A1865" t="s">
        <v>2502</v>
      </c>
    </row>
    <row r="1866" spans="1:1" x14ac:dyDescent="0.2">
      <c r="A1866" t="s">
        <v>2461</v>
      </c>
    </row>
    <row r="1867" spans="1:1" x14ac:dyDescent="0.2">
      <c r="A1867" t="s">
        <v>2501</v>
      </c>
    </row>
    <row r="1868" spans="1:1" x14ac:dyDescent="0.2">
      <c r="A1868" t="s">
        <v>2522</v>
      </c>
    </row>
    <row r="1869" spans="1:1" x14ac:dyDescent="0.2">
      <c r="A1869" t="s">
        <v>2491</v>
      </c>
    </row>
    <row r="1870" spans="1:1" x14ac:dyDescent="0.2">
      <c r="A1870" t="s">
        <v>2515</v>
      </c>
    </row>
    <row r="1871" spans="1:1" x14ac:dyDescent="0.2">
      <c r="A1871" t="s">
        <v>2553</v>
      </c>
    </row>
    <row r="1872" spans="1:1" x14ac:dyDescent="0.2">
      <c r="A1872" t="s">
        <v>2524</v>
      </c>
    </row>
    <row r="1873" spans="1:1" x14ac:dyDescent="0.2">
      <c r="A1873" t="s">
        <v>2544</v>
      </c>
    </row>
    <row r="1874" spans="1:1" x14ac:dyDescent="0.2">
      <c r="A1874" t="s">
        <v>2496</v>
      </c>
    </row>
    <row r="1875" spans="1:1" x14ac:dyDescent="0.2">
      <c r="A1875" t="s">
        <v>2487</v>
      </c>
    </row>
    <row r="1876" spans="1:1" x14ac:dyDescent="0.2">
      <c r="A1876" t="s">
        <v>2498</v>
      </c>
    </row>
    <row r="1877" spans="1:1" x14ac:dyDescent="0.2">
      <c r="A1877" t="s">
        <v>2466</v>
      </c>
    </row>
    <row r="1878" spans="1:1" x14ac:dyDescent="0.2">
      <c r="A1878" t="s">
        <v>2481</v>
      </c>
    </row>
    <row r="1879" spans="1:1" x14ac:dyDescent="0.2">
      <c r="A1879" t="s">
        <v>2465</v>
      </c>
    </row>
    <row r="1880" spans="1:1" x14ac:dyDescent="0.2">
      <c r="A1880" t="s">
        <v>2464</v>
      </c>
    </row>
    <row r="1881" spans="1:1" x14ac:dyDescent="0.2">
      <c r="A1881" t="s">
        <v>2451</v>
      </c>
    </row>
    <row r="1882" spans="1:1" x14ac:dyDescent="0.2">
      <c r="A1882" s="28" t="s">
        <v>1458</v>
      </c>
    </row>
    <row r="1883" spans="1:1" x14ac:dyDescent="0.2">
      <c r="A1883" s="28" t="s">
        <v>1467</v>
      </c>
    </row>
    <row r="1884" spans="1:1" x14ac:dyDescent="0.2">
      <c r="A1884" s="28" t="s">
        <v>1504</v>
      </c>
    </row>
    <row r="1885" spans="1:1" x14ac:dyDescent="0.2">
      <c r="A1885" s="28" t="s">
        <v>1393</v>
      </c>
    </row>
    <row r="1886" spans="1:1" x14ac:dyDescent="0.2">
      <c r="A1886" s="28" t="s">
        <v>1382</v>
      </c>
    </row>
    <row r="1887" spans="1:1" x14ac:dyDescent="0.2">
      <c r="A1887" s="28" t="s">
        <v>1277</v>
      </c>
    </row>
    <row r="1888" spans="1:1" x14ac:dyDescent="0.2">
      <c r="A1888" s="28" t="s">
        <v>1435</v>
      </c>
    </row>
    <row r="1889" spans="1:1" x14ac:dyDescent="0.2">
      <c r="A1889" s="28" t="s">
        <v>1435</v>
      </c>
    </row>
    <row r="1890" spans="1:1" x14ac:dyDescent="0.2">
      <c r="A1890" s="28" t="s">
        <v>1395</v>
      </c>
    </row>
    <row r="1891" spans="1:1" x14ac:dyDescent="0.2">
      <c r="A1891" s="28" t="s">
        <v>1395</v>
      </c>
    </row>
    <row r="1892" spans="1:1" x14ac:dyDescent="0.2">
      <c r="A1892" t="s">
        <v>2543</v>
      </c>
    </row>
    <row r="1893" spans="1:1" x14ac:dyDescent="0.2">
      <c r="A1893" t="s">
        <v>2533</v>
      </c>
    </row>
    <row r="1894" spans="1:1" x14ac:dyDescent="0.2">
      <c r="A1894" t="s">
        <v>2504</v>
      </c>
    </row>
    <row r="1895" spans="1:1" x14ac:dyDescent="0.2">
      <c r="A1895" t="s">
        <v>2535</v>
      </c>
    </row>
    <row r="1896" spans="1:1" x14ac:dyDescent="0.2">
      <c r="A1896" t="s">
        <v>2552</v>
      </c>
    </row>
    <row r="1897" spans="1:1" x14ac:dyDescent="0.2">
      <c r="A1897" s="28" t="s">
        <v>1558</v>
      </c>
    </row>
    <row r="1898" spans="1:1" x14ac:dyDescent="0.2">
      <c r="A1898" t="s">
        <v>2523</v>
      </c>
    </row>
    <row r="1899" spans="1:1" x14ac:dyDescent="0.2">
      <c r="A1899" t="s">
        <v>2531</v>
      </c>
    </row>
  </sheetData>
  <hyperlinks>
    <hyperlink ref="A273" r:id="rId1" display="http://apple.com/BILL" xr:uid="{939E54EA-C347-DE4C-B2B0-A47C267C2182}"/>
    <hyperlink ref="A156" r:id="rId2" display="http://apple.com/BILINTERNET" xr:uid="{199A29DC-2A9A-0C42-B060-E6B20028C747}"/>
    <hyperlink ref="A560" r:id="rId3" display="http://731432666940expedia.com/" xr:uid="{8F196FD6-B76A-CD4D-BCAB-A6C5907C986D}"/>
    <hyperlink ref="A815" r:id="rId4" display="http://lastpass.com/" xr:uid="{1DD6F931-FCE9-3547-9A45-AA2AC475071B}"/>
    <hyperlink ref="A157" r:id="rId5" display="http://apple.com/BILINTERNET" xr:uid="{9A9FF2AA-D329-C346-B8DC-DA00D6C4D4F1}"/>
    <hyperlink ref="A556" r:id="rId6" display="http://731180696530expedia.com/" xr:uid="{063E4990-D4E0-9A4A-BD70-1F85494A8DC2}"/>
    <hyperlink ref="A557" r:id="rId7" display="http://731180696530expedia.com/" xr:uid="{8FDF6193-497A-B842-84DF-566C1295F26E}"/>
    <hyperlink ref="A558" r:id="rId8" display="http://731180696530expedia.com/" xr:uid="{6E8536C7-1FC1-774D-B6F8-1F2EE0B7CBCB}"/>
    <hyperlink ref="A158" r:id="rId9" display="http://apple.com/US" xr:uid="{E85B82C3-42B0-F74F-9567-3A72BCDB2BEA}"/>
    <hyperlink ref="A1184" r:id="rId10" display="http://quizlet.com/" xr:uid="{2EF4778A-BC03-D542-81B2-2FB624587DB0}"/>
    <hyperlink ref="A257" r:id="rId11" display="https://help.uber.cogb/" xr:uid="{18D985B9-36FB-364B-9B82-1E09C4CB4B7A}"/>
    <hyperlink ref="A1847" r:id="rId12" display="http://vlousnow.com/" xr:uid="{2E59C358-C6F5-8847-BEE7-C5B8EF00B4F7}"/>
    <hyperlink ref="A808" r:id="rId13" display="http://kiwi.com/" xr:uid="{1EA1281B-D00A-3C4C-9DE4-E3972A426FF4}"/>
    <hyperlink ref="A258" r:id="rId14" display="https://help.uber.cogb/" xr:uid="{3BD10B5D-3571-DC4C-A7CC-CCFC10DCC2DA}"/>
    <hyperlink ref="A259" r:id="rId15" display="https://help.uber.cogb/" xr:uid="{34D71BC3-EFA6-9941-BB92-6CC25C9446EF}"/>
    <hyperlink ref="A255" r:id="rId16" display="https://help.uber.co/" xr:uid="{34A81962-F0B5-6E4A-952A-2188A6E3FCB1}"/>
    <hyperlink ref="A256" r:id="rId17" display="https://help.uber.co/" xr:uid="{9A95D61C-F3D6-BE48-A8CD-863382A10BCB}"/>
    <hyperlink ref="A563" r:id="rId18" display="http://expedia.com/" xr:uid="{69D86D80-9B12-DA4F-AC91-25429080A6B5}"/>
    <hyperlink ref="A254" r:id="rId19" display="http://help.uber.com/" xr:uid="{50362A06-F8EF-F448-88BC-95FE092CC417}"/>
    <hyperlink ref="A48" r:id="rId20" display="http://amzn.com/billWA" xr:uid="{A0C5CA04-9753-EE4F-B636-A01D5CD10D59}"/>
    <hyperlink ref="A50" r:id="rId21" display="http://amzn.com/billWA" xr:uid="{D179296D-87A8-7141-ADFE-2D527BD51EB4}"/>
    <hyperlink ref="A1856" r:id="rId22" display="http://srsmrktplace.com/" xr:uid="{27AD1F78-F041-A748-AEA7-565F14CBC014}"/>
    <hyperlink ref="A1776" r:id="rId23" display="http://www.rowlandphoto.com/" xr:uid="{0282E3CC-6951-0A46-A830-47F950DB2BE5}"/>
    <hyperlink ref="A546" r:id="rId24" display="http://etsy.com/" xr:uid="{A302AE98-76B1-7C4A-B30F-AB21B64EE7A1}"/>
    <hyperlink ref="A548" r:id="rId25" display="http://etsy.com/" xr:uid="{753C0B72-2EBC-844C-B8D5-49F139504B3A}"/>
    <hyperlink ref="A1774" r:id="rId26" display="http://www.jfsseattle.org/" xr:uid="{95E0185C-3A7A-B546-9892-35C6BF9DF7E9}"/>
    <hyperlink ref="A561" r:id="rId27" display="http://expedia.com/" xr:uid="{9EA2EE49-5A0F-E040-8534-475B9DDBC721}"/>
    <hyperlink ref="A54" r:id="rId28" display="http://amzn.com/billWA" xr:uid="{E25F5E27-05B2-6342-AA25-7E85F1B53E15}"/>
  </hyperlinks>
  <pageMargins left="0.7" right="0.7" top="0.75" bottom="0.75" header="0.3" footer="0.3"/>
  <pageSetup orientation="portrait" horizontalDpi="0" verticalDpi="0"/>
  <tableParts count="1">
    <tablePart r:id="rId2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61381-8FC0-494C-8A3C-6836F957D809}">
  <dimension ref="A1:L117"/>
  <sheetViews>
    <sheetView topLeftCell="A89" workbookViewId="0">
      <selection activeCell="L117" sqref="L11:L117"/>
    </sheetView>
  </sheetViews>
  <sheetFormatPr baseColWidth="10" defaultRowHeight="16" x14ac:dyDescent="0.2"/>
  <sheetData>
    <row r="1" spans="1:12" x14ac:dyDescent="0.2">
      <c r="A1" s="24" t="s">
        <v>1170</v>
      </c>
      <c r="B1" s="24" t="s">
        <v>45</v>
      </c>
    </row>
    <row r="2" spans="1:12" x14ac:dyDescent="0.2">
      <c r="A2" s="25" t="s">
        <v>1170</v>
      </c>
      <c r="B2" s="25" t="s">
        <v>6</v>
      </c>
    </row>
    <row r="3" spans="1:12" x14ac:dyDescent="0.2">
      <c r="A3" s="25" t="s">
        <v>1148</v>
      </c>
      <c r="B3" s="25" t="s">
        <v>6</v>
      </c>
    </row>
    <row r="4" spans="1:12" x14ac:dyDescent="0.2">
      <c r="A4" s="24" t="s">
        <v>1144</v>
      </c>
      <c r="B4" s="24" t="s">
        <v>6</v>
      </c>
    </row>
    <row r="5" spans="1:12" x14ac:dyDescent="0.2">
      <c r="A5" s="25" t="s">
        <v>956</v>
      </c>
      <c r="B5" s="25" t="s">
        <v>45</v>
      </c>
    </row>
    <row r="6" spans="1:12" x14ac:dyDescent="0.2">
      <c r="A6" s="25" t="s">
        <v>956</v>
      </c>
      <c r="B6" s="25" t="s">
        <v>6</v>
      </c>
    </row>
    <row r="7" spans="1:12" x14ac:dyDescent="0.2">
      <c r="A7" s="25" t="s">
        <v>952</v>
      </c>
      <c r="B7" s="25" t="s">
        <v>6</v>
      </c>
    </row>
    <row r="8" spans="1:12" x14ac:dyDescent="0.2">
      <c r="A8" s="25" t="s">
        <v>77</v>
      </c>
      <c r="B8" s="25"/>
    </row>
    <row r="9" spans="1:12" x14ac:dyDescent="0.2">
      <c r="A9" s="25" t="s">
        <v>77</v>
      </c>
      <c r="B9" s="25" t="s">
        <v>6</v>
      </c>
    </row>
    <row r="10" spans="1:12" x14ac:dyDescent="0.2">
      <c r="A10" s="24" t="s">
        <v>938</v>
      </c>
      <c r="B10" s="24" t="s">
        <v>45</v>
      </c>
    </row>
    <row r="11" spans="1:12" x14ac:dyDescent="0.2">
      <c r="A11" s="24" t="s">
        <v>901</v>
      </c>
      <c r="B11" s="24" t="s">
        <v>45</v>
      </c>
      <c r="L11" t="s">
        <v>2464</v>
      </c>
    </row>
    <row r="12" spans="1:12" x14ac:dyDescent="0.2">
      <c r="A12" s="24" t="s">
        <v>901</v>
      </c>
      <c r="B12" s="24" t="s">
        <v>6</v>
      </c>
      <c r="L12" t="s">
        <v>2463</v>
      </c>
    </row>
    <row r="13" spans="1:12" x14ac:dyDescent="0.2">
      <c r="A13" s="24" t="s">
        <v>891</v>
      </c>
      <c r="B13" s="24" t="s">
        <v>45</v>
      </c>
      <c r="L13" t="s">
        <v>2462</v>
      </c>
    </row>
    <row r="14" spans="1:12" x14ac:dyDescent="0.2">
      <c r="A14" s="25" t="s">
        <v>858</v>
      </c>
      <c r="B14" s="25" t="s">
        <v>45</v>
      </c>
      <c r="L14" t="s">
        <v>2461</v>
      </c>
    </row>
    <row r="15" spans="1:12" x14ac:dyDescent="0.2">
      <c r="A15" s="24" t="s">
        <v>858</v>
      </c>
      <c r="B15" s="24" t="s">
        <v>6</v>
      </c>
      <c r="L15" t="s">
        <v>2456</v>
      </c>
    </row>
    <row r="16" spans="1:12" x14ac:dyDescent="0.2">
      <c r="A16" s="25" t="s">
        <v>848</v>
      </c>
      <c r="B16" s="25" t="s">
        <v>6</v>
      </c>
      <c r="L16" t="s">
        <v>2455</v>
      </c>
    </row>
    <row r="17" spans="1:12" x14ac:dyDescent="0.2">
      <c r="A17" s="24" t="s">
        <v>835</v>
      </c>
      <c r="B17" s="24" t="s">
        <v>45</v>
      </c>
      <c r="L17" t="s">
        <v>2457</v>
      </c>
    </row>
    <row r="18" spans="1:12" x14ac:dyDescent="0.2">
      <c r="A18" s="24" t="s">
        <v>828</v>
      </c>
      <c r="B18" s="24" t="s">
        <v>6</v>
      </c>
      <c r="L18" t="s">
        <v>2458</v>
      </c>
    </row>
    <row r="19" spans="1:12" x14ac:dyDescent="0.2">
      <c r="A19" s="25" t="s">
        <v>810</v>
      </c>
      <c r="B19" s="25" t="s">
        <v>6</v>
      </c>
      <c r="L19" t="s">
        <v>2459</v>
      </c>
    </row>
    <row r="20" spans="1:12" x14ac:dyDescent="0.2">
      <c r="A20" s="25" t="s">
        <v>807</v>
      </c>
      <c r="B20" s="25" t="s">
        <v>6</v>
      </c>
      <c r="L20" t="s">
        <v>2460</v>
      </c>
    </row>
    <row r="21" spans="1:12" x14ac:dyDescent="0.2">
      <c r="A21" s="25" t="s">
        <v>796</v>
      </c>
      <c r="B21" s="25" t="s">
        <v>6</v>
      </c>
      <c r="L21" t="s">
        <v>2453</v>
      </c>
    </row>
    <row r="22" spans="1:12" x14ac:dyDescent="0.2">
      <c r="A22" s="25" t="s">
        <v>796</v>
      </c>
      <c r="B22" s="25" t="s">
        <v>45</v>
      </c>
      <c r="L22" t="s">
        <v>2454</v>
      </c>
    </row>
    <row r="23" spans="1:12" x14ac:dyDescent="0.2">
      <c r="A23" s="34" t="s">
        <v>794</v>
      </c>
      <c r="B23" s="25" t="s">
        <v>45</v>
      </c>
      <c r="L23" t="s">
        <v>2452</v>
      </c>
    </row>
    <row r="24" spans="1:12" x14ac:dyDescent="0.2">
      <c r="A24" s="24" t="s">
        <v>781</v>
      </c>
      <c r="B24" s="24" t="s">
        <v>45</v>
      </c>
      <c r="L24" t="s">
        <v>2451</v>
      </c>
    </row>
    <row r="25" spans="1:12" x14ac:dyDescent="0.2">
      <c r="A25" s="25" t="s">
        <v>781</v>
      </c>
      <c r="B25" s="25" t="s">
        <v>6</v>
      </c>
      <c r="L25" t="s">
        <v>2526</v>
      </c>
    </row>
    <row r="26" spans="1:12" x14ac:dyDescent="0.2">
      <c r="A26" s="24" t="s">
        <v>779</v>
      </c>
      <c r="B26" s="24" t="s">
        <v>6</v>
      </c>
      <c r="L26" t="s">
        <v>2525</v>
      </c>
    </row>
    <row r="27" spans="1:12" x14ac:dyDescent="0.2">
      <c r="A27" s="25" t="s">
        <v>768</v>
      </c>
      <c r="B27" s="25" t="s">
        <v>45</v>
      </c>
      <c r="L27" t="s">
        <v>2523</v>
      </c>
    </row>
    <row r="28" spans="1:12" x14ac:dyDescent="0.2">
      <c r="A28" s="25" t="s">
        <v>639</v>
      </c>
      <c r="B28" s="25" t="s">
        <v>45</v>
      </c>
      <c r="L28" t="s">
        <v>2524</v>
      </c>
    </row>
    <row r="29" spans="1:12" x14ac:dyDescent="0.2">
      <c r="A29" s="24" t="s">
        <v>639</v>
      </c>
      <c r="B29" s="24" t="s">
        <v>6</v>
      </c>
      <c r="L29" t="s">
        <v>2521</v>
      </c>
    </row>
    <row r="30" spans="1:12" x14ac:dyDescent="0.2">
      <c r="A30" s="24" t="s">
        <v>600</v>
      </c>
      <c r="B30" s="24" t="s">
        <v>6</v>
      </c>
      <c r="L30" t="s">
        <v>2522</v>
      </c>
    </row>
    <row r="31" spans="1:12" x14ac:dyDescent="0.2">
      <c r="A31" s="24" t="s">
        <v>600</v>
      </c>
      <c r="B31" s="24" t="s">
        <v>45</v>
      </c>
      <c r="L31" t="s">
        <v>2483</v>
      </c>
    </row>
    <row r="32" spans="1:12" x14ac:dyDescent="0.2">
      <c r="A32" s="25" t="s">
        <v>593</v>
      </c>
      <c r="B32" s="25" t="s">
        <v>6</v>
      </c>
      <c r="L32" t="s">
        <v>2520</v>
      </c>
    </row>
    <row r="33" spans="1:12" x14ac:dyDescent="0.2">
      <c r="A33" s="25" t="s">
        <v>514</v>
      </c>
      <c r="B33" s="25" t="s">
        <v>45</v>
      </c>
      <c r="L33" t="s">
        <v>2519</v>
      </c>
    </row>
    <row r="34" spans="1:12" x14ac:dyDescent="0.2">
      <c r="A34" s="36" t="s">
        <v>514</v>
      </c>
      <c r="B34" s="24" t="s">
        <v>6</v>
      </c>
      <c r="L34" t="s">
        <v>2518</v>
      </c>
    </row>
    <row r="35" spans="1:12" x14ac:dyDescent="0.2">
      <c r="A35" s="24" t="s">
        <v>512</v>
      </c>
      <c r="B35" s="24" t="s">
        <v>45</v>
      </c>
      <c r="L35" t="s">
        <v>2517</v>
      </c>
    </row>
    <row r="36" spans="1:12" x14ac:dyDescent="0.2">
      <c r="A36" s="25" t="s">
        <v>508</v>
      </c>
      <c r="B36" s="25" t="s">
        <v>45</v>
      </c>
      <c r="L36" t="s">
        <v>2487</v>
      </c>
    </row>
    <row r="37" spans="1:12" x14ac:dyDescent="0.2">
      <c r="A37" s="24" t="s">
        <v>2210</v>
      </c>
      <c r="B37" s="24"/>
      <c r="L37" t="s">
        <v>2516</v>
      </c>
    </row>
    <row r="38" spans="1:12" x14ac:dyDescent="0.2">
      <c r="A38" s="25" t="s">
        <v>498</v>
      </c>
      <c r="B38" s="25" t="s">
        <v>6</v>
      </c>
      <c r="L38" t="s">
        <v>2515</v>
      </c>
    </row>
    <row r="39" spans="1:12" x14ac:dyDescent="0.2">
      <c r="A39" s="25" t="s">
        <v>469</v>
      </c>
      <c r="B39" s="25" t="s">
        <v>45</v>
      </c>
      <c r="L39" t="s">
        <v>2514</v>
      </c>
    </row>
    <row r="40" spans="1:12" x14ac:dyDescent="0.2">
      <c r="A40" s="25" t="s">
        <v>469</v>
      </c>
      <c r="B40" s="25" t="s">
        <v>6</v>
      </c>
      <c r="L40" t="s">
        <v>2512</v>
      </c>
    </row>
    <row r="41" spans="1:12" x14ac:dyDescent="0.2">
      <c r="A41" s="25" t="s">
        <v>464</v>
      </c>
      <c r="B41" s="25" t="s">
        <v>6</v>
      </c>
      <c r="L41" t="s">
        <v>2513</v>
      </c>
    </row>
    <row r="42" spans="1:12" x14ac:dyDescent="0.2">
      <c r="A42" s="24" t="s">
        <v>165</v>
      </c>
      <c r="B42" s="24" t="s">
        <v>45</v>
      </c>
      <c r="L42" t="s">
        <v>2511</v>
      </c>
    </row>
    <row r="43" spans="1:12" x14ac:dyDescent="0.2">
      <c r="A43" s="24" t="s">
        <v>165</v>
      </c>
      <c r="B43" s="24" t="s">
        <v>6</v>
      </c>
      <c r="L43" t="s">
        <v>2499</v>
      </c>
    </row>
    <row r="44" spans="1:12" x14ac:dyDescent="0.2">
      <c r="A44" s="35" t="s">
        <v>154</v>
      </c>
      <c r="B44" s="25" t="s">
        <v>6</v>
      </c>
      <c r="L44" t="s">
        <v>2509</v>
      </c>
    </row>
    <row r="45" spans="1:12" x14ac:dyDescent="0.2">
      <c r="A45" s="24" t="s">
        <v>98</v>
      </c>
      <c r="B45" s="24" t="s">
        <v>45</v>
      </c>
      <c r="L45" t="s">
        <v>2510</v>
      </c>
    </row>
    <row r="46" spans="1:12" x14ac:dyDescent="0.2">
      <c r="A46" s="25" t="s">
        <v>98</v>
      </c>
      <c r="B46" s="25" t="s">
        <v>6</v>
      </c>
      <c r="L46" t="s">
        <v>2507</v>
      </c>
    </row>
    <row r="47" spans="1:12" x14ac:dyDescent="0.2">
      <c r="A47" s="25" t="s">
        <v>87</v>
      </c>
      <c r="B47" s="25" t="s">
        <v>6</v>
      </c>
      <c r="L47" t="s">
        <v>2508</v>
      </c>
    </row>
    <row r="48" spans="1:12" x14ac:dyDescent="0.2">
      <c r="A48" s="25" t="s">
        <v>83</v>
      </c>
      <c r="B48" s="25" t="s">
        <v>6</v>
      </c>
      <c r="L48" t="s">
        <v>2504</v>
      </c>
    </row>
    <row r="49" spans="1:12" x14ac:dyDescent="0.2">
      <c r="A49" s="24" t="s">
        <v>79</v>
      </c>
      <c r="B49" s="24" t="s">
        <v>6</v>
      </c>
      <c r="L49" t="s">
        <v>2505</v>
      </c>
    </row>
    <row r="50" spans="1:12" x14ac:dyDescent="0.2">
      <c r="A50" s="25" t="s">
        <v>79</v>
      </c>
      <c r="B50" s="25" t="s">
        <v>45</v>
      </c>
      <c r="L50" t="s">
        <v>2506</v>
      </c>
    </row>
    <row r="51" spans="1:12" x14ac:dyDescent="0.2">
      <c r="A51" s="25" t="s">
        <v>68</v>
      </c>
      <c r="B51" s="25" t="s">
        <v>45</v>
      </c>
      <c r="L51" t="s">
        <v>2503</v>
      </c>
    </row>
    <row r="52" spans="1:12" x14ac:dyDescent="0.2">
      <c r="A52" s="24" t="s">
        <v>5</v>
      </c>
      <c r="B52" s="24" t="s">
        <v>6</v>
      </c>
      <c r="L52" t="s">
        <v>2502</v>
      </c>
    </row>
    <row r="53" spans="1:12" x14ac:dyDescent="0.2">
      <c r="A53" s="25" t="s">
        <v>5</v>
      </c>
      <c r="B53" s="25" t="s">
        <v>45</v>
      </c>
      <c r="L53" t="s">
        <v>2501</v>
      </c>
    </row>
    <row r="54" spans="1:12" x14ac:dyDescent="0.2">
      <c r="L54" t="s">
        <v>2500</v>
      </c>
    </row>
    <row r="55" spans="1:12" x14ac:dyDescent="0.2">
      <c r="L55" t="s">
        <v>2498</v>
      </c>
    </row>
    <row r="56" spans="1:12" x14ac:dyDescent="0.2">
      <c r="L56" t="s">
        <v>2497</v>
      </c>
    </row>
    <row r="57" spans="1:12" x14ac:dyDescent="0.2">
      <c r="L57" t="s">
        <v>2494</v>
      </c>
    </row>
    <row r="58" spans="1:12" x14ac:dyDescent="0.2">
      <c r="L58" t="s">
        <v>2495</v>
      </c>
    </row>
    <row r="59" spans="1:12" x14ac:dyDescent="0.2">
      <c r="L59" t="s">
        <v>2496</v>
      </c>
    </row>
    <row r="60" spans="1:12" x14ac:dyDescent="0.2">
      <c r="L60" t="s">
        <v>2557</v>
      </c>
    </row>
    <row r="61" spans="1:12" x14ac:dyDescent="0.2">
      <c r="L61" t="s">
        <v>2554</v>
      </c>
    </row>
    <row r="62" spans="1:12" x14ac:dyDescent="0.2">
      <c r="L62" t="s">
        <v>2555</v>
      </c>
    </row>
    <row r="63" spans="1:12" x14ac:dyDescent="0.2">
      <c r="L63" t="s">
        <v>2556</v>
      </c>
    </row>
    <row r="64" spans="1:12" x14ac:dyDescent="0.2">
      <c r="L64" t="s">
        <v>2553</v>
      </c>
    </row>
    <row r="65" spans="12:12" x14ac:dyDescent="0.2">
      <c r="L65" t="s">
        <v>2551</v>
      </c>
    </row>
    <row r="66" spans="12:12" x14ac:dyDescent="0.2">
      <c r="L66" t="s">
        <v>2552</v>
      </c>
    </row>
    <row r="67" spans="12:12" x14ac:dyDescent="0.2">
      <c r="L67" t="s">
        <v>2530</v>
      </c>
    </row>
    <row r="68" spans="12:12" x14ac:dyDescent="0.2">
      <c r="L68" t="s">
        <v>2549</v>
      </c>
    </row>
    <row r="69" spans="12:12" x14ac:dyDescent="0.2">
      <c r="L69" t="s">
        <v>2550</v>
      </c>
    </row>
    <row r="70" spans="12:12" x14ac:dyDescent="0.2">
      <c r="L70" t="s">
        <v>2548</v>
      </c>
    </row>
    <row r="71" spans="12:12" x14ac:dyDescent="0.2">
      <c r="L71" t="s">
        <v>2547</v>
      </c>
    </row>
    <row r="72" spans="12:12" x14ac:dyDescent="0.2">
      <c r="L72" t="s">
        <v>2546</v>
      </c>
    </row>
    <row r="73" spans="12:12" x14ac:dyDescent="0.2">
      <c r="L73" t="s">
        <v>2545</v>
      </c>
    </row>
    <row r="74" spans="12:12" x14ac:dyDescent="0.2">
      <c r="L74" t="s">
        <v>2544</v>
      </c>
    </row>
    <row r="75" spans="12:12" x14ac:dyDescent="0.2">
      <c r="L75" t="s">
        <v>2539</v>
      </c>
    </row>
    <row r="76" spans="12:12" x14ac:dyDescent="0.2">
      <c r="L76" t="s">
        <v>2477</v>
      </c>
    </row>
    <row r="77" spans="12:12" x14ac:dyDescent="0.2">
      <c r="L77" t="s">
        <v>2475</v>
      </c>
    </row>
    <row r="78" spans="12:12" x14ac:dyDescent="0.2">
      <c r="L78" t="s">
        <v>2476</v>
      </c>
    </row>
    <row r="79" spans="12:12" x14ac:dyDescent="0.2">
      <c r="L79" t="s">
        <v>2474</v>
      </c>
    </row>
    <row r="80" spans="12:12" x14ac:dyDescent="0.2">
      <c r="L80" t="s">
        <v>2473</v>
      </c>
    </row>
    <row r="81" spans="12:12" x14ac:dyDescent="0.2">
      <c r="L81" t="s">
        <v>2472</v>
      </c>
    </row>
    <row r="82" spans="12:12" x14ac:dyDescent="0.2">
      <c r="L82" t="s">
        <v>2470</v>
      </c>
    </row>
    <row r="83" spans="12:12" x14ac:dyDescent="0.2">
      <c r="L83" t="s">
        <v>2471</v>
      </c>
    </row>
    <row r="84" spans="12:12" x14ac:dyDescent="0.2">
      <c r="L84" t="s">
        <v>2469</v>
      </c>
    </row>
    <row r="85" spans="12:12" x14ac:dyDescent="0.2">
      <c r="L85" t="s">
        <v>2465</v>
      </c>
    </row>
    <row r="86" spans="12:12" x14ac:dyDescent="0.2">
      <c r="L86" t="s">
        <v>2468</v>
      </c>
    </row>
    <row r="87" spans="12:12" x14ac:dyDescent="0.2">
      <c r="L87" t="s">
        <v>2466</v>
      </c>
    </row>
    <row r="88" spans="12:12" x14ac:dyDescent="0.2">
      <c r="L88" t="s">
        <v>2467</v>
      </c>
    </row>
    <row r="89" spans="12:12" x14ac:dyDescent="0.2">
      <c r="L89" t="s">
        <v>2492</v>
      </c>
    </row>
    <row r="90" spans="12:12" x14ac:dyDescent="0.2">
      <c r="L90" t="s">
        <v>2493</v>
      </c>
    </row>
    <row r="91" spans="12:12" x14ac:dyDescent="0.2">
      <c r="L91" t="s">
        <v>2490</v>
      </c>
    </row>
    <row r="92" spans="12:12" x14ac:dyDescent="0.2">
      <c r="L92" t="s">
        <v>2491</v>
      </c>
    </row>
    <row r="93" spans="12:12" x14ac:dyDescent="0.2">
      <c r="L93" t="s">
        <v>2489</v>
      </c>
    </row>
    <row r="94" spans="12:12" x14ac:dyDescent="0.2">
      <c r="L94" t="s">
        <v>2488</v>
      </c>
    </row>
    <row r="95" spans="12:12" x14ac:dyDescent="0.2">
      <c r="L95" t="s">
        <v>2486</v>
      </c>
    </row>
    <row r="96" spans="12:12" x14ac:dyDescent="0.2">
      <c r="L96" t="s">
        <v>2484</v>
      </c>
    </row>
    <row r="97" spans="12:12" x14ac:dyDescent="0.2">
      <c r="L97" t="s">
        <v>2485</v>
      </c>
    </row>
    <row r="98" spans="12:12" x14ac:dyDescent="0.2">
      <c r="L98" t="s">
        <v>2482</v>
      </c>
    </row>
    <row r="99" spans="12:12" x14ac:dyDescent="0.2">
      <c r="L99" t="s">
        <v>2481</v>
      </c>
    </row>
    <row r="100" spans="12:12" x14ac:dyDescent="0.2">
      <c r="L100" t="s">
        <v>2479</v>
      </c>
    </row>
    <row r="101" spans="12:12" x14ac:dyDescent="0.2">
      <c r="L101" t="s">
        <v>2480</v>
      </c>
    </row>
    <row r="102" spans="12:12" x14ac:dyDescent="0.2">
      <c r="L102" t="s">
        <v>2478</v>
      </c>
    </row>
    <row r="103" spans="12:12" x14ac:dyDescent="0.2">
      <c r="L103" t="s">
        <v>2543</v>
      </c>
    </row>
    <row r="104" spans="12:12" x14ac:dyDescent="0.2">
      <c r="L104" t="s">
        <v>2536</v>
      </c>
    </row>
    <row r="105" spans="12:12" x14ac:dyDescent="0.2">
      <c r="L105" t="s">
        <v>2541</v>
      </c>
    </row>
    <row r="106" spans="12:12" x14ac:dyDescent="0.2">
      <c r="L106" t="s">
        <v>2542</v>
      </c>
    </row>
    <row r="107" spans="12:12" x14ac:dyDescent="0.2">
      <c r="L107" t="s">
        <v>2540</v>
      </c>
    </row>
    <row r="108" spans="12:12" x14ac:dyDescent="0.2">
      <c r="L108" t="s">
        <v>2538</v>
      </c>
    </row>
    <row r="109" spans="12:12" x14ac:dyDescent="0.2">
      <c r="L109" t="s">
        <v>2537</v>
      </c>
    </row>
    <row r="110" spans="12:12" x14ac:dyDescent="0.2">
      <c r="L110" t="s">
        <v>2534</v>
      </c>
    </row>
    <row r="111" spans="12:12" x14ac:dyDescent="0.2">
      <c r="L111" t="s">
        <v>2535</v>
      </c>
    </row>
    <row r="112" spans="12:12" x14ac:dyDescent="0.2">
      <c r="L112" t="s">
        <v>2533</v>
      </c>
    </row>
    <row r="113" spans="12:12" x14ac:dyDescent="0.2">
      <c r="L113" t="s">
        <v>2532</v>
      </c>
    </row>
    <row r="114" spans="12:12" x14ac:dyDescent="0.2">
      <c r="L114" t="s">
        <v>2531</v>
      </c>
    </row>
    <row r="115" spans="12:12" x14ac:dyDescent="0.2">
      <c r="L115" t="s">
        <v>2528</v>
      </c>
    </row>
    <row r="116" spans="12:12" x14ac:dyDescent="0.2">
      <c r="L116" t="s">
        <v>2529</v>
      </c>
    </row>
    <row r="117" spans="12:12" x14ac:dyDescent="0.2">
      <c r="L117" t="s">
        <v>2527</v>
      </c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B61FAB-4B84-5E4B-97B5-12C84ED402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transactions</vt:lpstr>
      <vt:lpstr>ftcu</vt:lpstr>
      <vt:lpstr>amex</vt:lpstr>
      <vt:lpstr>usaa-cc</vt:lpstr>
      <vt:lpstr>boa-cc</vt:lpstr>
      <vt:lpstr>Payee Ref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 J. Kavalam</dc:creator>
  <cp:lastModifiedBy>Jude J. Kavalam</cp:lastModifiedBy>
  <dcterms:created xsi:type="dcterms:W3CDTF">2025-11-30T04:10:51Z</dcterms:created>
  <dcterms:modified xsi:type="dcterms:W3CDTF">2025-12-15T23:43:10Z</dcterms:modified>
</cp:coreProperties>
</file>